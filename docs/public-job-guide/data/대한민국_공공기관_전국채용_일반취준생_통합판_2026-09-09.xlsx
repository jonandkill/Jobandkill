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fef6015e084bf4" /></Relationships>
</file>

<file path=xl/workbook.xml><?xml version="1.0" encoding="utf-8"?>
<x:workbook xmlns:x="http://schemas.openxmlformats.org/spreadsheetml/2006/main">
  <x:sheets>
    <x:sheet xmlns:r="http://schemas.openxmlformats.org/officeDocument/2006/relationships" name="대시보드" sheetId="1" r:id="Rb7dfdf55c8cd4b81"/>
    <x:sheet xmlns:r="http://schemas.openxmlformats.org/officeDocument/2006/relationships" name="신입_우선검토" sheetId="2" r:id="R7a530997f2f84851"/>
    <x:sheet xmlns:r="http://schemas.openxmlformats.org/officeDocument/2006/relationships" name="JOBALIO_419" sheetId="3" r:id="R4621984b7c9e4f3d"/>
    <x:sheet xmlns:r="http://schemas.openxmlformats.org/officeDocument/2006/relationships" name="JOBALIO_상세26" sheetId="4" r:id="R012e49c40da44960"/>
    <x:sheet xmlns:r="http://schemas.openxmlformats.org/officeDocument/2006/relationships" name="CLEANEYE_360" sheetId="5" r:id="Ra58d65b40dcf49f2"/>
    <x:sheet xmlns:r="http://schemas.openxmlformats.org/officeDocument/2006/relationships" name="지역별_요약" sheetId="6" r:id="R7c2bc38791984c29"/>
    <x:sheet xmlns:r="http://schemas.openxmlformats.org/officeDocument/2006/relationships" name="전형_면접가이드" sheetId="7" r:id="R1691cb8e072a4951"/>
    <x:sheet xmlns:r="http://schemas.openxmlformats.org/officeDocument/2006/relationships" name="자격증_판단" sheetId="8" r:id="R1a66204bc18b4a5a"/>
    <x:sheet xmlns:r="http://schemas.openxmlformats.org/officeDocument/2006/relationships" name="사회복지_장애필터" sheetId="9" r:id="R93f9a29f21c3413a"/>
    <x:sheet xmlns:r="http://schemas.openxmlformats.org/officeDocument/2006/relationships" name="지원관리" sheetId="10" r:id="R8084cda8b5554a36"/>
    <x:sheet xmlns:r="http://schemas.openxmlformats.org/officeDocument/2006/relationships" name="사용법_검증기준" sheetId="11" r:id="R15547677ca994c1c"/>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sz val="10"/>
      <x:color rgb="FF1F2937"/>
      <x:name val="Noto Sans KR"/>
    </x:font>
    <x:font>
      <x:b/>
      <x:sz val="18"/>
      <x:color rgb="FFFFFFFF"/>
      <x:name val="Noto Sans KR"/>
    </x:font>
    <x:font>
      <x:i/>
      <x:sz val="10"/>
      <x:color rgb="FF52606D"/>
      <x:name val="Noto Sans KR"/>
    </x:font>
    <x:font>
      <x:b/>
      <x:sz val="10"/>
      <x:color rgb="FFFFFFFF"/>
      <x:name val="Noto Sans KR"/>
    </x:font>
    <x:font>
      <x:sz val="9"/>
      <x:color rgb="FF0563C1"/>
      <x:name val="Noto Sans KR"/>
    </x:font>
    <x:font>
      <x:b/>
      <x:sz val="24"/>
      <x:color rgb="FFFFFFFF"/>
      <x:name val="Noto Sans KR"/>
    </x:font>
    <x:font>
      <x:b/>
      <x:sz val="11"/>
      <x:color rgb="FFFFFFFF"/>
      <x:name val="Noto Sans KR"/>
    </x:font>
    <x:font>
      <x:b/>
      <x:sz val="10"/>
      <x:color rgb="FF1F4E78"/>
      <x:name val="Noto Sans KR"/>
    </x:font>
    <x:font>
      <x:b/>
      <x:sz val="22"/>
      <x:color rgb="FF17324D"/>
      <x:name val="Noto Sans KR"/>
    </x:font>
    <x:font>
      <x:b/>
      <x:sz val="14"/>
      <x:color rgb="FFFFFFFF"/>
      <x:name val="Noto Sans KR"/>
    </x:font>
    <x:font>
      <x:sz val="10"/>
      <x:color rgb="FF52606D"/>
      <x:name val="Noto Sans KR"/>
    </x:font>
    <x:font>
      <x:sz val="10"/>
      <x:color rgb="FF0563C1"/>
      <x:name val="Noto Sans KR"/>
    </x:font>
    <x:font>
      <x:b/>
      <x:sz val="10"/>
      <x:color rgb="FF8A4B08"/>
      <x:name val="Noto Sans KR"/>
    </x:font>
  </x:fonts>
  <x:fills count="9">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6B67"/>
      </x:patternFill>
    </x:fill>
    <x:fill>
      <x:patternFill patternType="solid">
        <x:fgColor rgb="FFDCEAF7"/>
      </x:patternFill>
    </x:fill>
    <x:fill>
      <x:patternFill patternType="solid">
        <x:fgColor rgb="FFFFFFFF"/>
      </x:patternFill>
    </x:fill>
    <x:fill>
      <x:patternFill patternType="solid">
        <x:fgColor rgb="FFF3F7FA"/>
      </x:patternFill>
    </x:fill>
    <x:fill>
      <x:patternFill patternType="solid">
        <x:fgColor rgb="FFFFF4E5"/>
      </x:patternFill>
    </x:fill>
  </x:fills>
  <x:borders count="10">
    <x:border/>
    <x:border>
      <x:left style="thin">
        <x:color rgb="FFFFFFFF"/>
      </x:left>
      <x:right style="thin">
        <x:color rgb="FFFFFFFF"/>
      </x:right>
      <x:top style="thin">
        <x:color rgb="FFFFFFFF"/>
      </x:top>
      <x:bottom style="thin">
        <x:color rgb="FFFFFFFF"/>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rder>
    <x:border>
      <x:right style="thin">
        <x:color rgb="FFCBD5E1"/>
      </x:right>
      <x:top style="thin">
        <x:color rgb="FFCBD5E1"/>
      </x:top>
    </x:border>
    <x:border>
      <x:left style="thin">
        <x:color rgb="FFCBD5E1"/>
      </x:left>
      <x:bottom style="thin">
        <x:color rgb="FFCBD5E1"/>
      </x:bottom>
    </x:border>
    <x:border>
      <x:right style="thin">
        <x:color rgb="FFCBD5E1"/>
      </x:right>
      <x:bottom style="thin">
        <x:color rgb="FFCBD5E1"/>
      </x:bottom>
    </x:border>
    <x:border>
      <x:left style="thin">
        <x:color rgb="FFFCE8B2"/>
      </x:left>
      <x:right style="thin">
        <x:color rgb="FFFCE8B2"/>
      </x:right>
      <x:top style="thin">
        <x:color rgb="FFFCE8B2"/>
      </x:top>
      <x:bottom style="thin">
        <x:color rgb="FFFCE8B2"/>
      </x:bottom>
    </x:border>
  </x:borders>
  <x:cellStyleXfs count="1">
    <x:xf numFmtId="0" fontId="0" fillId="0" borderId="0"/>
  </x:cellStyleXfs>
  <x:cellXfs count="7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1"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7" fillId="4" borderId="0" xfId="0" applyNumberFormat="1" applyFont="1" applyFill="1" applyBorder="1"/>
    <x:xf numFmtId="0" fontId="7" fillId="4" borderId="0" xfId="0" applyNumberFormat="1" applyFont="1" applyFill="1" applyBorder="1" applyAlignment="1">
      <x:alignment vertical="center"/>
    </x:xf>
    <x:xf numFmtId="0" fontId="1" fillId="5" borderId="0" xfId="0" applyNumberFormat="1" applyFont="1" applyFill="1" applyBorder="1"/>
    <x:xf numFmtId="0" fontId="8" fillId="5" borderId="0" xfId="0" applyNumberFormat="1" applyFont="1" applyFill="1" applyBorder="1"/>
    <x:xf numFmtId="0" fontId="8" fillId="5" borderId="3" xfId="0" applyNumberFormat="1" applyFont="1" applyFill="1" applyBorder="1"/>
    <x:xf numFmtId="0" fontId="8" fillId="5" borderId="4" xfId="0" applyNumberFormat="1" applyFont="1" applyFill="1" applyBorder="1"/>
    <x:xf numFmtId="0" fontId="8" fillId="5" borderId="3" xfId="0" applyNumberFormat="1" applyFont="1" applyFill="1" applyBorder="1" applyAlignment="1">
      <x:alignment horizontal="center"/>
    </x:xf>
    <x:xf numFmtId="0" fontId="8" fillId="5" borderId="4" xfId="0" applyNumberFormat="1" applyFont="1" applyFill="1" applyBorder="1" applyAlignment="1">
      <x:alignment horizontal="center"/>
    </x:xf>
    <x:xf numFmtId="0" fontId="8" fillId="5" borderId="3" xfId="0" applyNumberFormat="1" applyFont="1" applyFill="1" applyBorder="1" applyAlignment="1">
      <x:alignment horizontal="center" vertical="center"/>
    </x:xf>
    <x:xf numFmtId="0" fontId="8" fillId="5" borderId="4" xfId="0" applyNumberFormat="1" applyFont="1" applyFill="1" applyBorder="1" applyAlignment="1">
      <x:alignment horizontal="center" vertical="center"/>
    </x:xf>
    <x:xf numFmtId="0" fontId="1" fillId="6" borderId="0" xfId="0" applyNumberFormat="1" applyFont="1" applyFill="1" applyBorder="1"/>
    <x:xf numFmtId="0" fontId="9" fillId="6" borderId="0" xfId="0" applyNumberFormat="1" applyFont="1" applyFill="1" applyBorder="1"/>
    <x:xf numFmtId="0" fontId="9" fillId="6" borderId="5" xfId="0" applyNumberFormat="1" applyFont="1" applyFill="1" applyBorder="1"/>
    <x:xf numFmtId="0" fontId="9" fillId="6" borderId="6" xfId="0" applyNumberFormat="1" applyFont="1" applyFill="1" applyBorder="1"/>
    <x:xf numFmtId="0" fontId="9" fillId="6" borderId="7" xfId="0" applyNumberFormat="1" applyFont="1" applyFill="1" applyBorder="1"/>
    <x:xf numFmtId="0" fontId="9" fillId="6" borderId="8" xfId="0" applyNumberFormat="1" applyFont="1" applyFill="1" applyBorder="1"/>
    <x:xf numFmtId="0" fontId="9" fillId="6" borderId="5" xfId="0" applyNumberFormat="1" applyFont="1" applyFill="1" applyBorder="1" applyAlignment="1">
      <x:alignment horizontal="center"/>
    </x:xf>
    <x:xf numFmtId="0" fontId="9" fillId="6" borderId="6" xfId="0" applyNumberFormat="1" applyFont="1" applyFill="1" applyBorder="1" applyAlignment="1">
      <x:alignment horizontal="center"/>
    </x:xf>
    <x:xf numFmtId="0" fontId="9" fillId="6" borderId="7" xfId="0" applyNumberFormat="1" applyFont="1" applyFill="1" applyBorder="1" applyAlignment="1">
      <x:alignment horizontal="center"/>
    </x:xf>
    <x:xf numFmtId="0" fontId="9" fillId="6" borderId="8" xfId="0" applyNumberFormat="1" applyFont="1" applyFill="1" applyBorder="1" applyAlignment="1">
      <x:alignment horizontal="center"/>
    </x:xf>
    <x:xf numFmtId="0" fontId="9" fillId="6" borderId="5" xfId="0" applyNumberFormat="1" applyFont="1" applyFill="1" applyBorder="1" applyAlignment="1">
      <x:alignment horizontal="center" vertical="center"/>
    </x:xf>
    <x:xf numFmtId="0" fontId="9" fillId="6" borderId="6" xfId="0" applyNumberFormat="1" applyFont="1" applyFill="1" applyBorder="1" applyAlignment="1">
      <x:alignment horizontal="center" vertical="center"/>
    </x:xf>
    <x:xf numFmtId="0" fontId="9" fillId="6" borderId="7" xfId="0" applyNumberFormat="1" applyFont="1" applyFill="1" applyBorder="1" applyAlignment="1">
      <x:alignment horizontal="center" vertical="center"/>
    </x:xf>
    <x:xf numFmtId="0" fontId="9" fillId="6" borderId="8" xfId="0" applyNumberFormat="1" applyFont="1" applyFill="1" applyBorder="1" applyAlignment="1">
      <x:alignment horizontal="center" vertical="center"/>
    </x:xf>
    <x:xf numFmtId="0" fontId="10" fillId="2" borderId="0" xfId="0" applyNumberFormat="1" applyFont="1" applyFill="1" applyBorder="1"/>
    <x:xf numFmtId="0" fontId="1" fillId="4" borderId="2" xfId="0" applyNumberFormat="1" applyFont="1" applyFill="1" applyBorder="1" applyAlignment="1">
      <x:alignment vertical="top" wrapText="1"/>
    </x:xf>
    <x:xf numFmtId="0" fontId="4" fillId="4" borderId="2" xfId="0" applyNumberFormat="1" applyFont="1" applyFill="1" applyBorder="1" applyAlignment="1">
      <x:alignment vertical="top" wrapText="1"/>
    </x:xf>
    <x:xf numFmtId="0" fontId="4" fillId="4" borderId="2" xfId="0" applyNumberFormat="1" applyFont="1" applyFill="1" applyBorder="1" applyAlignment="1">
      <x:alignment horizontal="center" vertical="top" wrapText="1"/>
    </x:xf>
    <x:xf numFmtId="0" fontId="1" fillId="7" borderId="0" xfId="0" applyNumberFormat="1" applyFont="1" applyFill="1" applyBorder="1"/>
    <x:xf numFmtId="0" fontId="11" fillId="7" borderId="0" xfId="0" applyNumberFormat="1" applyFont="1" applyFill="1" applyBorder="1"/>
    <x:xf numFmtId="0" fontId="11" fillId="7" borderId="2" xfId="0" applyNumberFormat="1" applyFont="1" applyFill="1" applyBorder="1"/>
    <x:xf numFmtId="0" fontId="11" fillId="7" borderId="2" xfId="0" applyNumberFormat="1" applyFont="1" applyFill="1" applyBorder="1" applyAlignment="1">
      <x:alignment wrapText="1"/>
    </x:xf>
    <x:xf numFmtId="0" fontId="11" fillId="7" borderId="2" xfId="0" applyNumberFormat="1" applyFont="1" applyFill="1" applyBorder="1" applyAlignment="1">
      <x:alignment vertical="center" wrapText="1"/>
    </x:xf>
    <x:xf numFmtId="0" fontId="1" fillId="0" borderId="2" xfId="0" applyNumberFormat="1" applyFont="1" applyFill="1" applyBorder="1" applyAlignment="1">
      <x:alignment horizontal="center"/>
    </x:xf>
    <x:xf numFmtId="0" fontId="1" fillId="0" borderId="2" xfId="0" applyNumberFormat="1" applyFont="1" applyFill="1" applyBorder="1" applyAlignment="1">
      <x:alignment horizontal="center" vertical="center"/>
    </x:xf>
    <x:xf numFmtId="0" fontId="1" fillId="4" borderId="2" xfId="0" applyNumberFormat="1" applyFont="1" applyFill="1" applyBorder="1" applyAlignment="1">
      <x:alignment horizontal="center" vertical="center"/>
    </x:xf>
    <x:xf numFmtId="0" fontId="4" fillId="4" borderId="2" xfId="0" applyNumberFormat="1" applyFont="1" applyFill="1" applyBorder="1" applyAlignment="1">
      <x:alignment horizontal="center" vertical="center"/>
    </x:xf>
    <x:xf numFmtId="0" fontId="12" fillId="7" borderId="0" xfId="0" applyNumberFormat="1" applyFont="1" applyFill="1" applyBorder="1"/>
    <x:xf numFmtId="0" fontId="12" fillId="7" borderId="2" xfId="0" applyNumberFormat="1" applyFont="1" applyFill="1" applyBorder="1"/>
    <x:xf numFmtId="0" fontId="12" fillId="7" borderId="2" xfId="0" applyNumberFormat="1" applyFont="1" applyFill="1" applyBorder="1" applyAlignment="1">
      <x:alignment wrapText="1"/>
    </x:xf>
    <x:xf numFmtId="0" fontId="12" fillId="7" borderId="2" xfId="0" applyNumberFormat="1" applyFont="1" applyFill="1" applyBorder="1" applyAlignment="1">
      <x:alignment vertical="center" wrapText="1"/>
    </x:xf>
    <x:xf numFmtId="0" fontId="1" fillId="0" borderId="2" xfId="0" applyNumberFormat="1" applyFont="1" applyFill="1" applyBorder="1" applyAlignment="1">
      <x:alignment vertical="center" wrapText="1"/>
    </x:xf>
    <x:xf numFmtId="0" fontId="1" fillId="4" borderId="2" xfId="0" applyNumberFormat="1" applyFont="1" applyFill="1" applyBorder="1" applyAlignment="1">
      <x:alignment vertical="center" wrapText="1"/>
    </x:xf>
    <x:xf numFmtId="0" fontId="4" fillId="4" borderId="2" xfId="0" applyNumberFormat="1" applyFont="1" applyFill="1" applyBorder="1" applyAlignment="1">
      <x:alignment vertical="center" wrapText="1"/>
    </x:xf>
    <x:xf numFmtId="0" fontId="4" fillId="4" borderId="2" xfId="0" applyNumberFormat="1" applyFont="1" applyFill="1" applyBorder="1" applyAlignment="1">
      <x:alignment horizontal="center" vertical="center" wrapText="1"/>
    </x:xf>
    <x:xf numFmtId="0" fontId="4" fillId="2" borderId="0" xfId="0" applyNumberFormat="1" applyFont="1" applyFill="1" applyBorder="1"/>
    <x:xf numFmtId="0" fontId="1" fillId="5" borderId="2" xfId="0" applyNumberFormat="1" applyFont="1" applyFill="1" applyBorder="1" applyAlignment="1">
      <x:alignment vertical="top" wrapText="1"/>
    </x:xf>
    <x:xf numFmtId="0" fontId="8" fillId="5" borderId="2" xfId="0" applyNumberFormat="1" applyFont="1" applyFill="1" applyBorder="1" applyAlignment="1">
      <x:alignment vertical="top" wrapText="1"/>
    </x:xf>
    <x:xf numFmtId="0" fontId="12" fillId="0" borderId="2" xfId="0" applyNumberFormat="1" applyFont="1" applyFill="1" applyBorder="1" applyAlignment="1">
      <x:alignment vertical="top" wrapText="1"/>
    </x:xf>
    <x:xf numFmtId="0" fontId="1" fillId="8" borderId="0" xfId="0" applyNumberFormat="1" applyFont="1" applyFill="1" applyBorder="1"/>
    <x:xf numFmtId="0" fontId="13" fillId="8" borderId="0" xfId="0" applyNumberFormat="1" applyFont="1" applyFill="1" applyBorder="1"/>
    <x:xf numFmtId="0" fontId="13" fillId="8" borderId="9" xfId="0" applyNumberFormat="1" applyFont="1" applyFill="1" applyBorder="1"/>
    <x:xf numFmtId="0" fontId="13" fillId="8" borderId="9" xfId="0" applyNumberFormat="1" applyFont="1" applyFill="1" applyBorder="1" applyAlignment="1">
      <x:alignment wrapText="1"/>
    </x:xf>
    <x:xf numFmtId="0" fontId="13" fillId="8" borderId="9" xfId="0" applyNumberFormat="1" applyFont="1" applyFill="1" applyBorder="1" applyAlignment="1">
      <x:alignment vertical="center" wrapText="1"/>
    </x:xf>
  </x:cellXfs>
  <x:cellStyles count="1">
    <x:cellStyle name="Normal" xfId="0"/>
  </x:cellStyles>
  <x:dxfs count="19">
    <x:dxf>
      <x:font>
        <x:b/>
        <x:color rgb="FF1B5E20"/>
      </x:font>
      <x:fill>
        <x:patternFill patternType="solid">
          <x:bgColor rgb="FFD9EAD3"/>
        </x:patternFill>
      </x:fill>
    </x:dxf>
    <x:dxf>
      <x:font>
        <x:b/>
        <x:color rgb="FF1F4E78"/>
      </x:font>
      <x:fill>
        <x:patternFill patternType="solid">
          <x:bgColor rgb="FFDCEAF7"/>
        </x:patternFill>
      </x:fill>
    </x:dxf>
    <x:dxf>
      <x:font>
        <x:b/>
        <x:color rgb="FF8A4B08"/>
      </x:font>
      <x:fill>
        <x:patternFill patternType="solid">
          <x:bgColor rgb="FFFCE8B2"/>
        </x:patternFill>
      </x:fill>
    </x:dxf>
    <x:dxf>
      <x:font>
        <x:b/>
        <x:color rgb="FF1B5E20"/>
      </x:font>
      <x:fill>
        <x:patternFill patternType="solid">
          <x:bgColor rgb="FFD9EAD3"/>
        </x:patternFill>
      </x:fill>
    </x:dxf>
    <x:dxf>
      <x:font>
        <x:b/>
        <x:color rgb="FF8A4B08"/>
      </x:font>
      <x:fill>
        <x:patternFill patternType="solid">
          <x:bgColor rgb="FFFCE8B2"/>
        </x:patternFill>
      </x:fill>
    </x:dxf>
    <x:dxf>
      <x:font>
        <x:b/>
        <x:color rgb="FF1B5E20"/>
      </x:font>
      <x:fill>
        <x:patternFill patternType="solid">
          <x:bgColor rgb="FFD9EAD3"/>
        </x:patternFill>
      </x:fill>
    </x:dxf>
    <x:dxf>
      <x:font>
        <x:b/>
        <x:color rgb="FF8A4B08"/>
      </x:font>
      <x:fill>
        <x:patternFill patternType="solid">
          <x:bgColor rgb="FFFCE8B2"/>
        </x:patternFill>
      </x:fill>
    </x:dxf>
    <x:dxf>
      <x:font>
        <x:color rgb="FF52606D"/>
      </x:font>
      <x:fill>
        <x:patternFill patternType="solid">
          <x:bgColor rgb="FFE5E7EB"/>
        </x:patternFill>
      </x:fill>
    </x:dxf>
    <x:dxf>
      <x:font>
        <x:b/>
        <x:color rgb="FF1B5E20"/>
      </x:font>
      <x:fill>
        <x:patternFill patternType="solid">
          <x:bgColor rgb="FFD9EAD3"/>
        </x:patternFill>
      </x:fill>
    </x:dxf>
    <x:dxf>
      <x:font>
        <x:b/>
        <x:color rgb="FF1B5E20"/>
      </x:font>
      <x:fill>
        <x:patternFill patternType="solid">
          <x:bgColor rgb="FFD9EAD3"/>
        </x:patternFill>
      </x:fill>
    </x:dxf>
    <x:dxf>
      <x:font>
        <x:color rgb="FF8A4B08"/>
      </x:font>
      <x:fill>
        <x:patternFill patternType="solid">
          <x:bgColor rgb="FFFCE8B2"/>
        </x:patternFill>
      </x:fill>
    </x:dxf>
    <x:dxf>
      <x:font>
        <x:color rgb="FF1B5E20"/>
      </x:font>
      <x:fill>
        <x:patternFill patternType="solid">
          <x:bgColor rgb="FFD9EAD3"/>
        </x:patternFill>
      </x:fill>
    </x:dxf>
    <x:dxf>
      <x:font>
        <x:b/>
        <x:color rgb="FF8A4B08"/>
      </x:font>
      <x:fill>
        <x:patternFill patternType="solid">
          <x:bgColor rgb="FFFCE8B2"/>
        </x:patternFill>
      </x:fill>
    </x:dxf>
    <x:dxf>
      <x:font>
        <x:b/>
        <x:color rgb="FF9C0006"/>
      </x:font>
      <x:fill>
        <x:patternFill patternType="solid">
          <x:bgColor rgb="FFF4CCCC"/>
        </x:patternFill>
      </x:fill>
    </x:dxf>
    <x:dxf>
      <x:font>
        <x:color rgb="FF1F4E78"/>
      </x:font>
      <x:fill>
        <x:patternFill patternType="solid">
          <x:bgColor rgb="FFE4DFEC"/>
        </x:patternFill>
      </x:fill>
    </x:dxf>
    <x:dxf>
      <x:font>
        <x:b/>
        <x:color rgb="FF8A4B08"/>
      </x:font>
      <x:fill>
        <x:patternFill patternType="solid">
          <x:bgColor rgb="FFFCE8B2"/>
        </x:patternFill>
      </x:fill>
    </x:dxf>
    <x:dxf>
      <x:font>
        <x:b/>
        <x:color rgb="FF1B5E20"/>
      </x:font>
      <x:fill>
        <x:patternFill patternType="solid">
          <x:bgColor rgb="FFD9EAD3"/>
        </x:patternFill>
      </x:fill>
    </x:dxf>
    <x:dxf>
      <x:font>
        <x:b/>
        <x:color rgb="FF9C0006"/>
      </x:font>
      <x:fill>
        <x:patternFill patternType="solid">
          <x:bgColor rgb="FFF4CCCC"/>
        </x:patternFill>
      </x:fill>
    </x:dxf>
    <x:dxf>
      <x:font>
        <x:color rgb="FF8A4B08"/>
      </x:font>
      <x:fill>
        <x:patternFill patternType="solid">
          <x:bgColor rgb="FFFCE8B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da675f543b443d" /><Relationship Type="http://schemas.openxmlformats.org/officeDocument/2006/relationships/theme" Target="/xl/theme/theme1.xml" Id="R24d2d27908fa48c1" /><Relationship Type="http://schemas.openxmlformats.org/officeDocument/2006/relationships/sharedStrings" Target="/xl/sharedStrings.xml" Id="Rca03e8d413284df8" /><Relationship Type="http://schemas.openxmlformats.org/officeDocument/2006/relationships/worksheet" Target="/xl/worksheets/sheet1.xml" Id="Rb7dfdf55c8cd4b81" /><Relationship Type="http://schemas.openxmlformats.org/officeDocument/2006/relationships/worksheet" Target="/xl/worksheets/sheet2.xml" Id="R7a530997f2f84851" /><Relationship Type="http://schemas.openxmlformats.org/officeDocument/2006/relationships/worksheet" Target="/xl/worksheets/sheet3.xml" Id="R4621984b7c9e4f3d" /><Relationship Type="http://schemas.openxmlformats.org/officeDocument/2006/relationships/worksheet" Target="/xl/worksheets/sheet4.xml" Id="R012e49c40da44960" /><Relationship Type="http://schemas.openxmlformats.org/officeDocument/2006/relationships/worksheet" Target="/xl/worksheets/sheet5.xml" Id="Ra58d65b40dcf49f2" /><Relationship Type="http://schemas.openxmlformats.org/officeDocument/2006/relationships/worksheet" Target="/xl/worksheets/sheet6.xml" Id="R7c2bc38791984c29" /><Relationship Type="http://schemas.openxmlformats.org/officeDocument/2006/relationships/worksheet" Target="/xl/worksheets/sheet7.xml" Id="R1691cb8e072a4951" /><Relationship Type="http://schemas.openxmlformats.org/officeDocument/2006/relationships/worksheet" Target="/xl/worksheets/sheet8.xml" Id="R1a66204bc18b4a5a" /><Relationship Type="http://schemas.openxmlformats.org/officeDocument/2006/relationships/worksheet" Target="/xl/worksheets/sheet9.xml" Id="R93f9a29f21c3413a" /><Relationship Type="http://schemas.openxmlformats.org/officeDocument/2006/relationships/worksheet" Target="/xl/worksheets/sheet10.xml" Id="R8084cda8b5554a36" /><Relationship Type="http://schemas.openxmlformats.org/officeDocument/2006/relationships/worksheet" Target="/xl/worksheets/sheet11.xml" Id="R15547677ca994c1c" /></Relationships>
</file>

<file path=xl/tables/table1.xml><?xml version="1.0" encoding="utf-8"?>
<x:table xmlns:x="http://schemas.openxmlformats.org/spreadsheetml/2006/main" id="1" name="PriorityRecruitments" displayName="PriorityRecruitments" ref="A4:S224" headerRowCount="1" totalsRowCount="0" totalsRowShown="0">
  <x:autoFilter ref="A4:S224"/>
  <x:tableColumns count="19">
    <x:tableColumn id="1" name="순번"/>
    <x:tableColumn id="2" name="등급"/>
    <x:tableColumn id="3" name="출처"/>
    <x:tableColumn id="4" name="기관명"/>
    <x:tableColumn id="5" name="공고명"/>
    <x:tableColumn id="6" name="채용구분"/>
    <x:tableColumn id="7" name="고용형태"/>
    <x:tableColumn id="8" name="근무지역"/>
    <x:tableColumn id="9" name="지역 지원제한"/>
    <x:tableColumn id="10" name="마감일"/>
    <x:tableColumn id="11" name="채용트랙"/>
    <x:tableColumn id="12" name="일반취준생 분류"/>
    <x:tableColumn id="13" name="제한경쟁 표시"/>
    <x:tableColumn id="14" name="검증수준"/>
    <x:tableColumn id="15" name="응시자격"/>
    <x:tableColumn id="16" name="전형절차"/>
    <x:tableColumn id="17" name="면접정보"/>
    <x:tableColumn id="18" name="추가 자격증 언급"/>
    <x:tableColumn id="19" name="공식 링크"/>
  </x:tableColumns>
  <x:tableStyleInfo name="TableStyleMedium2" showFirstColumn="0" showLastColumn="0" showRowStripes="1" showColumnStripes="0"/>
</x:table>
</file>

<file path=xl/tables/table2.xml><?xml version="1.0" encoding="utf-8"?>
<x:table xmlns:x="http://schemas.openxmlformats.org/spreadsheetml/2006/main" id="2" name="JobAlioOpen419" displayName="JobAlioOpen419" ref="A4:X423" headerRowCount="1" totalsRowCount="0" totalsRowShown="0">
  <x:autoFilter ref="A4:X423"/>
  <x:tableColumns count="24">
    <x:tableColumn id="1" name="포털번호"/>
    <x:tableColumn id="2" name="기관명"/>
    <x:tableColumn id="3" name="공고명"/>
    <x:tableColumn id="4" name="근무지역"/>
    <x:tableColumn id="5" name="고용형태"/>
    <x:tableColumn id="6" name="등록일"/>
    <x:tableColumn id="7" name="마감표시"/>
    <x:tableColumn id="8" name="채용트랙"/>
    <x:tableColumn id="9" name="일반취준생 분류"/>
    <x:tableColumn id="10" name="제한경쟁 표시"/>
    <x:tableColumn id="11" name="채용구분"/>
    <x:tableColumn id="12" name="학력"/>
    <x:tableColumn id="13" name="채용인원"/>
    <x:tableColumn id="14" name="NCS"/>
    <x:tableColumn id="15" name="우대조건"/>
    <x:tableColumn id="16" name="지역인재"/>
    <x:tableColumn id="17" name="지역 지원제한"/>
    <x:tableColumn id="18" name="응시자격"/>
    <x:tableColumn id="19" name="추가 자격증 언급"/>
    <x:tableColumn id="20" name="전형절차"/>
    <x:tableColumn id="21" name="면접정보"/>
    <x:tableColumn id="22" name="검증수준"/>
    <x:tableColumn id="23" name="입사지원 URL"/>
    <x:tableColumn id="24" name="JOB-ALIO 상세"/>
  </x:tableColumns>
  <x:tableStyleInfo name="TableStyleMedium2" showFirstColumn="0" showLastColumn="0" showRowStripes="1" showColumnStripes="0"/>
</x:table>
</file>

<file path=xl/tables/table3.xml><?xml version="1.0" encoding="utf-8"?>
<x:table xmlns:x="http://schemas.openxmlformats.org/spreadsheetml/2006/main" id="3" name="JobAlioVerified26" displayName="JobAlioVerified26" ref="A4:Q30" headerRowCount="1" totalsRowCount="0" totalsRowShown="0">
  <x:autoFilter ref="A4:Q30"/>
  <x:tableColumns count="17">
    <x:tableColumn id="1" name="순번"/>
    <x:tableColumn id="2" name="기관명"/>
    <x:tableColumn id="3" name="공고명"/>
    <x:tableColumn id="4" name="채용구분"/>
    <x:tableColumn id="5" name="고용형태"/>
    <x:tableColumn id="6" name="근무지"/>
    <x:tableColumn id="7" name="학력"/>
    <x:tableColumn id="8" name="채용인원"/>
    <x:tableColumn id="9" name="NCS"/>
    <x:tableColumn id="10" name="응시자격"/>
    <x:tableColumn id="11" name="우대내용"/>
    <x:tableColumn id="12" name="지역인재 탐지"/>
    <x:tableColumn id="13" name="추가 자격증 언급"/>
    <x:tableColumn id="14" name="전형절차"/>
    <x:tableColumn id="15" name="면접정보"/>
    <x:tableColumn id="16" name="입사지원 URL"/>
    <x:tableColumn id="17" name="JOB-ALIO 상세"/>
  </x:tableColumns>
  <x:tableStyleInfo name="TableStyleMedium2" showFirstColumn="0" showLastColumn="0" showRowStripes="1" showColumnStripes="0"/>
</x:table>
</file>

<file path=xl/tables/table4.xml><?xml version="1.0" encoding="utf-8"?>
<x:table xmlns:x="http://schemas.openxmlformats.org/spreadsheetml/2006/main" id="4" name="CleaneyeOpen360" displayName="CleaneyeOpen360" ref="A4:S364" headerRowCount="1" totalsRowCount="0" totalsRowShown="0">
  <x:autoFilter ref="A4:S364"/>
  <x:tableColumns count="19">
    <x:tableColumn id="1" name="수집순번"/>
    <x:tableColumn id="2" name="기관명"/>
    <x:tableColumn id="3" name="소재지"/>
    <x:tableColumn id="4" name="채용제목"/>
    <x:tableColumn id="5" name="채용구분"/>
    <x:tableColumn id="6" name="고용형태"/>
    <x:tableColumn id="7" name="지역 지원제한"/>
    <x:tableColumn id="8" name="접수시작"/>
    <x:tableColumn id="9" name="접수마감"/>
    <x:tableColumn id="10" name="상태"/>
    <x:tableColumn id="11" name="채용트랙"/>
    <x:tableColumn id="12" name="일반취준생 분류"/>
    <x:tableColumn id="13" name="제한경쟁 표시"/>
    <x:tableColumn id="14" name="지역인재"/>
    <x:tableColumn id="15" name="응시자격"/>
    <x:tableColumn id="16" name="전형절차"/>
    <x:tableColumn id="17" name="면접정보"/>
    <x:tableColumn id="18" name="데이터품질"/>
    <x:tableColumn id="19" name="Cleaneye 검색"/>
  </x:tableColumns>
  <x:tableStyleInfo name="TableStyleMedium2" showFirstColumn="0" showLastColumn="0" showRowStripes="1" showColumnStripes="0"/>
</x:table>
</file>

<file path=xl/tables/table5.xml><?xml version="1.0" encoding="utf-8"?>
<x:table xmlns:x="http://schemas.openxmlformats.org/spreadsheetml/2006/main" id="6" name="RegionSummary" displayName="RegionSummary" ref="A4:F21" headerRowCount="1" totalsRowCount="0" totalsRowShown="0">
  <x:tableColumns count="6">
    <x:tableColumn id="1" name="지역"/>
    <x:tableColumn id="2" name="JOB-ALIO 근무지"/>
    <x:tableColumn id="3" name="Cleaneye 소재지"/>
    <x:tableColumn id="4" name="합계"/>
    <x:tableColumn id="5" name="Cleaneye 지역제한"/>
    <x:tableColumn id="6" name="해석"/>
  </x:tableColumns>
  <x:tableStyleInfo name="TableStyleMedium2" showFirstColumn="0" showLastColumn="0" showRowStripes="1" showColumnStripes="0"/>
</x:table>
</file>

<file path=xl/tables/table6.xml><?xml version="1.0" encoding="utf-8"?>
<x:table xmlns:x="http://schemas.openxmlformats.org/spreadsheetml/2006/main" id="7" name="SelectionInterviewGuide" displayName="SelectionInterviewGuide" ref="A4:D13" headerRowCount="1" totalsRowCount="0" totalsRowShown="0">
  <x:autoFilter ref="A4:D13"/>
  <x:tableColumns count="4">
    <x:tableColumn id="1" name="단계"/>
    <x:tableColumn id="2" name="주요 평가"/>
    <x:tableColumn id="3" name="준비자료"/>
    <x:tableColumn id="4" name="일반취준생 주의"/>
  </x:tableColumns>
  <x:tableStyleInfo name="TableStyleMedium2" showFirstColumn="0" showLastColumn="0" showRowStripes="1" showColumnStripes="0"/>
</x:table>
</file>

<file path=xl/tables/table7.xml><?xml version="1.0" encoding="utf-8"?>
<x:table xmlns:x="http://schemas.openxmlformats.org/spreadsheetml/2006/main" id="8" name="CertificateDecision" displayName="CertificateDecision" ref="A4:E12" headerRowCount="1" totalsRowCount="0" totalsRowShown="0">
  <x:autoFilter ref="A4:E12"/>
  <x:tableColumns count="5">
    <x:tableColumn id="1" name="우선순위"/>
    <x:tableColumn id="2" name="자격·경험군"/>
    <x:tableColumn id="3" name="주요 활용직무"/>
    <x:tableColumn id="4" name="공고상 가능한 효과"/>
    <x:tableColumn id="5" name="확인할 것"/>
  </x:tableColumns>
  <x:tableStyleInfo name="TableStyleMedium2" showFirstColumn="0" showLastColumn="0" showRowStripes="1" showColumnStripes="0"/>
</x:table>
</file>

<file path=xl/tables/table8.xml><?xml version="1.0" encoding="utf-8"?>
<x:table xmlns:x="http://schemas.openxmlformats.org/spreadsheetml/2006/main" id="5" name="SocialDisabilityFilter" displayName="SocialDisabilityFilter" ref="A4:O77" headerRowCount="1" totalsRowCount="0" totalsRowShown="0">
  <x:autoFilter ref="A4:O77"/>
  <x:tableColumns count="15">
    <x:tableColumn id="1" name="순번"/>
    <x:tableColumn id="2" name="출처"/>
    <x:tableColumn id="3" name="기관명"/>
    <x:tableColumn id="4" name="공고명"/>
    <x:tableColumn id="5" name="근무지역"/>
    <x:tableColumn id="6" name="고용형태"/>
    <x:tableColumn id="7" name="마감일"/>
    <x:tableColumn id="8" name="채용트랙"/>
    <x:tableColumn id="9" name="일반취준생 분류"/>
    <x:tableColumn id="10" name="제한경쟁 표시"/>
    <x:tableColumn id="11" name="응시자격"/>
    <x:tableColumn id="12" name="우대조건"/>
    <x:tableColumn id="13" name="검증수준"/>
    <x:tableColumn id="14" name="데이터품질"/>
    <x:tableColumn id="15" name="공식 링크"/>
  </x:tableColumns>
  <x:tableStyleInfo name="TableStyleMedium2" showFirstColumn="0" showLastColumn="0" showRowStripes="1" showColumnStripes="0"/>
</x:table>
</file>

<file path=xl/tables/table9.xml><?xml version="1.0" encoding="utf-8"?>
<x:table xmlns:x="http://schemas.openxmlformats.org/spreadsheetml/2006/main" id="9" name="ApplicationTracker" displayName="ApplicationTracker" ref="A4:N54" headerRowCount="1" totalsRowCount="0" totalsRowShown="0">
  <x:autoFilter ref="A4:N54"/>
  <x:tableColumns count="14">
    <x:tableColumn id="1" name="순번"/>
    <x:tableColumn id="2" name="기관명"/>
    <x:tableColumn id="3" name="공고명"/>
    <x:tableColumn id="4" name="출처"/>
    <x:tableColumn id="5" name="근무지역"/>
    <x:tableColumn id="6" name="마감일"/>
    <x:tableColumn id="7" name="진행상태"/>
    <x:tableColumn id="8" name="필수자격 충족"/>
    <x:tableColumn id="9" name="지역조건 충족"/>
    <x:tableColumn id="10" name="일정 가능"/>
    <x:tableColumn id="11" name="관심도(1~5)"/>
    <x:tableColumn id="12" name="지원판정"/>
    <x:tableColumn id="13" name="메모"/>
    <x:tableColumn id="14" name="공식 링크"/>
  </x:tableColumns>
  <x:tableStyleInfo name="TableStyleMedium2" showFirstColumn="0" showLastColumn="0" showRowStripes="1" showColumnStripes="0"/>
</x:table>
</file>

<file path=xl/tables/table10.xml><?xml version="1.0" encoding="utf-8"?>
<x:table xmlns:x="http://schemas.openxmlformats.org/spreadsheetml/2006/main" id="10" name="EvidenceLevels" displayName="EvidenceLevels" ref="A4:C8" headerRowCount="1" totalsRowCount="0" totalsRowShown="0">
  <x:autoFilter ref="A4:C8"/>
  <x:tableColumns count="3">
    <x:tableColumn id="1" name="정보등급"/>
    <x:tableColumn id="2" name="정의"/>
    <x:tableColumn id="3" name="사용 원칙"/>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e157889d794ae0" /></Relationships>
</file>

<file path=xl/worksheets/_rels/sheet3.xml.rels>&#65279;<?xml version="1.0" encoding="utf-8"?><Relationships xmlns="http://schemas.openxmlformats.org/package/2006/relationships"><Relationship Type="http://schemas.openxmlformats.org/officeDocument/2006/relationships/table" Target="/xl/tables/table2.xml" Id="Rdb7ea991edd74219" /></Relationships>
</file>

<file path=xl/worksheets/_rels/sheet4.xml.rels>&#65279;<?xml version="1.0" encoding="utf-8"?><Relationships xmlns="http://schemas.openxmlformats.org/package/2006/relationships"><Relationship Type="http://schemas.openxmlformats.org/officeDocument/2006/relationships/table" Target="/xl/tables/table3.xml" Id="R81a86ba4502345a1" /></Relationships>
</file>

<file path=xl/worksheets/_rels/sheet5.xml.rels>&#65279;<?xml version="1.0" encoding="utf-8"?><Relationships xmlns="http://schemas.openxmlformats.org/package/2006/relationships"><Relationship Type="http://schemas.openxmlformats.org/officeDocument/2006/relationships/table" Target="/xl/tables/table4.xml" Id="Rfeac34ed6d464bcd" /></Relationships>
</file>

<file path=xl/worksheets/_rels/sheet6.xml.rels>&#65279;<?xml version="1.0" encoding="utf-8"?><Relationships xmlns="http://schemas.openxmlformats.org/package/2006/relationships"><Relationship Type="http://schemas.openxmlformats.org/officeDocument/2006/relationships/table" Target="/xl/tables/table5.xml" Id="Re5de3a8cb4524b54" /></Relationships>
</file>

<file path=xl/worksheets/_rels/sheet7.xml.rels>&#65279;<?xml version="1.0" encoding="utf-8"?><Relationships xmlns="http://schemas.openxmlformats.org/package/2006/relationships"><Relationship Type="http://schemas.openxmlformats.org/officeDocument/2006/relationships/table" Target="/xl/tables/table6.xml" Id="R8e2fc39f3ed94816" /></Relationships>
</file>

<file path=xl/worksheets/_rels/sheet8.xml.rels>&#65279;<?xml version="1.0" encoding="utf-8"?><Relationships xmlns="http://schemas.openxmlformats.org/package/2006/relationships"><Relationship Type="http://schemas.openxmlformats.org/officeDocument/2006/relationships/table" Target="/xl/tables/table7.xml" Id="Rfbc6662a93f54b8d" /></Relationships>
</file>

<file path=xl/worksheets/_rels/sheet9.xml.rels>&#65279;<?xml version="1.0" encoding="utf-8"?><Relationships xmlns="http://schemas.openxmlformats.org/package/2006/relationships"><Relationship Type="http://schemas.openxmlformats.org/officeDocument/2006/relationships/table" Target="/xl/tables/table8.xml" Id="R8e3b9d7167a14170" /></Relationships>
</file>

<file path=xl/worksheets/_rels/sheet10.xml.rels>&#65279;<?xml version="1.0" encoding="utf-8"?><Relationships xmlns="http://schemas.openxmlformats.org/package/2006/relationships"><Relationship Type="http://schemas.openxmlformats.org/officeDocument/2006/relationships/table" Target="/xl/tables/table9.xml" Id="R5d81452f581c44c4" /></Relationships>
</file>

<file path=xl/worksheets/_rels/sheet11.xml.rels>&#65279;<?xml version="1.0" encoding="utf-8"?><Relationships xmlns="http://schemas.openxmlformats.org/package/2006/relationships"><Relationship Type="http://schemas.openxmlformats.org/officeDocument/2006/relationships/table" Target="/xl/tables/table10.xml" Id="Rb75d9ad151ad4ee5" /></Relationships>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24"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30" customHeight="1">
      <x:c r="A1" s="20" t="str">
        <x:v>대한민국 공공부문 전국채용 통합판</x:v>
      </x:c>
      <x:c r="B1" s="20"/>
      <x:c r="C1" s="20"/>
      <x:c r="D1" s="20"/>
      <x:c r="E1" s="20"/>
      <x:c r="F1" s="20"/>
      <x:c r="G1" s="20"/>
      <x:c r="H1" s="20"/>
      <x:c r="I1" s="20"/>
      <x:c r="J1" s="20"/>
      <x:c r="K1" s="20"/>
      <x:c r="L1" s="20"/>
      <x:c r="M1" s="1"/>
      <x:c r="N1" s="1"/>
      <x:c r="O1" s="1"/>
      <x:c r="P1" s="1"/>
      <x:c r="Q1" s="1"/>
      <x:c r="R1" s="1"/>
      <x:c r="S1" s="1"/>
      <x:c r="T1" s="1"/>
      <x:c r="U1" s="1"/>
      <x:c r="V1" s="1"/>
      <x:c r="W1" s="1"/>
      <x:c r="X1" s="1"/>
      <x:c r="Y1" s="1"/>
      <x:c r="Z1" s="1"/>
    </x:row>
    <x:row r="2" ht="30" customHeight="1">
      <x:c r="A2" s="20"/>
      <x:c r="B2" s="20"/>
      <x:c r="C2" s="20"/>
      <x:c r="D2" s="20"/>
      <x:c r="E2" s="20"/>
      <x:c r="F2" s="20"/>
      <x:c r="G2" s="20"/>
      <x:c r="H2" s="20"/>
      <x:c r="I2" s="20"/>
      <x:c r="J2" s="20"/>
      <x:c r="K2" s="20"/>
      <x:c r="L2" s="20"/>
      <x:c r="M2" s="1"/>
      <x:c r="N2" s="1"/>
      <x:c r="O2" s="1"/>
      <x:c r="P2" s="1"/>
      <x:c r="Q2" s="1"/>
      <x:c r="R2" s="1"/>
      <x:c r="S2" s="1"/>
      <x:c r="T2" s="1"/>
      <x:c r="U2" s="1"/>
      <x:c r="V2" s="1"/>
      <x:c r="W2" s="1"/>
      <x:c r="X2" s="1"/>
      <x:c r="Y2" s="1"/>
      <x:c r="Z2" s="1"/>
    </x:row>
    <x:row r="3" ht="28" customHeight="1">
      <x:c r="A3" s="22" t="str">
        <x:v>일반 취준생용 | JOB-ALIO + Cleaneye Job+ 모집 중 전수 스냅샷 | 기준 2026-09-09 KST</x:v>
      </x:c>
      <x:c r="B3" s="22"/>
      <x:c r="C3" s="22"/>
      <x:c r="D3" s="22"/>
      <x:c r="E3" s="22"/>
      <x:c r="F3" s="22"/>
      <x:c r="G3" s="22"/>
      <x:c r="H3" s="22"/>
      <x:c r="I3" s="22"/>
      <x:c r="J3" s="22"/>
      <x:c r="K3" s="22"/>
      <x:c r="L3" s="22"/>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29" t="str">
        <x:v>전체 포털 결과</x:v>
      </x:c>
      <x:c r="B5" s="30"/>
      <x:c r="C5" s="29" t="str">
        <x:v>JOB-ALIO 진행중</x:v>
      </x:c>
      <x:c r="D5" s="30"/>
      <x:c r="E5" s="29" t="str">
        <x:v>Cleaneye 모집중</x:v>
      </x:c>
      <x:c r="F5" s="30"/>
      <x:c r="G5" s="29" t="str">
        <x:v>상세검증 공고</x:v>
      </x:c>
      <x:c r="H5" s="30"/>
      <x:c r="I5" s="29" t="str">
        <x:v>신입 우선후보</x:v>
      </x:c>
      <x:c r="J5" s="30"/>
      <x:c r="K5" s="29" t="str">
        <x:v>품질확인 필요</x:v>
      </x:c>
      <x:c r="L5" s="30"/>
      <x:c r="M5" s="1"/>
      <x:c r="N5" s="1"/>
      <x:c r="O5" s="1"/>
      <x:c r="P5" s="1"/>
      <x:c r="Q5" s="1"/>
      <x:c r="R5" s="1"/>
      <x:c r="S5" s="1"/>
      <x:c r="T5" s="1"/>
      <x:c r="U5" s="1"/>
      <x:c r="V5" s="1"/>
      <x:c r="W5" s="1"/>
      <x:c r="X5" s="1"/>
      <x:c r="Y5" s="1"/>
      <x:c r="Z5" s="1"/>
    </x:row>
    <x:row r="6">
      <x:c r="A6" s="41" t="n">
        <x:f>COUNTA('JOBALIO_419'!$A$5:$A$423)+COUNTA('CLEANEYE_360'!$A$5:$A$364)</x:f>
        <x:v>779</x:v>
      </x:c>
      <x:c r="B6" s="42"/>
      <x:c r="C6" s="41" t="n">
        <x:f>COUNTA('JOBALIO_419'!$A$5:$A$423)</x:f>
        <x:v>419</x:v>
      </x:c>
      <x:c r="D6" s="42"/>
      <x:c r="E6" s="41" t="n">
        <x:f>COUNTA('CLEANEYE_360'!$A$5:$A$364)</x:f>
        <x:v>360</x:v>
      </x:c>
      <x:c r="F6" s="42"/>
      <x:c r="G6" s="41" t="n">
        <x:f>COUNTA('JOBALIO_상세26'!$A$5:$A$30)</x:f>
        <x:v>26</x:v>
      </x:c>
      <x:c r="H6" s="42"/>
      <x:c r="I6" s="41" t="n">
        <x:f>COUNTA('신입_우선검토'!$A$5:$A$224)</x:f>
        <x:v>220</x:v>
      </x:c>
      <x:c r="J6" s="42"/>
      <x:c r="K6" s="41" t="n">
        <x:f>COUNTIF('CLEANEYE_360'!$R$5:$R$364,"&lt;&gt;정상")</x:f>
        <x:v>17</x:v>
      </x:c>
      <x:c r="L6" s="42"/>
      <x:c r="M6" s="1"/>
      <x:c r="N6" s="1"/>
      <x:c r="O6" s="1"/>
      <x:c r="P6" s="1"/>
      <x:c r="Q6" s="1"/>
      <x:c r="R6" s="1"/>
      <x:c r="S6" s="1"/>
      <x:c r="T6" s="1"/>
      <x:c r="U6" s="1"/>
      <x:c r="V6" s="1"/>
      <x:c r="W6" s="1"/>
      <x:c r="X6" s="1"/>
      <x:c r="Y6" s="1"/>
      <x:c r="Z6" s="1"/>
    </x:row>
    <x:row r="7">
      <x:c r="A7" s="43"/>
      <x:c r="B7" s="44"/>
      <x:c r="C7" s="43"/>
      <x:c r="D7" s="44"/>
      <x:c r="E7" s="43"/>
      <x:c r="F7" s="44"/>
      <x:c r="G7" s="43"/>
      <x:c r="H7" s="44"/>
      <x:c r="I7" s="43"/>
      <x:c r="J7" s="44"/>
      <x:c r="K7" s="43"/>
      <x:c r="L7" s="44"/>
      <x:c r="M7" s="1"/>
      <x:c r="N7" s="1"/>
      <x:c r="O7" s="1"/>
      <x:c r="P7" s="1"/>
      <x:c r="Q7" s="1"/>
      <x:c r="R7" s="1"/>
      <x:c r="S7" s="1"/>
      <x:c r="T7" s="1"/>
      <x:c r="U7" s="1"/>
      <x:c r="V7" s="1"/>
      <x:c r="W7" s="1"/>
      <x:c r="X7" s="1"/>
      <x:c r="Y7" s="1"/>
      <x:c r="Z7" s="1"/>
    </x:row>
    <x:row r="8">
      <x:c r="A8" s="1"/>
      <x:c r="B8" s="1"/>
      <x:c r="C8" s="1"/>
      <x:c r="D8" s="1"/>
      <x:c r="E8" s="1"/>
      <x:c r="F8" s="1"/>
      <x:c r="G8" s="1"/>
      <x:c r="H8" s="1"/>
      <x:c r="I8" s="1"/>
      <x:c r="J8" s="1"/>
      <x:c r="K8" s="1"/>
      <x:c r="L8" s="1"/>
      <x:c r="M8" s="1"/>
      <x:c r="N8" s="1"/>
      <x:c r="O8" s="1"/>
      <x:c r="P8" s="1"/>
      <x:c r="Q8" s="1"/>
      <x:c r="R8" s="1"/>
      <x:c r="S8" s="1"/>
      <x:c r="T8" s="1"/>
      <x:c r="U8" s="1"/>
      <x:c r="V8" s="1"/>
      <x:c r="W8" s="1"/>
      <x:c r="X8" s="1"/>
      <x:c r="Y8" s="1"/>
      <x:c r="Z8" s="1"/>
    </x:row>
    <x:row r="9">
      <x:c r="A9" s="45" t="str">
        <x:v>이 파일을 10분 안에 쓰는 순서</x:v>
      </x:c>
      <x:c r="B9" s="45"/>
      <x:c r="C9" s="45"/>
      <x:c r="D9" s="45"/>
      <x:c r="E9" s="45"/>
      <x:c r="F9" s="45" t="str">
        <x:v>범위와 한계</x:v>
      </x:c>
      <x:c r="G9" s="45"/>
      <x:c r="H9" s="45"/>
      <x:c r="I9" s="45"/>
      <x:c r="J9" s="45"/>
      <x:c r="K9" s="45"/>
      <x:c r="L9" s="45"/>
      <x:c r="M9" s="1"/>
      <x:c r="N9" s="1"/>
      <x:c r="O9" s="1"/>
      <x:c r="P9" s="1"/>
      <x:c r="Q9" s="1"/>
      <x:c r="R9" s="1"/>
      <x:c r="S9" s="1"/>
      <x:c r="T9" s="1"/>
      <x:c r="U9" s="1"/>
      <x:c r="V9" s="1"/>
      <x:c r="W9" s="1"/>
      <x:c r="X9" s="1"/>
      <x:c r="Y9" s="1"/>
      <x:c r="Z9" s="1"/>
    </x:row>
    <x:row r="10" ht="40" customHeight="1">
      <x:c r="A10" s="48" t="str">
        <x:v>순서</x:v>
      </x:c>
      <x:c r="B10" s="48" t="str">
        <x:v>시트</x:v>
      </x:c>
      <x:c r="C10" s="48" t="str">
        <x:v>실행</x:v>
      </x:c>
      <x:c r="D10" s="48" t="str">
        <x:v>주의</x:v>
      </x:c>
      <x:c r="E10" s="1"/>
      <x:c r="F10" s="53" t="str">
        <x:v>• 전체 779행은 두 공식 포털 화면이 반환한 채용상태 스냅샷이며, 기관 수의 영구 총목록이 아닙니다.</x:v>
      </x:c>
      <x:c r="G10" s="53"/>
      <x:c r="H10" s="53"/>
      <x:c r="I10" s="53"/>
      <x:c r="J10" s="53"/>
      <x:c r="K10" s="53"/>
      <x:c r="L10" s="53"/>
      <x:c r="M10" s="1"/>
      <x:c r="N10" s="1"/>
      <x:c r="O10" s="1"/>
      <x:c r="P10" s="1"/>
      <x:c r="Q10" s="1"/>
      <x:c r="R10" s="1"/>
      <x:c r="S10" s="1"/>
      <x:c r="T10" s="1"/>
      <x:c r="U10" s="1"/>
      <x:c r="V10" s="1"/>
      <x:c r="W10" s="1"/>
      <x:c r="X10" s="1"/>
      <x:c r="Y10" s="1"/>
      <x:c r="Z10" s="1"/>
    </x:row>
    <x:row r="11" ht="40" customHeight="1">
      <x:c r="A11" s="17" t="str">
        <x:v>1</x:v>
      </x:c>
      <x:c r="B11" s="17" t="str">
        <x:v>신입_우선검토</x:v>
      </x:c>
      <x:c r="C11" s="17" t="str">
        <x:v>A/B등급과 마감일을 보고 후보를 고릅니다.</x:v>
      </x:c>
      <x:c r="D11" s="17" t="str">
        <x:v>A는 상세페이지 검증, B는 공식 포털 목록 기반</x:v>
      </x:c>
      <x:c r="E11" s="1"/>
      <x:c r="F11" s="53" t="str">
        <x:v>• JOB-ALIO 419건은 ‘진행중’, Cleaneye 360건은 ‘모집중’ 필터 결과입니다. Cleaneye에는 중복·장기 미마감 데이터가 포함됩니다.</x:v>
      </x:c>
      <x:c r="G11" s="53"/>
      <x:c r="H11" s="53"/>
      <x:c r="I11" s="53"/>
      <x:c r="J11" s="53"/>
      <x:c r="K11" s="53"/>
      <x:c r="L11" s="53"/>
      <x:c r="M11" s="1"/>
      <x:c r="N11" s="1"/>
      <x:c r="O11" s="1"/>
      <x:c r="P11" s="1"/>
      <x:c r="Q11" s="1"/>
      <x:c r="R11" s="1"/>
      <x:c r="S11" s="1"/>
      <x:c r="T11" s="1"/>
      <x:c r="U11" s="1"/>
      <x:c r="V11" s="1"/>
      <x:c r="W11" s="1"/>
      <x:c r="X11" s="1"/>
      <x:c r="Y11" s="1"/>
      <x:c r="Z11" s="1"/>
    </x:row>
    <x:row r="12" ht="40" customHeight="1">
      <x:c r="A12" s="17" t="str">
        <x:v>2</x:v>
      </x:c>
      <x:c r="B12" s="17" t="str">
        <x:v>JOBALIO_419 / CLEANEYE_360</x:v>
      </x:c>
      <x:c r="C12" s="17" t="str">
        <x:v>기관·지역·고용형태로 전체 모집중 공고를 필터합니다.</x:v>
      </x:c>
      <x:c r="D12" s="17" t="str">
        <x:v>Cleaneye 품질열이 ‘정상’인지 먼저 확인</x:v>
      </x:c>
      <x:c r="E12" s="1"/>
      <x:c r="F12" s="53" t="str">
        <x:v>• 제목 기반 ‘일반취준생 분류’는 편집부 파생값(C등급)입니다. 법적·실제 지원자격은 최신 공고 원문(A등급)으로만 확정합니다.</x:v>
      </x:c>
      <x:c r="G12" s="53"/>
      <x:c r="H12" s="53"/>
      <x:c r="I12" s="53"/>
      <x:c r="J12" s="53"/>
      <x:c r="K12" s="53"/>
      <x:c r="L12" s="53"/>
      <x:c r="M12" s="1"/>
      <x:c r="N12" s="1"/>
      <x:c r="O12" s="1"/>
      <x:c r="P12" s="1"/>
      <x:c r="Q12" s="1"/>
      <x:c r="R12" s="1"/>
      <x:c r="S12" s="1"/>
      <x:c r="T12" s="1"/>
      <x:c r="U12" s="1"/>
      <x:c r="V12" s="1"/>
      <x:c r="W12" s="1"/>
      <x:c r="X12" s="1"/>
      <x:c r="Y12" s="1"/>
      <x:c r="Z12" s="1"/>
    </x:row>
    <x:row r="13" ht="40" customHeight="1">
      <x:c r="A13" s="17" t="str">
        <x:v>3</x:v>
      </x:c>
      <x:c r="B13" s="17" t="str">
        <x:v>응시자격→지역제한→마감</x:v>
      </x:c>
      <x:c r="C13" s="17" t="str">
        <x:v>필수조건 하나라도 불충족이면 지원서 작성 전 제외합니다.</x:v>
      </x:c>
      <x:c r="D13" s="17" t="str">
        <x:v>근무지역과 지역 지원제한은 다른 개념</x:v>
      </x:c>
      <x:c r="E13" s="1"/>
      <x:c r="F13" s="53" t="str">
        <x:v>• 지역인재는 학교·이전지역 기준의 우대/전형일 수 있고, 지역 지원제한은 주민등록·거주기간 자격입니다.</x:v>
      </x:c>
      <x:c r="G13" s="53"/>
      <x:c r="H13" s="53"/>
      <x:c r="I13" s="53"/>
      <x:c r="J13" s="53"/>
      <x:c r="K13" s="53"/>
      <x:c r="L13" s="53"/>
      <x:c r="M13" s="1"/>
      <x:c r="N13" s="1"/>
      <x:c r="O13" s="1"/>
      <x:c r="P13" s="1"/>
      <x:c r="Q13" s="1"/>
      <x:c r="R13" s="1"/>
      <x:c r="S13" s="1"/>
      <x:c r="T13" s="1"/>
      <x:c r="U13" s="1"/>
      <x:c r="V13" s="1"/>
      <x:c r="W13" s="1"/>
      <x:c r="X13" s="1"/>
      <x:c r="Y13" s="1"/>
      <x:c r="Z13" s="1"/>
    </x:row>
    <x:row r="14" ht="40" customHeight="1">
      <x:c r="A14" s="17" t="str">
        <x:v>4</x:v>
      </x:c>
      <x:c r="B14" s="17" t="str">
        <x:v>전형·면접·자격증</x:v>
      </x:c>
      <x:c r="C14" s="17" t="str">
        <x:v>상세26과 가이드에서 준비 항목을 가져옵니다.</x:v>
      </x:c>
      <x:c r="D14" s="17" t="str">
        <x:v>한국사는 모든 기관 공통 필수가 아님</x:v>
      </x:c>
      <x:c r="E14" s="1"/>
      <x:c r="F14" s="53" t="str">
        <x:v>• 채용은 수시 변경됩니다. 지원 전 기관 채용홈페이지, 첨부 공고문, 직무기술서, FAQ, 정정공고를 다시 확인하세요.</x:v>
      </x:c>
      <x:c r="G14" s="53"/>
      <x:c r="H14" s="53"/>
      <x:c r="I14" s="53"/>
      <x:c r="J14" s="53"/>
      <x:c r="K14" s="53"/>
      <x:c r="L14" s="53"/>
      <x:c r="M14" s="1"/>
      <x:c r="N14" s="1"/>
      <x:c r="O14" s="1"/>
      <x:c r="P14" s="1"/>
      <x:c r="Q14" s="1"/>
      <x:c r="R14" s="1"/>
      <x:c r="S14" s="1"/>
      <x:c r="T14" s="1"/>
      <x:c r="U14" s="1"/>
      <x:c r="V14" s="1"/>
      <x:c r="W14" s="1"/>
      <x:c r="X14" s="1"/>
      <x:c r="Y14" s="1"/>
      <x:c r="Z14" s="1"/>
    </x:row>
    <x:row r="15" ht="40" customHeight="1">
      <x:c r="A15" s="17" t="str">
        <x:v>5</x:v>
      </x:c>
      <x:c r="B15" s="17" t="str">
        <x:v>지원관리</x:v>
      </x:c>
      <x:c r="C15" s="17" t="str">
        <x:v>원하는 공고를 옮겨 필수·지역·일정 충족을 기록합니다.</x:v>
      </x:c>
      <x:c r="D15" s="17" t="str">
        <x:v>공고 원문·정정공고를 최종 기준으로 사용</x:v>
      </x:c>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45" t="str">
        <x:v>고용형태별 빠른 현황</x:v>
      </x:c>
      <x:c r="B18" s="45"/>
      <x:c r="C18" s="45"/>
      <x:c r="D18" s="45"/>
      <x:c r="E18" s="45"/>
      <x:c r="F18" s="45" t="str">
        <x:v>공식 출처</x:v>
      </x:c>
      <x:c r="G18" s="45"/>
      <x:c r="H18" s="45"/>
      <x:c r="I18" s="45"/>
      <x:c r="J18" s="45"/>
      <x:c r="K18" s="45"/>
      <x:c r="L18" s="45"/>
      <x:c r="M18" s="1"/>
      <x:c r="N18" s="1"/>
      <x:c r="O18" s="1"/>
      <x:c r="P18" s="1"/>
      <x:c r="Q18" s="1"/>
      <x:c r="R18" s="1"/>
      <x:c r="S18" s="1"/>
      <x:c r="T18" s="1"/>
      <x:c r="U18" s="1"/>
      <x:c r="V18" s="1"/>
      <x:c r="W18" s="1"/>
      <x:c r="X18" s="1"/>
      <x:c r="Y18" s="1"/>
      <x:c r="Z18" s="1"/>
    </x:row>
    <x:row r="19" ht="34" customHeight="1">
      <x:c r="A19" s="57" t="str">
        <x:v>구분</x:v>
      </x:c>
      <x:c r="B19" s="57" t="str">
        <x:v>JOB-ALIO</x:v>
      </x:c>
      <x:c r="C19" s="57" t="str">
        <x:v>Cleaneye</x:v>
      </x:c>
      <x:c r="D19" s="57" t="str">
        <x:v>합계</x:v>
      </x:c>
      <x:c r="E19" s="1"/>
      <x:c r="F19" s="61" t="str">
        <x:v>https://job.alio.go.kr/recruit.do</x:v>
      </x:c>
      <x:c r="G19" s="61"/>
      <x:c r="H19" s="61"/>
      <x:c r="I19" s="61"/>
      <x:c r="J19" s="61"/>
      <x:c r="K19" s="61"/>
      <x:c r="L19" s="61"/>
      <x:c r="M19" s="1"/>
      <x:c r="N19" s="1"/>
      <x:c r="O19" s="1"/>
      <x:c r="P19" s="1"/>
      <x:c r="Q19" s="1"/>
      <x:c r="R19" s="1"/>
      <x:c r="S19" s="1"/>
      <x:c r="T19" s="1"/>
      <x:c r="U19" s="1"/>
      <x:c r="V19" s="1"/>
      <x:c r="W19" s="1"/>
      <x:c r="X19" s="1"/>
      <x:c r="Y19" s="1"/>
      <x:c r="Z19" s="1"/>
    </x:row>
    <x:row r="20" ht="34" customHeight="1">
      <x:c r="A20" s="55" t="str">
        <x:v>정규직</x:v>
      </x:c>
      <x:c r="B20" s="55" t="n">
        <x:f>COUNTIF('JOBALIO_419'!$H$5:$H$423,"신입·정규직")+COUNTIF('JOBALIO_419'!$H$5:$H$423,"정규직(세부 확인)")</x:f>
        <x:v>46</x:v>
      </x:c>
      <x:c r="C20" s="55" t="n">
        <x:f>COUNTIF('CLEANEYE_360'!$K$5:$K$364,"신입·정규직")+COUNTIF('CLEANEYE_360'!$K$5:$K$364,"정규직(세부 확인)")</x:f>
        <x:v>42</x:v>
      </x:c>
      <x:c r="D20" s="55" t="n">
        <x:f>B20+C20</x:f>
        <x:v>88</x:v>
      </x:c>
      <x:c r="E20" s="1"/>
      <x:c r="F20" s="61" t="str">
        <x:v>https://job.cleaneye.go.kr/user/ypRecruitment.do</x:v>
      </x:c>
      <x:c r="G20" s="61"/>
      <x:c r="H20" s="61"/>
      <x:c r="I20" s="61"/>
      <x:c r="J20" s="61"/>
      <x:c r="K20" s="61"/>
      <x:c r="L20" s="61"/>
      <x:c r="M20" s="1"/>
      <x:c r="N20" s="1"/>
      <x:c r="O20" s="1"/>
      <x:c r="P20" s="1"/>
      <x:c r="Q20" s="1"/>
      <x:c r="R20" s="1"/>
      <x:c r="S20" s="1"/>
      <x:c r="T20" s="1"/>
      <x:c r="U20" s="1"/>
      <x:c r="V20" s="1"/>
      <x:c r="W20" s="1"/>
      <x:c r="X20" s="1"/>
      <x:c r="Y20" s="1"/>
      <x:c r="Z20" s="1"/>
    </x:row>
    <x:row r="21" ht="34" customHeight="1">
      <x:c r="A21" s="55" t="str">
        <x:v>채용형 인턴</x:v>
      </x:c>
      <x:c r="B21" s="55" t="n">
        <x:f>COUNTIF('JOBALIO_419'!$H$5:$H$423,"신입·채용형 인턴")</x:f>
        <x:v>2</x:v>
      </x:c>
      <x:c r="C21" s="55" t="n">
        <x:f>COUNTIF('CLEANEYE_360'!$K$5:$K$364,"신입·채용형 인턴")</x:f>
        <x:v>0</x:v>
      </x:c>
      <x:c r="D21" s="55" t="n">
        <x:f>B21+C21</x:f>
        <x:v>2</x:v>
      </x:c>
      <x:c r="E21" s="1"/>
      <x:c r="F21" s="61" t="str">
        <x:v>JOB-ALIO 상세 링크는 각 행 마지막 열, Cleaneye는 검색페이지에서 기관·공고명으로 재검색</x:v>
      </x:c>
      <x:c r="G21" s="61"/>
      <x:c r="H21" s="61"/>
      <x:c r="I21" s="61"/>
      <x:c r="J21" s="61"/>
      <x:c r="K21" s="61"/>
      <x:c r="L21" s="61"/>
      <x:c r="M21" s="1"/>
      <x:c r="N21" s="1"/>
      <x:c r="O21" s="1"/>
      <x:c r="P21" s="1"/>
      <x:c r="Q21" s="1"/>
      <x:c r="R21" s="1"/>
      <x:c r="S21" s="1"/>
      <x:c r="T21" s="1"/>
      <x:c r="U21" s="1"/>
      <x:c r="V21" s="1"/>
      <x:c r="W21" s="1"/>
      <x:c r="X21" s="1"/>
      <x:c r="Y21" s="1"/>
      <x:c r="Z21" s="1"/>
    </x:row>
    <x:row r="22">
      <x:c r="A22" s="55" t="str">
        <x:v>체험형·청년인턴</x:v>
      </x:c>
      <x:c r="B22" s="55" t="n">
        <x:f>COUNTIF('JOBALIO_419'!$H$5:$H$423,"체험형·청년인턴")</x:f>
        <x:v>37</x:v>
      </x:c>
      <x:c r="C22" s="55" t="n">
        <x:f>COUNTIF('CLEANEYE_360'!$K$5:$K$364,"체험형·청년인턴")</x:f>
        <x:v>10</x:v>
      </x:c>
      <x:c r="D22" s="55" t="n">
        <x:f>B22+C22</x:f>
        <x:v>47</x:v>
      </x:c>
      <x:c r="E22" s="1"/>
      <x:c r="F22" s="1"/>
      <x:c r="G22" s="1"/>
      <x:c r="H22" s="1"/>
      <x:c r="I22" s="1"/>
      <x:c r="J22" s="1"/>
      <x:c r="K22" s="1"/>
      <x:c r="L22" s="1"/>
      <x:c r="M22" s="1"/>
      <x:c r="N22" s="1"/>
      <x:c r="O22" s="1"/>
      <x:c r="P22" s="1"/>
      <x:c r="Q22" s="1"/>
      <x:c r="R22" s="1"/>
      <x:c r="S22" s="1"/>
      <x:c r="T22" s="1"/>
      <x:c r="U22" s="1"/>
      <x:c r="V22" s="1"/>
      <x:c r="W22" s="1"/>
      <x:c r="X22" s="1"/>
      <x:c r="Y22" s="1"/>
      <x:c r="Z22" s="1"/>
    </x:row>
    <x:row r="23">
      <x:c r="A23" s="55" t="str">
        <x:v>무기계약·공무직</x:v>
      </x:c>
      <x:c r="B23" s="55" t="n">
        <x:f>COUNTIF('JOBALIO_419'!$H$5:$H$423,"무기계약·공무직")</x:f>
        <x:v>31</x:v>
      </x:c>
      <x:c r="C23" s="55" t="n">
        <x:f>COUNTIF('CLEANEYE_360'!$K$5:$K$364,"무기계약·공무직")</x:f>
        <x:v>12</x:v>
      </x:c>
      <x:c r="D23" s="55" t="n">
        <x:f>B23+C23</x:f>
        <x:v>43</x:v>
      </x:c>
      <x:c r="E23" s="1"/>
      <x:c r="F23" s="1"/>
      <x:c r="G23" s="1"/>
      <x:c r="H23" s="1"/>
      <x:c r="I23" s="1"/>
      <x:c r="J23" s="1"/>
      <x:c r="K23" s="1"/>
      <x:c r="L23" s="1"/>
      <x:c r="M23" s="1"/>
      <x:c r="N23" s="1"/>
      <x:c r="O23" s="1"/>
      <x:c r="P23" s="1"/>
      <x:c r="Q23" s="1"/>
      <x:c r="R23" s="1"/>
      <x:c r="S23" s="1"/>
      <x:c r="T23" s="1"/>
      <x:c r="U23" s="1"/>
      <x:c r="V23" s="1"/>
      <x:c r="W23" s="1"/>
      <x:c r="X23" s="1"/>
      <x:c r="Y23" s="1"/>
      <x:c r="Z23" s="1"/>
    </x:row>
    <x:row r="24">
      <x:c r="A24" s="55" t="str">
        <x:v>기간제·비정규</x:v>
      </x:c>
      <x:c r="B24" s="55" t="n">
        <x:f>COUNTIF('JOBALIO_419'!$H$5:$H$423,"기간제·비정규")</x:f>
        <x:v>218</x:v>
      </x:c>
      <x:c r="C24" s="55" t="n">
        <x:f>COUNTIF('CLEANEYE_360'!$K$5:$K$364,"기간제·비정규")</x:f>
        <x:v>153</x:v>
      </x:c>
      <x:c r="D24" s="55" t="n">
        <x:f>B24+C24</x:f>
        <x:v>371</x:v>
      </x:c>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sheetData>
  <x:mergeCells>
    <x:mergeCell ref="A1:L2"/>
    <x:mergeCell ref="A3:L3"/>
    <x:mergeCell ref="A5:B5"/>
    <x:mergeCell ref="A6:B7"/>
    <x:mergeCell ref="C5:D5"/>
    <x:mergeCell ref="C6:D7"/>
    <x:mergeCell ref="E5:F5"/>
    <x:mergeCell ref="E6:F7"/>
    <x:mergeCell ref="G5:H5"/>
    <x:mergeCell ref="G6:H7"/>
    <x:mergeCell ref="I5:J5"/>
    <x:mergeCell ref="I6:J7"/>
    <x:mergeCell ref="K5:L5"/>
    <x:mergeCell ref="K6:L7"/>
    <x:mergeCell ref="A9:L9"/>
    <x:mergeCell ref="F9:L9"/>
    <x:mergeCell ref="F10:L10"/>
    <x:mergeCell ref="F11:L11"/>
    <x:mergeCell ref="F12:L12"/>
    <x:mergeCell ref="F13:L13"/>
    <x:mergeCell ref="F14:L14"/>
    <x:mergeCell ref="A18:L18"/>
    <x:mergeCell ref="F18:L18"/>
    <x:mergeCell ref="F19:L19"/>
    <x:mergeCell ref="F20:L20"/>
    <x:mergeCell ref="F21:L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7" hidden="0" customWidth="1"/>
    <x:col min="3" max="3" width="14" hidden="0" customWidth="1"/>
    <x:col min="4" max="4" width="25" hidden="0" customWidth="1"/>
    <x:col min="5" max="5" width="56" hidden="0" customWidth="1"/>
    <x:col min="6" max="6" width="16" hidden="0" customWidth="1"/>
    <x:col min="7" max="7" width="18" hidden="0" customWidth="1"/>
    <x:col min="8" max="8" width="20" hidden="0" customWidth="1"/>
    <x:col min="9" max="9" width="28" hidden="0" customWidth="1"/>
    <x:col min="10" max="10" width="14" hidden="0" customWidth="1"/>
    <x:col min="11" max="11" width="22" hidden="0" customWidth="1"/>
    <x:col min="12" max="12" width="18" hidden="0" customWidth="1"/>
    <x:col min="13" max="13" width="24" hidden="0" customWidth="1"/>
    <x:col min="14" max="14" width="18" hidden="0" customWidth="1"/>
    <x:col min="15" max="15" width="48" hidden="0" customWidth="1"/>
    <x:col min="16" max="16" width="56" hidden="0" customWidth="1"/>
    <x:col min="17" max="17" width="40" hidden="0" customWidth="1"/>
    <x:col min="18" max="18" width="32" hidden="0" customWidth="1"/>
    <x:col min="19" max="19" width="52" hidden="0" customWidth="1"/>
  </x:cols>
  <x:sheetData>
    <x:row r="1" ht="32" customHeight="1">
      <x:c r="A1" s="4" t="str">
        <x:v>일반 취준생 신입·인턴 우선검토</x:v>
      </x:c>
      <x:c r="B1" s="4"/>
      <x:c r="C1" s="4"/>
      <x:c r="D1" s="4"/>
      <x:c r="E1" s="4"/>
      <x:c r="F1" s="4"/>
      <x:c r="G1" s="4"/>
      <x:c r="H1" s="4"/>
      <x:c r="I1" s="4"/>
      <x:c r="J1" s="4"/>
      <x:c r="K1" s="4"/>
      <x:c r="L1" s="4"/>
      <x:c r="M1" s="4"/>
      <x:c r="N1" s="4"/>
      <x:c r="O1" s="4"/>
      <x:c r="P1" s="4"/>
      <x:c r="Q1" s="4"/>
      <x:c r="R1" s="4"/>
      <x:c r="S1" s="4"/>
      <x:c r="T1" s="1"/>
      <x:c r="U1" s="1"/>
      <x:c r="V1" s="1"/>
      <x:c r="W1" s="1"/>
      <x:c r="X1" s="1"/>
      <x:c r="Y1" s="1"/>
      <x:c r="Z1" s="1"/>
    </x:row>
    <x:row r="2" ht="38" customHeight="1">
      <x:c r="A2" s="8" t="str">
        <x:v>A=JOB-ALIO 상세 페이지까지 확인, B=공식 포털 목록 기반 후보, C=조건 확인 필요. 제목 기반 분류는 지원자격을 확정하지 않으므로 반드시 원문을 확인하세요.</x:v>
      </x:c>
      <x:c r="B2" s="8"/>
      <x:c r="C2" s="8"/>
      <x:c r="D2" s="8"/>
      <x:c r="E2" s="8"/>
      <x:c r="F2" s="8"/>
      <x:c r="G2" s="8"/>
      <x:c r="H2" s="8"/>
      <x:c r="I2" s="8"/>
      <x:c r="J2" s="8"/>
      <x:c r="K2" s="8"/>
      <x:c r="L2" s="8"/>
      <x:c r="M2" s="8"/>
      <x:c r="N2" s="8"/>
      <x:c r="O2" s="8"/>
      <x:c r="P2" s="8"/>
      <x:c r="Q2" s="8"/>
      <x:c r="R2" s="8"/>
      <x:c r="S2" s="8"/>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ht="36" customHeight="1">
      <x:c r="A4" s="14" t="str">
        <x:v>순번</x:v>
      </x:c>
      <x:c r="B4" s="14" t="str">
        <x:v>등급</x:v>
      </x:c>
      <x:c r="C4" s="14" t="str">
        <x:v>출처</x:v>
      </x:c>
      <x:c r="D4" s="14" t="str">
        <x:v>기관명</x:v>
      </x:c>
      <x:c r="E4" s="14" t="str">
        <x:v>공고명</x:v>
      </x:c>
      <x:c r="F4" s="14" t="str">
        <x:v>채용구분</x:v>
      </x:c>
      <x:c r="G4" s="14" t="str">
        <x:v>고용형태</x:v>
      </x:c>
      <x:c r="H4" s="14" t="str">
        <x:v>근무지역</x:v>
      </x:c>
      <x:c r="I4" s="14" t="str">
        <x:v>지역 지원제한</x:v>
      </x:c>
      <x:c r="J4" s="14" t="str">
        <x:v>마감일</x:v>
      </x:c>
      <x:c r="K4" s="14" t="str">
        <x:v>채용트랙</x:v>
      </x:c>
      <x:c r="L4" s="14" t="str">
        <x:v>일반취준생 분류</x:v>
      </x:c>
      <x:c r="M4" s="14" t="str">
        <x:v>제한경쟁 표시</x:v>
      </x:c>
      <x:c r="N4" s="14" t="str">
        <x:v>검증수준</x:v>
      </x:c>
      <x:c r="O4" s="14" t="str">
        <x:v>응시자격</x:v>
      </x:c>
      <x:c r="P4" s="14" t="str">
        <x:v>전형절차</x:v>
      </x:c>
      <x:c r="Q4" s="14" t="str">
        <x:v>면접정보</x:v>
      </x:c>
      <x:c r="R4" s="14" t="str">
        <x:v>추가 자격증 언급</x:v>
      </x:c>
      <x:c r="S4" s="14" t="str">
        <x:v>공식 링크</x:v>
      </x:c>
      <x:c r="T4" s="1"/>
      <x:c r="U4" s="1"/>
      <x:c r="V4" s="1"/>
      <x:c r="W4" s="1"/>
      <x:c r="X4" s="1"/>
      <x:c r="Y4" s="1"/>
      <x:c r="Z4" s="1"/>
    </x:row>
    <x:row r="5" ht="58" customHeight="1">
      <x:c r="A5" s="17" t="n">
        <x:v>1</x:v>
      </x:c>
      <x:c r="B5" s="17" t="str">
        <x:v>A</x:v>
      </x:c>
      <x:c r="C5" s="17" t="str">
        <x:v>JOB-ALIO</x:v>
      </x:c>
      <x:c r="D5" s="17" t="str">
        <x:v>예금보험공사</x:v>
      </x:c>
      <x:c r="E5" s="17" t="str">
        <x:v>2026년도 예금보험공사 신입직원 채용안내</x:v>
      </x:c>
      <x:c r="F5" s="17" t="str">
        <x:v>신입</x:v>
      </x:c>
      <x:c r="G5" s="17" t="str">
        <x:v>정규직</x:v>
      </x:c>
      <x:c r="H5" s="17" t="str">
        <x:v>서울</x:v>
      </x:c>
      <x:c r="I5" s="17" t="str">
        <x:v>상세공고 확인</x:v>
      </x:c>
      <x:c r="J5" s="17" t="str">
        <x:v>2026-09-11</x:v>
      </x:c>
      <x:c r="K5" s="17" t="str">
        <x:v>신입·정규직</x:v>
      </x:c>
      <x:c r="L5" s="17" t="str">
        <x:v>우선검토</x:v>
      </x:c>
      <x:c r="M5" s="17" t="str">
        <x:v>제한 문구 미탐지</x:v>
      </x:c>
      <x:c r="N5" s="17" t="str">
        <x:v>상세 페이지 확인</x:v>
      </x:c>
      <x:c r="O5" s="17" t="str">
        <x:v>&lt;공통&gt; ① 학력, 연령, 전공 제한 없음 ※ 단 ,입사예정일(’26.12.28.)기준 공사 정년(만 60세) 미만인 자 ② 군필자(’26.12.27일 이전 전역이 가능한 자) 또는 면제자 - 고졸(일반행정) 분야의 경우 해당하지 않음 ③ 공사 내규상 채용 결격사유에 해당하지 않는 자 ④ 채용 확정 후 즉시 근무 가능한 자 ⑤ 채용 분야별 중복지원은 불가 &lt;고졸&gt; ㅇ 다음 조건을 모두 충족하는 자 ① 2027년초 특성화고(마이스터고 등도 포함*) 졸업예정자 * 특성화고·마이스터고 포털 사이트(www.hifive.go.kr)에 등록된 학교 기준 ② 학교장의 추천을 받은 자(학교별 1명*) * 학교별 1명만 추천 가능하며, 2명 이상 추천 시 해당 학교 지원자 모두 불합격 처리</x:v>
      </x:c>
      <x:c r="P5" s="17" t="str">
        <x:v>ㅇ 전형절차 : 지원서접수 → 서류전형 → 필기전형 → 1차 면접전형 → 2차 면접전형 → 신체검사 및 신원조사 ㅇ 평가방법(금융일반, 디지털) - 1차(서류전형) : 25배수, 직무관련 교육·자격(100),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3배수, NCS 직업기초능력평가(45), 직무수행능력평가(255) - 3차(1차 면접전형) : 1.5배수, 1차 면접전형 결과(75), 필기전형 결과(25) - 4차(2차 면접전형) : 1배수, 2차 면접전형 결과(100) - 최종(신체검사, 신원조사) : 채용결격사유 확인(적·부) ㅇ 평가방법(고졸(일반행정) 분야) - 1차(서류전형) :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4배수, NCS 직업기초능력평가(100) - 3차(1차 면접전형) : 2배수, 1차 면접전형 결과(75), 필기전형 결과(25) - 4차(2차 면접전형) : 1배수, 2차 면접전형 결과(100) - 최종(신체검사, 신원조사) : 채용결격사유 확인(적·부) ※ 보다 자세한 사항은 첨부파일의 채용공고문 참조</x:v>
      </x:c>
      <x:c r="Q5" s="17" t="str">
        <x:v>ㅇ 전형절차 : 지원서접수 → 서류전형 → 필기전형 → 1차 면접전형 → 2차 면접전형 → 신체검사 및 신원조사 ㅇ 평가방법(금융일반, 디지털) - 1차(서류전형) : 25배수, 직무관련 교육·자격(100),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3배수, NCS 직업기초능력평가(45), 직무수행능력평가(255) - 3차(1차 면접전형) : 1 / 5배수, 1차 면접전형 결과(75), 필기전형 결과(25) - 4차(2차 면접전형) : 1배수, 2차 면접전형 결과(100) - 최종(신체검사, 신원조사) : 채용결격사유 확인(적·부) ㅇ 평가방법(고졸(일반행정) 분야) - 1차(서류전형) :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4배수, NCS 직업기초능력평가(100) - 3차(1차 면접전형) : 2배수, 1차 면접전형 결과(75), 필기전형 결과(25) - 4차(2차 면접전형) : 1배수, 2차 면접전형 결과(100) - 최종(신체검사, 신원조사) : 채용결격사유 확인(적·부) ※ 보다 자세한 사항은 첨부파일의 채용공고문 참조</x:v>
      </x:c>
      <x:c r="R5" s="17" t="str">
        <x:v>의사</x:v>
      </x:c>
      <x:c r="S5" s="18" t="str">
        <x:v>https://job.alio.go.kr/recruitview.do?idx=304400</x:v>
      </x:c>
      <x:c r="T5" s="1"/>
      <x:c r="U5" s="1"/>
      <x:c r="V5" s="1"/>
      <x:c r="W5" s="1"/>
      <x:c r="X5" s="1"/>
      <x:c r="Y5" s="1"/>
      <x:c r="Z5" s="1"/>
    </x:row>
    <x:row r="6" ht="58" customHeight="1">
      <x:c r="A6" s="17" t="n">
        <x:v>2</x:v>
      </x:c>
      <x:c r="B6" s="17" t="str">
        <x:v>A</x:v>
      </x:c>
      <x:c r="C6" s="17" t="str">
        <x:v>JOB-ALIO</x:v>
      </x:c>
      <x:c r="D6" s="17" t="str">
        <x:v>중소기업은행</x:v>
      </x:c>
      <x:c r="E6" s="17" t="str">
        <x:v>2026년 하반기 IBK기업은행 신입행원 채용공고</x:v>
      </x:c>
      <x:c r="F6" s="17" t="str">
        <x:v>신입</x:v>
      </x:c>
      <x:c r="G6" s="17" t="str">
        <x:v>정규직</x:v>
      </x:c>
      <x:c r="H6" s="17" t="str">
        <x:v>서울 외 16</x:v>
      </x:c>
      <x:c r="I6" s="17" t="str">
        <x:v>상세공고 확인</x:v>
      </x:c>
      <x:c r="J6" s="17" t="str">
        <x:v>2026-09-14</x:v>
      </x:c>
      <x:c r="K6" s="17" t="str">
        <x:v>신입·정규직</x:v>
      </x:c>
      <x:c r="L6" s="17" t="str">
        <x:v>우선검토</x:v>
      </x:c>
      <x:c r="M6" s="17" t="str">
        <x:v>제한 문구 미탐지</x:v>
      </x:c>
      <x:c r="N6" s="17" t="str">
        <x:v>상세 페이지 확인</x:v>
      </x:c>
      <x:c r="O6" s="17" t="str">
        <x:v>ㅇ 금융일반, 디지털, IT 분야 - 학력, 연령, 성별 등 제한사항 없음 - 남성의 경우 병역필* 또는 면제자* * 2026. 11. 30. 이전 전역 가능한 자 포함. 고졸인재 분야 지원자는 해당 없음 - 채용 확정(12월 초·중순 예정) 후 전일 근무 가능한 자* * 졸업, 재학, 이직 절차, 군 전역 등의 사유로 입행 유예 불가 - 당행 인사규정 「채용의 제한」 대상자 등(공고문 內 “유의사항” 참조)이 아닌 자 ※ 지역인재의 경우, 공고문 참조 ㅇ 고졸인재 분야 - 고등학교 졸업 예정자 (졸업 예정월：’27년 2월) - 채용 확정(12월 초·중순 예정) 후 전일 근무 가능한 자* * 졸업, 재학, 이직 절차, 군 전역 등의 사유로 입행 유예 불가 - 당행 인사규정 「채용의 제한」 대상자 등(공고문 內 “유의사항” 참조)이 아닌 자</x:v>
      </x:c>
      <x:c r="P6" s="17" t="str">
        <x:v>◆ 전형절차 및 방법 지원서접수 &gt; 서류심사(1차) &gt; 필기시험(2차) &gt; 실기시험(3차) &gt; 면접시험(최종) 1. 지원서접수 - 접수기간 : 2026.8.28.(금) ~ 9.14.(월), 10시 - 접수방법 : IBK홈페이지 또는 채용전용 홈페이지(http://ibk.incruit.com)에 지원서 작성 및 접수등록 ※ 면접시험을 제외한 全 전형은 제로베이스 평가 (前단계 평가점수 누적 합산되지 않음) ※ 각 절차별 동점자 발생 시 동점자 처리기준에 따라 합격자 결정 2. 서류심사(1차) - 합격인원 : 적부심사 통과자 전원 - 합격발표 : ’26. 9월말 예정 - 평가방법 : 적부심사(채용분야별 입행지원서 내용의 불량·불성실* 검증) * 은행명 오류, 표절, 무관·반복·부족한 답변, 블라인드 저촉 등 3. 필기시험(2차) - 일정/장소 : ’26.10.17.(토) 예정 / 전국 5개 지역 ※ 일정, 장소 변동가능 - 합격인원 : 분야별 채용예정인원의 7배수(디지털, IT 분야 限 8배수) ※ 분야별 고득점 順 (단, 만점의 40% 미만 득점자는 제외) - 합격발표 : ’26. 10월 중순 이후 예정 - 시험시간 : 10시 ~ 12시(120분) / 고졸인재 분야 10시 ~ 11시(60분) - 평가항목 : (구)직업기초능력, 직무수행능력 ※ 배점(100점) 1) 금융일반, 디지털, IT : 1.5점(직업기초), 1점(직무수행 객관식), 2점(직무수행 주관식) 2) 고졸인재 : 2.5점(직업기초) 4. 실기시험(3차) - 일정/장소 : ’26. 10월말 ~ 11월 초·중순 예정 / 기업은행 기흥연수원(당일) ※ 일정, 장소 변동가능 - 합격인원 : 분야별 채용 예정 인원의 약 1.7배수(분야별 고득점 順) - 합격발표 : ’26.11월 중순 이후 예정 - 평가방법 : 공통 및 개별 프로그램 바탕 실무역량, 의사전달력, 논리력, 협동심, 윤리의식 등의 평가항목 기준으로 종합평가(평가위원 점수합계) - 공통 프로그램 : 개인발표, 팀토론, 심층인터뷰 - 개별 프로그램 : (금융일반, 고졸인재) 조직적합도평가 / (디지털/IT) 코딩테스트 ※ 실기시험 前 AI역량검사 및 인성검사(온라인) 실시 예정 → 미완료 지원자는 실기시험 응시 불가 ※ 은행 내·외부 사정에 따라 실기시험 일정 및 평가방법 변동 가능 5. 면접시험(최종) - 일정/장소 : ’26. 11월 중·하순 예정 / 기업은행 본점 ※ 일정, 장소 변동가능 - 합격인원 : 175명(분야별 고득점* 順) * 분야별 최종합격자는 면접시험 점수(70%)와 실기시험 점수(30%)를 합산하여 결정 - 합격발표 : ’26. 11월말 ~ 12월초 예정 (최종합격자 발표 후 일주일 이내 연수원 입소 예정) - 평가방법 : 多대多 질의응답을 통해 인성, 윤리의식, 직무·조직적합도 등의 평가항목을 기준으로 종합평가(평가위원 점…</x:v>
      </x:c>
      <x:c r="Q6" s="17" t="str">
        <x:v>◆ 전형절차 및 방법 지원서접수 &gt; 서류심사(1차) &gt; 필기시험(2차) &gt; 실기시험(3차) &gt; 면접시험(최종) 1 / com)에 지원서 작성 및 접수등록 ※ 면접시험을 제외한 全 전형은 제로베이스 평가 (前단계 평가점수 누적 합산되지 않음) ※ 각 절차별 동점자 발생 시 동점자 처리기준에 따라 합격자 결정 2 / 면접시험(최종) - 일정/장소 : ’26 / 11월 중·하순 예정 / 기업은행 본점 ※ 일정, 장소 변동가능 - 합격인원 : 175명(분야별 고득점* 順) * 분야별 최종합격자는 면접시험 점수(70%)와 실기시험 점수(30%)를 합산하여 결정 - 합격발표 : ’26</x:v>
      </x:c>
      <x:c r="R6" s="17" t="str">
        <x:v>의사</x:v>
      </x:c>
      <x:c r="S6" s="18" t="str">
        <x:v>https://job.alio.go.kr/recruitview.do?idx=304338</x:v>
      </x:c>
      <x:c r="T6" s="1"/>
      <x:c r="U6" s="1"/>
      <x:c r="V6" s="1"/>
      <x:c r="W6" s="1"/>
      <x:c r="X6" s="1"/>
      <x:c r="Y6" s="1"/>
      <x:c r="Z6" s="1"/>
    </x:row>
    <x:row r="7" ht="58" customHeight="1">
      <x:c r="A7" s="17" t="n">
        <x:v>3</x:v>
      </x:c>
      <x:c r="B7" s="17" t="str">
        <x:v>A</x:v>
      </x:c>
      <x:c r="C7" s="17" t="str">
        <x:v>JOB-ALIO</x:v>
      </x:c>
      <x:c r="D7" s="17" t="str">
        <x:v>한국산업은행</x:v>
      </x:c>
      <x:c r="E7" s="17" t="str">
        <x:v>한국산업은행 2027년 5급 신입행원(일반) 채용공고</x:v>
      </x:c>
      <x:c r="F7" s="17" t="str">
        <x:v>신입</x:v>
      </x:c>
      <x:c r="G7" s="17" t="str">
        <x:v>정규직</x:v>
      </x:c>
      <x:c r="H7" s="17" t="str">
        <x:v>서울 외 15</x:v>
      </x:c>
      <x:c r="I7" s="17" t="str">
        <x:v>상세공고 확인</x:v>
      </x:c>
      <x:c r="J7" s="17" t="str">
        <x:v>2026-09-14</x:v>
      </x:c>
      <x:c r="K7" s="17" t="str">
        <x:v>신입·정규직</x:v>
      </x:c>
      <x:c r="L7" s="17" t="str">
        <x:v>우선검토</x:v>
      </x:c>
      <x:c r="M7" s="17" t="str">
        <x:v>제한 문구 미탐지</x:v>
      </x:c>
      <x:c r="N7" s="17" t="str">
        <x:v>상세 페이지 확인</x:v>
      </x:c>
      <x:c r="O7" s="17" t="str">
        <x:v>○ 연령, 학력 및 전공 : 제한없음 * 단, 접수마감일 기준 만 60세 이상인 자 제외 ○ 병역의무를 필한 자 또는 면제받은 자 * 2026. 11. 30. 까지 전역 가능한 자 포함 ○ 채용확정(12월말 예정) 후 전일 근무 가능한 자 * 졸업, 재학, 이직절차, 군 전역 등의 사유로 입행 유예 불가 ○ 은행 인사내규상 결격사유에 해당되지 않는 자 ○「부패방지 및 국민권익위원회의 설치와 운영에 관한 법률」제82조 “비위면직자 등”에 해당되지 않는 자 ○ 접수기간중 공고되는 산업은행의 모든 채용공고 및 채용분야에 중복지원 불가 * 단,「2026년 3차 청년인턴 채용공고」와 중복지원 가능</x:v>
      </x:c>
      <x:c r="P7" s="17" t="str">
        <x:v>[서류심사] ○ 선발인원 ① (경영, 경제, IT, AI) 채용예정인원의 15배수 내외 ② (로봇·기계, 토목·건축, 바이오) 채용예정인원의 20배수 내외 * 동점자 처리기준에 의거 추가선발하거나, 적격자가 없는 경우 선발규모를 축소할 수 있음 ○ 지원동기 및 입행후 계획, 역량개발노력, 자기소개 등 ○ 어학성적 : 어학성적 충족여부 평가 - 지원서 작성시 기준점수 충족여부만 입력 - 기준점수 : TOEIC 750, NEW TEPS 358, TOEFL(iBT) 72, HSK 5급, JPT 800 (기타 어학성적 불인정) * 기준점수를 충족하지 못하는 경우에도 “미충족” 선택하여 지원 가능 ** ’26.1.21자 TOEFL(iBT) 점수체계 개정 기준 4점 ○ 합격자 발표 : 2026.9.29.(화) &lt; 어학성적 유효기간 (① 또는 ②) &gt; ① 국가공무원 채용시스템(gongmuwon.gosi.kr)에 사전등록하지 않은 어학성적 - `25. 1. 1자 이후 응시하여 지원서 접수마감일 기준 유효한 성적에 한하여 인정 ② 국가공무원 채용시스템(gongmuwon.gosi.kr)에 사전등록한 어학성적 - ‘21. 1. 1자 이후 응시하여 지원서 접수마감일까지 점수(등급)가 발표된 시험으로, 해당시험 유효기간 만료 전 국가공무원 채용 시스템을 통해 사전등록을 한 경우에 한하여 인정 ※ 사유불문하고 진위여부 검증이 되지 않을 경우 합격(채용)이 취소될 수 있음 [필기시험] ○ 선발인원 ① (경영, 경제, IT, AI) 채용예정인원의 3배수 내외 ② (로봇·기계, 토목·건축, 바이오) 채용예정인원의 4배수 내외 * 동점자 처리기준에 의거 추가선발하거나, 적격자가 없는 경우 선발규모를 축소할 수 있음 ○ 채용분야별 응시과목 ① (경영, 경제) 직무지식시험(경영학, 경제학 중 택1), 일반시사논술, NCS직업공통능력평가(의사소통, 수리, 문제해결, 디지털) ② (IT, AI, 로봇·기계, 토목·건축, 바이오) 직무지식시험(IT, AI(인공지능공학), 로봇·기계공학, 토목·건축공학, 생명공학 중 1과목 선택), NCS직업공통능력평가(의사소통, 수리, 문제해결, 디지털) ○ 필기시험 합격자 대상 온라인 방식으로 인성검사 실시하여 면접 참고자료로 활용 ○ 시험일자 : 2026.10.24.(토) ○ 합격자 발표 : 2026.10.30.(금) [1차면접] ○ 선발인원 ① (경영, 경제, IT, AI) 채용예정인원의 1.5배수 내외 ② (로봇·기계, 토목·건축, 바이오) 채용예정인원의 2배수 내외 * 동점자 처리기준에 의거 추가선발하거나, 적격자가 없는 경우 선발규모를 축소할 수 있음 ○ 면접유형 - (경영, 경제, 로봇·기계, 토목·건축, 바이오) 직무능력면접, P/T면접, 심층과제면접 - (IT) 직무능력면접, P/T면접, 코딩역량평가 - (AI) 직무능력면접, P/T면접, AI역량평가…</x:v>
      </x:c>
      <x:c r="Q7" s="17" t="str">
        <x:v>1자 이후 응시하여 지원서 접수마감일까지 점수(등급)가 발표된 시험으로, 해당시험 유효기간 만료 전 국가공무원 채용 시스템을 통해 사전등록을 한 경우에 한하여 인정 ※ 사유불문하고 진위여부 검증이 되지 않을 경우 합격(채용)이 취소될 수 있음 [필기시험] ○ 선발인원 ① (경영, 경제, IT, AI) 채용예정인원의 3배수 내외 ② (로봇·기계, 토목·건축, 바이오) 채용예정인원의 4배수 내외 * 동점자 처리기준에 의거 추가선발하거나, 적격자가 없는 경우 선발규모를 축소할 수 있음 ○ 채용분야별 응시과목 ① (경영, 경제) 직무지식시험(경영학, 경제학 중 택1), 일반시사논술, NCS직업공통능력평가(의사소통, 수리, 문제해결, 디지털) ② (IT, AI, 로봇·기계, 토목·건축, 바이오) 직무지식시험(IT, AI(인공지능공학), 로봇·기계공학, 토목·건축공학, 생명공학 중 1과목 선택), NCS직업공통능력평가(의사소통, 수리, 문제해결, 디지털) ○ 필기시험 합격자 대상 온라인 방식으로 인성검사 실시하여 면접 참고자료로 활용 ○ 시험일자 : 2026 / (금) [1차면접] ○ 선발인원 ① (경영, 경제, IT, AI) 채용예정인원의 1 / 5배수 내외 ② (로봇·기계, 토목·건축, 바이오) 채용예정인원의 2배수 내외 * 동점자 처리기준에 의거 추가선발하거나, 적격자가 없는 경우 선발규모를 축소할 수 있음 ○ 면접유형 - (경영, 경제, 로봇·기계, 토목·건축, 바이오) 직무능력면접, P/T면접, 심층과제면접 - (IT) 직무능력면접, P/T면접, 코딩역량평가 - (AI) 직무능력면접, P/T면접, AI역량평가…</x:v>
      </x:c>
      <x:c r="R7" s="17" t="str">
        <x:v>한국사, 어학, TOEIC, 의사</x:v>
      </x:c>
      <x:c r="S7" s="18" t="str">
        <x:v>https://job.alio.go.kr/recruitview.do?idx=304398</x:v>
      </x:c>
      <x:c r="T7" s="1"/>
      <x:c r="U7" s="1"/>
      <x:c r="V7" s="1"/>
      <x:c r="W7" s="1"/>
      <x:c r="X7" s="1"/>
      <x:c r="Y7" s="1"/>
      <x:c r="Z7" s="1"/>
    </x:row>
    <x:row r="8" ht="58" customHeight="1">
      <x:c r="A8" s="17" t="n">
        <x:v>4</x:v>
      </x:c>
      <x:c r="B8" s="17" t="str">
        <x:v>A</x:v>
      </x:c>
      <x:c r="C8" s="17" t="str">
        <x:v>JOB-ALIO</x:v>
      </x:c>
      <x:c r="D8" s="17" t="str">
        <x:v>신용보증기금</x:v>
      </x:c>
      <x:c r="E8" s="17" t="str">
        <x:v>2026년도 하반기 신용보증기금 신입직원 채용</x:v>
      </x:c>
      <x:c r="F8" s="17" t="str">
        <x:v>신입</x:v>
      </x:c>
      <x:c r="G8" s="17" t="str">
        <x:v>정규직</x:v>
      </x:c>
      <x:c r="H8" s="17" t="str">
        <x:v>서울 외 15</x:v>
      </x:c>
      <x:c r="I8" s="17" t="str">
        <x:v>상세공고 확인</x:v>
      </x:c>
      <x:c r="J8" s="17" t="str">
        <x:v>2026-09-16</x:v>
      </x:c>
      <x:c r="K8" s="17" t="str">
        <x:v>신입·정규직</x:v>
      </x:c>
      <x:c r="L8" s="17" t="str">
        <x:v>우선검토</x:v>
      </x:c>
      <x:c r="M8" s="17" t="str">
        <x:v>제한 문구 미탐지</x:v>
      </x:c>
      <x:c r="N8" s="17" t="str">
        <x:v>상세 페이지 확인</x:v>
      </x:c>
      <x:c r="O8" s="17" t="str">
        <x:v>ㅁ 공통사항(지원자 전체) ㅇ 학력, 연령*, 성별 및 전공 : 제한 없음 * 단, 접수마감일 기준 신용보증기금 정년(만 60세)을 초과한 자는 지원 불가 ㅇ 채용확정 후('26년 12월 말 예정) 전일 근무 가능한 자(입사 유예 불가) ㅇ 채용제한 사유에 해당되지 않는 자(붙임1 참조) ㅇ 병역법 제76조에서 정한 병역의무 불이행 사실이 없는 자 * 채용확정일('26년 12월 말 예정) 이전 전역(예정)자 지원 가능 ※ 채용단위(정규직 5급(상경계, 비상경계, 인공지능, ICT, 보훈), 정규직6급(고교 경영금융, 고교 정보통신)별 자세한 내용은 첨부된 채용 공고를 참고해 주시기 바랍니다.</x:v>
      </x:c>
      <x:c r="P8" s="17" t="str">
        <x:v>1. 입사지원 ㅇ 접수기간 : ’26.9.2.(수) ~ 9.16.(수) 16:00 (접수기간 내 24시간 접수 가능) ㅇ 접수방법 : 채용 홈페이지(http://kodit.saramin.co.kr)를 통한 온라인 접수 2. 서류전형 ㅇ 평가대상 : (1단계) 입사지원자 전원, (2단계) 1단계 평가 통과자 ㅇ 우대사항 : 최근 1년 이내 신용보증기금 최우수 인턴 수료자 서류전형 면제 - 자세한 내용 및 그 외 우대사항은 ‘7. 가점 및 우대사항’ 참조 3. 필기전형 ㅁ 공통사항 ㅇ 응시대상 : 서류전형 합격자 중 응시정보 등록자 ㅇ 응시일자 : ’26. 10. 17.(토) 예정 (1·2차 필기 동시 실시) ㅇ 응시장소 : 서울, 대구 예정 (보훈, 고교 경영금융, 고교 정보통신 채용단위는 일괄적으로 고사장을 지정하여 운영) ㅇ 우대사항 : ‘7. 가점 및 우대사항’ 참조 ㅇ 전형평가(상경계, 비상경계, 인공지능, ICT) : 1·2차 허들형 평가 ㅇ 전형평가(보 훈) : 1차 직업기초능력(NCS)과 2차 논술 필기 평가 합산 ㅇ 전형평가(고교 경영금융, 고교 정보통신) : 직업기초능력(NCS)과 직무전공 평가 합산 ㅇ 최종 합격자 선정배수 : 3배수(단, 고교 정보통신은 5배수) ㅇ 기타 유의사항 - 답안지 작성이 끝났더라도 시험 종료 시까지 퇴실할 수 없음 ㅁ 1차 객관식 필기 평가 ㅇ 평가대상 : 서류전형 합격자 중 응시정보 등록자 ㅇ 평가내용 - 직업기초능력 : 의사소통능력, 문제해결능력, 수리능력, 자원관리능력 - 직무전공 등 : 직무수행능력을 평가하기 위한 전공시험 등 □ 2차 논술 필기 평가 ㅇ 평가내용 : 직무분야 전공 및 직무수행과 연관된 주제 4. 면접전형 ㅇ 응시대상 : 필기전형 합격자 중 기한까지 자기소개서 작성(직무관련 교육사항 포함), 온라인 인성검사 및 관련 증빙서류 제출을 완료한 자 ㅇ 응시일자 : ’26. 11. 16.(월) ~ 11. 27.(금) 예정 (세부일정은 필기전형 합격자 발표 시 안내) ㅇ 응시장소 : 필기전형 합격자 발표 시 안내 ㅇ 우대사항 : ‘7. 가점 및 우대사항’ 참조 ㅇ 평가내용 : 3단계 면접 실시 - 과제수행면접 : 조별 과제수행을 통해 문제해결력 및 협업능력 평가 - 실무면접 : 업무수행계획서와 교육 및 자격사항 등을 중심으로 직무수행역량 평가 - 심층면접 : 자기소개서 및 경력사항 등을 중심으로 기본역량 및 조직적합도 평가 ㅇ 과락 및 합격자 선정 : - (과락) 가점 적용 전 3단계 면접전형 평가점수(원점수)를 합산한 점수가 만점의 40% 미만 - (합격자 선정) 3단계 면접전형 평가점수(원점수)에 가점을 합산한 종합점수 고득점 순 (1배수) ㅇ 결원충원 : 입사포기자 발생 시 입사일 (’26년 12월 말 예정) 직전 최종 영업일 (18시)까지 채용단위별로 예비순번에 따라 추가합격 실시 - 지원자 미…</x:v>
      </x:c>
      <x:c r="Q8" s="17" t="str">
        <x:v>면접전형 ㅇ 응시대상 : 필기전형 합격자 중 기한까지 자기소개서 작성(직무관련 교육사항 포함), 온라인 인성검사 및 관련 증빙서류 제출을 완료한 자 ㅇ 응시일자 : ’26 / 가점 및 우대사항’ 참조 ㅇ 평가내용 : 3단계 면접 실시 - 과제수행면접 : 조별 과제수행을 통해 문제해결력 및 협업능력 평가 - 실무면접 : 업무수행계획서와 교육 및 자격사항 등을 중심으로 직무수행역량 평가 - 심층면접 : 자기소개서 및 경력사항 등을 중심으로 기본역량 및 조직적합도 평가 ㅇ 과락 및 합격자 선정 : - (과락) 가점 적용 전 3단계 면접전형 평가점수(원점수)를 합산한 점수가 만점의 40% 미만 - (합격자 선정) 3단계 면접전형 평가점수(원점수)에 가점을 합산한 종합점수 고득점 순 (1배수) ㅇ 결원충원 : 입사포기자 발생 시 입사일 (’26년 12월 말 예정) 직전 최종 영업일 (18시)까지 채용단위별로 예비순번에 따라 추가합격 실시 - 지원자 미달, 과락 점수를 초과하는 득점자가 없는 경우, 예비합격자까지 모두 입사를 포기하는 경우 등 채용단위별로 적격자가 없는 경우 채용하지 않을 수 있음 5</x:v>
      </x:c>
      <x:c r="R8" s="17" t="str">
        <x:v>한국사, 정보보안기사, 정보처리기사, 빅데이터분석기사, 의사</x:v>
      </x:c>
      <x:c r="S8" s="18" t="str">
        <x:v>https://job.alio.go.kr/recruitview.do?idx=304432</x:v>
      </x:c>
      <x:c r="T8" s="1"/>
      <x:c r="U8" s="1"/>
      <x:c r="V8" s="1"/>
      <x:c r="W8" s="1"/>
      <x:c r="X8" s="1"/>
      <x:c r="Y8" s="1"/>
      <x:c r="Z8" s="1"/>
    </x:row>
    <x:row r="9" ht="58" customHeight="1">
      <x:c r="A9" s="17" t="n">
        <x:v>5</x:v>
      </x:c>
      <x:c r="B9" s="17" t="str">
        <x:v>A</x:v>
      </x:c>
      <x:c r="C9" s="17" t="str">
        <x:v>JOB-ALIO</x:v>
      </x:c>
      <x:c r="D9" s="17" t="str">
        <x:v>한국전력공사</x:v>
      </x:c>
      <x:c r="E9" s="17" t="str">
        <x:v>2026년도 하반기 4직급 대졸수준 신입사원 채용공고</x:v>
      </x:c>
      <x:c r="F9" s="17" t="str">
        <x:v>신입</x:v>
      </x:c>
      <x:c r="G9" s="17" t="str">
        <x:v>정규직</x:v>
      </x:c>
      <x:c r="H9" s="17" t="str">
        <x:v>서울 외 15</x:v>
      </x:c>
      <x:c r="I9" s="17" t="str">
        <x:v>상세공고 확인</x:v>
      </x:c>
      <x:c r="J9" s="17" t="str">
        <x:v>2026-09-16</x:v>
      </x:c>
      <x:c r="K9" s="17" t="str">
        <x:v>신입·정규직</x:v>
      </x:c>
      <x:c r="L9" s="17" t="str">
        <x:v>우선검토</x:v>
      </x:c>
      <x:c r="M9" s="17" t="str">
        <x:v>제한 문구 미탐지</x:v>
      </x:c>
      <x:c r="N9" s="17" t="str">
        <x:v>상세 페이지 확인</x:v>
      </x:c>
      <x:c r="O9" s="17" t="str">
        <x:v>1. 학력·전공 ○ 사무 : 제한 없음 ○ 기술 : 해당분야 전공자 또는 관련분야 자격증 보유자 2. 외국어 ○ 영어, 일어, 중국어 700점 이상 (TOEIC 기준) ○ 유효성적 : '24. 11. 28.부터 응시하고 접수 마감일까지 발표한 국내 정기시험 성적만 인정 (단, TOEIC, TOEIC-S, OPIc, TEPS, TEPS-S, JPT, HSK는 국가공무원 채용시스템에 등록된 어학성적에 한하여 유효기간을 시험의 실시연도 +5년까지 인정) ○ 고급자격증 보유자는 외국어 성적 면제 ○ 해외학위자도 국내 외국어 유효성적을 보유해야 지원 가능 3. 연령 : 제한없음(단, 공사 정년(60세)에 도달한 자는 지원불가) 4. 병역 : 병역법 제76조에서 정한 병역의무 불이행 사실이 없는 자 5. 기타 ○ 당사 인사관리규정 제11조 신규채용자의 결격사유가 없는 자 ○ 지원서 접수마감일 현재 한전 4직급 직원으로 재직 중이지 않은 자(단, 상위 채용수준으로는 지원가능) ○ 입사일부터 근무 가능한 자 ○ 전국권(이전지역인재) 지원시 전남광주 소재 학교(대학까지의 최종학력 기준, 대학원 이상 제외) 졸업(예정)·중퇴·재학·휴학중인 자만 지원 가능 ○ 보훈 분야는 「국가유공자법」에서 정한 취업지원대상자만 지원 가능 ○ 장애인 분야(사무)는 「장애인고용법」에서 정한 장애인만 지원 가능 ※ 자세한 사항은 첨부파일의 공고문 참조</x:v>
      </x:c>
      <x:c r="P9" s="17" t="str">
        <x:v>1. [1차] 서류전형 ○ 외국어성적(100점), 자격증가점(사무20점, 기술40점) / 사무 : 50배수, 전기(배전, 송변전) : 10배수, 기술(전기 외) : 15배수 ※ 장애인 및 보훈 전형 전원 합격 2. [2차] 필기전형 ○ 직무능력검사(100점), 인성·인재상·조직적합도 검사 결과(적·부) / 2~3배수(공고문 참조) 3. [3차] 면접전형 ○ 직무면접(50점), 경험면접(50점) / 1배수 ※ 자세한 사항은 첨부파일의 공고문 참조</x:v>
      </x:c>
      <x:c r="Q9" s="17" t="str">
        <x:v>[3차] 면접전형 ○ 직무면접(50점), 경험면접(50점) / 1배수 ※ 자세한 사항은 첨부파일의 공고문 참조</x:v>
      </x:c>
      <x:c r="R9" s="17" t="str">
        <x:v>외국어, TOEIC, 어학</x:v>
      </x:c>
      <x:c r="S9" s="18" t="str">
        <x:v>https://job.alio.go.kr/recruitview.do?idx=304551</x:v>
      </x:c>
      <x:c r="T9" s="1"/>
      <x:c r="U9" s="1"/>
      <x:c r="V9" s="1"/>
      <x:c r="W9" s="1"/>
      <x:c r="X9" s="1"/>
      <x:c r="Y9" s="1"/>
      <x:c r="Z9" s="1"/>
    </x:row>
    <x:row r="10" ht="58" customHeight="1">
      <x:c r="A10" s="17" t="n">
        <x:v>6</x:v>
      </x:c>
      <x:c r="B10" s="17" t="str">
        <x:v>A</x:v>
      </x:c>
      <x:c r="C10" s="17" t="str">
        <x:v>JOB-ALIO</x:v>
      </x:c>
      <x:c r="D10" s="17" t="str">
        <x:v>부산항만공사</x:v>
      </x:c>
      <x:c r="E10" s="17" t="str">
        <x:v>부산항만공사 정규직(신입) 채용 공고</x:v>
      </x:c>
      <x:c r="F10" s="17" t="str">
        <x:v>신입</x:v>
      </x:c>
      <x:c r="G10" s="17" t="str">
        <x:v>정규직</x:v>
      </x:c>
      <x:c r="H10" s="17" t="str">
        <x:v>부산</x:v>
      </x:c>
      <x:c r="I10" s="17" t="str">
        <x:v>상세공고 확인</x:v>
      </x:c>
      <x:c r="J10" s="17" t="str">
        <x:v>2026-09-17</x:v>
      </x:c>
      <x:c r="K10" s="17" t="str">
        <x:v>신입·정규직</x:v>
      </x:c>
      <x:c r="L10" s="17" t="str">
        <x:v>우선검토</x:v>
      </x:c>
      <x:c r="M10" s="17" t="str">
        <x:v>제한 문구 미탐지</x:v>
      </x:c>
      <x:c r="N10" s="17" t="str">
        <x:v>상세 페이지 확인</x:v>
      </x:c>
      <x:c r="O10" s="17" t="str">
        <x:v>[공통] ○ 블라인드 채용 가이드라인에 따라 학력ㆍ성별ㆍ전공 등 제한 없음- 단, 임용예정일(2026.11.30.) 기준 공사 정년(60세) 미만인 자 ○ 남성의 경우 병역필 또는 면제자- 고졸 분야 지원 시 병역 미필자 가능, 현역인 경우 최종합격자 발표일 이전 전역 가능한 자 ○ 부산항만공사 취업규칙 제9조 등에 따른 채용 결격사유가 없는 자 ○ 임용 즉시 근무 가능한 자 ○ 모집분야별 중복지원 불가 및 중복지원 시 불합격 처리 ○ [한국사] 국사편찬위원회 한국사능력검정시험 3급 이상 합격자- 유효기간 해당사항 없음 [사무(일반, 취업지원), 기술(토목,건축)] 공인 영어성적 기준 점수(TOEIC 기준 700점 등) 이상인 자 [사무] ㅇ 사무(고졸) : 최종학력이 고등학교 졸업 또는 졸업예정인 자, 공고마감일(2026.9.17.) 기준 고졸 검정고시 합격일로부터 1년이 경과하지 않은 자 ㅇ 사무(취업지원) : 「국가유공자 등 예우 및 지원에 관한 법률」 등 보훈관계법률에 의한 취업지원(보호) 대상자 [기술] ㅇ 기술(토목) : 「국가기술자격법」에서 정하는 토목산업기사 이상 자격증 보유자 ㅇ 기술(건축) : 「국가기술자격법」에서 정하는 건축산업기사 이상 자격증 보유자</x:v>
      </x:c>
      <x:c r="P10" s="17" t="str">
        <x:v>1차(필기·서류전형) : 인성검사 적합자에 한하여 직업공통능력평가 및 직무수행능력평가(고졸, 취업지원 분야 제외)에서 득점한 점수와 가점(해당자에 한함)을 합산한 총점의 고득점자순으로 서류 적/부 판단 (5배수 선발 예정) 2차(면접전형) : 토론면접(30%), 역량(집단·개별)면접(70%) (1배수 선발 예정) ※ 자세한 사항은 첨부파일의 채용공고문 참고</x:v>
      </x:c>
      <x:c r="Q10" s="17" t="str">
        <x:v>1차(필기·서류전형) : 인성검사 적합자에 한하여 직업공통능력평가 및 직무수행능력평가(고졸, 취업지원 분야 제외)에서 득점한 점수와 가점(해당자에 한함)을 합산한 총점의 고득점자순으로 서류 적/부 판단 (5배수 선발 예정) 2차(면접전형) : 토론면접(30%), 역량(집단·개별)면접(70%) (1배수 선발 예정) ※ 자세한 사항은 첨부파일의 채용공고문 참고</x:v>
      </x:c>
      <x:c r="R10" s="17" t="str">
        <x:v>한국사, TOEIC, 토목산업기사, 건축산업기사</x:v>
      </x:c>
      <x:c r="S10" s="18" t="str">
        <x:v>https://job.alio.go.kr/recruitview.do?idx=304555</x:v>
      </x:c>
      <x:c r="T10" s="1"/>
      <x:c r="U10" s="1"/>
      <x:c r="V10" s="1"/>
      <x:c r="W10" s="1"/>
      <x:c r="X10" s="1"/>
      <x:c r="Y10" s="1"/>
      <x:c r="Z10" s="1"/>
    </x:row>
    <x:row r="11" ht="58" customHeight="1">
      <x:c r="A11" s="17" t="n">
        <x:v>7</x:v>
      </x:c>
      <x:c r="B11" s="17" t="str">
        <x:v>A</x:v>
      </x:c>
      <x:c r="C11" s="17" t="str">
        <x:v>JOB-ALIO</x:v>
      </x:c>
      <x:c r="D11" s="17" t="str">
        <x:v>한국투자공사</x:v>
      </x:c>
      <x:c r="E11" s="17" t="str">
        <x:v>한국투자공사 2026년 신입직원 채용</x:v>
      </x:c>
      <x:c r="F11" s="17" t="str">
        <x:v>신입</x:v>
      </x:c>
      <x:c r="G11" s="17" t="str">
        <x:v>정규직</x:v>
      </x:c>
      <x:c r="H11" s="17" t="str">
        <x:v>서울</x:v>
      </x:c>
      <x:c r="I11" s="17" t="str">
        <x:v>상세공고 확인</x:v>
      </x:c>
      <x:c r="J11" s="17" t="str">
        <x:v>2026-09-18</x:v>
      </x:c>
      <x:c r="K11" s="17" t="str">
        <x:v>신입·정규직</x:v>
      </x:c>
      <x:c r="L11" s="17" t="str">
        <x:v>우선검토</x:v>
      </x:c>
      <x:c r="M11" s="17" t="str">
        <x:v>제한 문구 미탐지</x:v>
      </x:c>
      <x:c r="N11" s="17" t="str">
        <x:v>상세 페이지 확인</x:v>
      </x:c>
      <x:c r="O11" s="17" t="str">
        <x:v>- 학력, 연령, 성별 등에 관계없이 지원 가능(채용 확정 후 즉시 근무 가능한 자) - 남자의 경우 병역 기피 사실이 없는 자 - 국가공무원법 제33조 각호 및 공사 인사규정에 명시된 채용 결격사유에 해당되지 않는 자 - 해외투자 전문기관인 공사의 직무수행에 필수적인 아래의 어학요건을 최소 1개 이상 충족하는 등 모집부문별 자격요건을 만족하는 자 * 투자분야 : TOEIC 900점(또는 New TEPS 370점, TOEFL(IBT) 105점, TOEIC Speaking 160점(AL), OPIc (IH)) 이상 * 리스크분야/경영분야/IT분야 : TOEIC 850점(또는 New TEPS 336점, TOEFL(IBT) 98점, TOEIC Speaking 140점(IH), OPIc (IM3)) 이상</x:v>
      </x:c>
      <x:c r="P11" s="17" t="str">
        <x:v>○ 전형절차 : 서류전형 &gt; 필기전형 &gt; 온라인 인성검사 &gt; 1차 면접전형 &gt; 2차 면접전형 &gt; 최종합격자 발표 ○ 서류전형 - 선발인원: 모집부문별 채용인원의 30배수 - 선발방법: 응시자격을 충족한 적격 지원자를 대상으로 서류평가 - 동점자 처리기준: 전원 합격 처리 ○ 필기전형 - 선발인원: 모집부문별 채용인원의 10배수 - 평가방법: 직무능력평가(200점) - 평가기준: 모집부문별 상위 득점자 순으로 선발 - 동점자 처리기준: 취업지원대상자(보훈), 직무능력평가 고득점자 순으로 선발하되, 동점자 중 취업지원대상자가 없고 직무능력평가가 동점일 경우에는 동점자 전원 1차 면접기회 부여(동 기준에 한하여 선발인원 초과 가능) ※ 필기전형 합격자를 대상으로 온라인 인성검사 실시 ○ 1차 면접전형 - 선발인원: 모집부문별 채용인원의 3배수 - 평가방법 및 기준: 실무자 직무역량 면접 실시(PT면접, 코딩역량평가 포함) * 투자 : 실무자면접(70) + 영어 PT면접(30) * 리스크 : 실무자면접(70) + PT면접(30) * 경영 : 실무자면접(70) + PT면접(30) * IT : 실무자면접(60) + PT면접(20) + 코딩역량평가(20) - 동점자 처리기준: 모집부문별 동점자 전원에게 2차 면접기회 부여(동 기준에 한해 선발인원 가능) - 모집부문별 적격자가 없다고 판단되는 경우, 선발인원 미만으로 선발하거나 미선발 가능 ○ 2차 면접전형 - 선발인원: 모집부문별 채용인원의 1배수 - 평가방법: 임원 면접 실시 - 평가기준: 지원자의 인성, 역량 등 조직적합성에 대해 종합적으로 평가 - 동점자 처리기준: 취업지원대상자(보훈), 1차 면접 고득점자, 필기전형 고득점자 순으로 선발 - 모집부문별 적격자가 없다고 판단되는 경우, 1배수 미만으로 선발하거나 미선발 가능 ○ 고용형태 : 정직원 (수습기간 3개월) - 단, 최초 2년 계약 이후 업무실적 등을 평가하여 계속 고용 여부 결정</x:v>
      </x:c>
      <x:c r="Q11" s="17" t="str">
        <x:v>○ 전형절차 : 서류전형 &gt; 필기전형 &gt; 온라인 인성검사 &gt; 1차 면접전형 &gt; 2차 면접전형 &gt; 최종합격자 발표 ○ 서류전형 - 선발인원: 모집부문별 채용인원의 30배수 - 선발방법: 응시자격을 충족한 적격 지원자를 대상으로 서류평가 - 동점자 처리기준: 전원 합격 처리 ○ 필기전형 - 선발인원: 모집부문별 채용인원의 10배수 - 평가방법: 직무능력평가(200점) - 평가기준: 모집부문별 상위 득점자 순으로 선발 - 동점자 처리기준: 취업지원대상자(보훈), 직무능력평가 고득점자 순으로 선발하되, 동점자 중 취업지원대상자가 없고 직무능력평가가 동점일 경우에는 동점자 전원 1차 면접기회 부여(동 기준에 한하여 선발인원 초과 가능) ※ 필기전형 합격자를 대상으로 온라인 인성검사 실시 ○ 1차 면접전형 - 선발인원: 모집부문별 채용인원의 3배수 - 평가방법 및 기준: 실무자 직무역량 면접 실시(PT면접, 코딩역량평가 포함) * 투자 : 실무자면접(70) + 영어 PT면접(30) * 리스크 : 실무자면접(70) + PT면접(30) * 경영 : 실무자면접(70) + PT면접(30) * IT : 실무자면접(60) + PT면접(20) + 코딩역량평가(20) - 동점자 처리기준: 모집부문별 동점자 전원에게 2차 면접기회 부여(동 기준에 한해 선발인원 가능) - 모집부문별 적격자가 없다고 판단되는 경우, 선발인원 미만으로 선발하거나 미선발 가능 ○ 2차 면접전형 - 선발인원: 모집부문별 채용인원의 1배수 - 평가방법: 임원 면접 실시 - 평가기준: 지원자의 인성, 역량 등 조직적합성에 대해 종합적으로 평가 - 동점자 처리기준…</x:v>
      </x:c>
      <x:c r="R11" s="17" t="str">
        <x:v>어학, TOEIC</x:v>
      </x:c>
      <x:c r="S11" s="18" t="str">
        <x:v>https://job.alio.go.kr/recruitview.do?idx=304335</x:v>
      </x:c>
      <x:c r="T11" s="1"/>
      <x:c r="U11" s="1"/>
      <x:c r="V11" s="1"/>
      <x:c r="W11" s="1"/>
      <x:c r="X11" s="1"/>
      <x:c r="Y11" s="1"/>
      <x:c r="Z11" s="1"/>
    </x:row>
    <x:row r="12" ht="58" customHeight="1">
      <x:c r="A12" s="17" t="n">
        <x:v>8</x:v>
      </x:c>
      <x:c r="B12" s="17" t="str">
        <x:v>A</x:v>
      </x:c>
      <x:c r="C12" s="17" t="str">
        <x:v>JOB-ALIO</x:v>
      </x:c>
      <x:c r="D12" s="17" t="str">
        <x:v>중소기업은행</x:v>
      </x:c>
      <x:c r="E12" s="17" t="str">
        <x:v>2026년 하반기 IBK기업은행 일반직원(정규직) 수시채용 공고</x:v>
      </x:c>
      <x:c r="F12" s="17" t="str">
        <x:v>신입+경력</x:v>
      </x:c>
      <x:c r="G12" s="17" t="str">
        <x:v>정규직</x:v>
      </x:c>
      <x:c r="H12" s="17" t="str">
        <x:v>서울 외 16</x:v>
      </x:c>
      <x:c r="I12" s="17" t="str">
        <x:v>상세공고 확인</x:v>
      </x:c>
      <x:c r="J12" s="17" t="str">
        <x:v>2026-09-21</x:v>
      </x:c>
      <x:c r="K12" s="17" t="str">
        <x:v>신입·정규직</x:v>
      </x:c>
      <x:c r="L12" s="17" t="str">
        <x:v>우선검토</x:v>
      </x:c>
      <x:c r="M12" s="17" t="str">
        <x:v>제한 문구 미탐지</x:v>
      </x:c>
      <x:c r="N12" s="17" t="str">
        <x:v>상세 페이지 확인</x:v>
      </x:c>
      <x:c r="O12" s="17" t="str">
        <x:v>□ 채용인원 : IT 사업관리·컨설팅(2명) / 플랫폼 아키텍처 설계·운영(2명) / 사이버위협 분석·대응(2명) / 글로벌 투자금융(2명) / 글로벌 금융(통번역사)(1명) / 자금운용(1명) / 보험계리사(2명) / 공인회계사(KICPA)(3명) □ 기본요건 - 남성의 경우 병역필* 또는 면제자* * 2026. 11. 30. 이전 전역 가능한 자 포함 - 채용 확정(12월 초·중순 예정) 후 전일 근무 가능한 자* * 졸업, 재학, 이직 절차, 군 전역 등의 사유로 입행 유예 불가 - 당행 인사규정 「채용의 제한」 대상자 등(“유의사항” 참조)이 아닌 자 □ 응시자격 - IT 사업관리·컨설팅 · 학사학위 이상 소지자(전공무관)로서 “IT 사업관리” 또는 “IT 컨설팅” 관련 업무* 경력 5년 이상 보유자 * 사업기획, 투자심의, 사업관리(PM, PMO), 정보화컨설팅, 대가 산정 등 - 플랫폼 아키텍처 설계·운영 · 학사학위 이상 소지자(관련 전공*)로서 “컨테이너 기반 아키텍처 설계·운영” 관련 업무 경력 5년 이상 보유자 - 사이버위협 분석·대응 ※ 다음 ①, ② 中 1개 이상 해당하는 자 ① 석사학위 이상 소지자(전공무관)로서 “침해대응” 또는 “모의해킹” 관련 업무 경력 3년 이상 보유자 ② 학사학위 소지자(전공무관)로서 “침해대응” 또는 “모의해킹” 관련 업무 경력 5년 이상 보유자 - 글로벌 투자금융 · 학사학위 이상 소지자(전공무관)로서 “IB” 또는 “투자·운용” 관련 업무* 경력 2년 이상 보유자 * IB : 인수금융, 기업금융, 구조화, PF, 부동산·인프라금융, 오브젝트금융 등 투자·운용 : 채권, FX, 선물·옵션, 대체투자, 포트폴리오 리스크관리 - 글로벌 금융(통번역사) · 통역번역(통번역)대학원(한영) 졸업 또는 수료자로서 “글로벌사업” 관련 업무* 경력 3년 이상 보유자 * 글로벌사업 전략 수립 및 기획, 해외법인(지사) 신설, 해외기관 협력사업 발굴 및 FI사업 추진 등 - 자금운용 · 학사학위 이상 소지자(전공무관)로서 “자금운용” 관련 업무 경력 5년 이상 보유자 - 보험계리사 · 보험계리사 등록증 소지자로서, “퇴직연금계리(IFRS계리평가 또는 재정검증)” 관련 업무 경력 1년 이상 보유자 - 공인회계사(KICPA) · 공인회계사(KICPA) 등록증 소지자</x:v>
      </x:c>
      <x:c r="P12" s="17" t="str">
        <x:v>□ 채용절차 및 방법 지원서 접수 &gt; 서류심사 &gt; 실기시험 &gt; 면접시험 &gt; 최종 합격자 발표(신체검사) 1. 지원서 접수 - 접수기간 : '26. 9. 4.(금) ∼ 9. 21.(월) 10시 - 접수방법 : 채용전용 홈페이지(http://ibk.incruit.com)에 지원서 등록 2. 서류심사 - 합격인원 : 분야별 채용인원의 6배수 이내 - 서류심사 합격자 발표 : ’26. 10월 초순 예정(홈페이지 발표) 3. 실기시험 - 일정/장소 : ’26. 10. 12.(월) ~ 10. 20.(화) 中 예정/본점 ※ 일정, 장소 변동가능 - 합격인원 : 분야별 채용인원의 3배수 이내 - 실기시험 합격자 발표 : ’26. 10월 하순 예정 4. 면접시험 - 일정/장소 : ’26. 10. 26.(월) ~ 10. 30.(금) 中 예정/본점 ※ 일정, 장소 변동가능 - 합격인원 : 15명(분야별 채용인원의 1배수 이내) - 면접시험 합격자 발표 : ’26. 11월 중순 예정 ※ 유의사항 - 전염병 등 국내외 특수한 상황 발생 또는 IBK기업은행의 사정 등에 따라 전형방법 및 일정 등은 변경될 수 있음 - 전형별 합격여부는 채용전용 홈페이지를 통해 발표예정(유선 확인 불가) - 합격자 발표 미확인, 연락불능 등으로 각 전형에 미참여한 경우 또는 입력사항 기재착오, 누락 등으로 인한 불이익은 지원자에게 책임이 있음 - 최종 합격자 발표 후 일정기간 內 입행포기자 등 발생 時 분야별 면접시험 점수의 차순위자에게 추가 합격기회를 부여할 예정 (채용전형별 최소 합격기준을 충족하는 자에 한하며 동점시 동점자 처리기준에 따름) - 본 채용전형은 블라인드 채용으로 전형 全과정에서 학교명, 출신지역, 가족관계, 성별, 나이 등 직·간접적으로 편견이 개입될 수 있는 인적사항을 노출하는 경우 불이익이 있을 수 있음 - 개인사정에 따른 각 전형의 일정 변경은 불가함 - 근무 및 처우 등 채용공고에 기재하지 않은 사항은 당행 내규에 따름 - 응시인원 미달 또는 전형결과 적격자가 없다고 판단되는 경우 선발하지 않거나, 선발 예정인원보다 적게 선발할 수 있음 - 증빙서류를 사전에 발급·점검한 후 입행지원서의 지원자격 사항 등을 정확히 입력하시기 바람 - 제출한 서류에 대한 진위 여부 등을 확인 후 최종 입행처리 예정 - 국가유공자 등 예우 및 지원에 관한 법률에 따라 지원자의 수가 채용 예정인원과 같거나 그보다 적은 경우 취업지원대상자에게 가점 부여 - 채용공고에 기재되지 않은 각종 세부 내용은 FAQ(채용전용 홈페이지) 참조 ※ 수행 직무, 동점자 처리기준, 제출서류, 기타 유의사항 등 자세한 내용은 채용공고문을 참고하여 주시기 바랍니다. ※ 인사부 채용담당자 연락처(02-729-7364, 7929, 6395)</x:v>
      </x:c>
      <x:c r="Q12" s="17" t="str">
        <x:v>□ 채용절차 및 방법 지원서 접수 &gt; 서류심사 &gt; 실기시험 &gt; 면접시험 &gt; 최종 합격자 발표(신체검사) 1 / 면접시험 - 일정/장소 : ’26 / (금) 中 예정/본점 ※ 일정, 장소 변동가능 - 합격인원 : 15명(분야별 채용인원의 1배수 이내) - 면접시험 합격자 발표 : ’26 / 11월 중순 예정 ※ 유의사항 - 전염병 등 국내외 특수한 상황 발생 또는 IBK기업은행의 사정 등에 따라 전형방법 및 일정 등은 변경될 수 있음 - 전형별 합격여부는 채용전용 홈페이지를 통해 발표예정(유선 확인 불가) - 합격자 발표 미확인, 연락불능 등으로 각 전형에 미참여한 경우 또는 입력사항 기재착오, 누락 등으로 인한 불이익은 지원자에게 책임이 있음 - 최종 합격자 발표 후 일정기간 內 입행포기자 등 발생 時 분야별 면접시험 점수의 차순위자에게 추가 합격기회를 부여할 예정 (채용전형별 최소 합격기준을 충족하는 자에 한하며 동점시 동점자 처리기준에 따름) - 본 채용전형은 블라인드 채용으로 전형 全과정에서 학교명, 출신지역, 가족관계, 성별, 나이 등 직·간접적으로 편견이 개입될 수 있는 인적사항을 노출하는 경우 불이익이 있을 수 있음 - 개인사정에 따른 각 전형의 일정 변경은 불가함 - 근무 및 처우 등 채용공고에 기재하지 않은 사항은 당행 내규에 따름 - 응시인원 미달 또는 전형결과 적격자가 없다고 판단되는 경우 선발하지 않거나, 선발 예정인원보다 적게 선발할 수 있음 - 증빙서류를 사전에 발급·점검한 후 입행지원서의 지원자격 사항 등을 정확히 입력하시기 바람 - 제출한 서류에 대한 진위 여부 등을 확인 후 최종…</x:v>
      </x:c>
      <x:c r="R12" s="17" t="str">
        <x:v>의사, 어학</x:v>
      </x:c>
      <x:c r="S12" s="18" t="str">
        <x:v>https://job.alio.go.kr/recruitview.do?idx=304557</x:v>
      </x:c>
      <x:c r="T12" s="1"/>
      <x:c r="U12" s="1"/>
      <x:c r="V12" s="1"/>
      <x:c r="W12" s="1"/>
      <x:c r="X12" s="1"/>
      <x:c r="Y12" s="1"/>
      <x:c r="Z12" s="1"/>
    </x:row>
    <x:row r="13" ht="58" customHeight="1">
      <x:c r="A13" s="17" t="n">
        <x:v>9</x:v>
      </x:c>
      <x:c r="B13" s="17" t="str">
        <x:v>A</x:v>
      </x:c>
      <x:c r="C13" s="17" t="str">
        <x:v>JOB-ALIO</x:v>
      </x:c>
      <x:c r="D13" s="17" t="str">
        <x:v>한국전력기술주식회사</x:v>
      </x:c>
      <x:c r="E13" s="17" t="str">
        <x:v>2026년도 하반기 정규직(신입사원) 채용공고</x:v>
      </x:c>
      <x:c r="F13" s="17" t="str">
        <x:v>신입</x:v>
      </x:c>
      <x:c r="G13" s="17" t="str">
        <x:v>정규직</x:v>
      </x:c>
      <x:c r="H13" s="17" t="str">
        <x:v>경북</x:v>
      </x:c>
      <x:c r="I13" s="17" t="str">
        <x:v>상세공고 확인</x:v>
      </x:c>
      <x:c r="J13" s="17" t="str">
        <x:v>2026-09-22</x:v>
      </x:c>
      <x:c r="K13" s="17" t="str">
        <x:v>신입·정규직</x:v>
      </x:c>
      <x:c r="L13" s="17" t="str">
        <x:v>우선검토</x:v>
      </x:c>
      <x:c r="M13" s="17" t="str">
        <x:v>제한 문구 미탐지</x:v>
      </x:c>
      <x:c r="N13" s="17" t="str">
        <x:v>상세 페이지 확인</x:v>
      </x:c>
      <x:c r="O13" s="17" t="str">
        <x:v>1. 공통 응시자격 - 채용 전 과정 블라인드 방식 적용 - 입사 예정일에 근무가 가능한 자로, 회사 정년(만60세)에 도달하지 아니한 자 - 회사 인사규정 제8조 결격사유에 해당하지 않는 자(첨부 공고문 참조) - 현재 군 복무 중인 경우, 면접전형 시작일 이전 전역이 가능한 자 2. 채용분야별 응시자격 : 채용공고 참조</x:v>
      </x:c>
      <x:c r="P13" s="17" t="str">
        <x:v>1. 전형절차 : 서류전형 → 필기전형 → 면접전형 → 최종합격 2. 전형별 합격 예정인원 - 채용인원 5명 이하 분야 : (서류) 30배수 / (필기) 5배수 / (최종) 1배수 - 채용인원 5명 초과 분야 : (서류) 30배수 / (필기) 3배수 / (최종) 1배수 * 보훈, 장애인 채용의 경우 응시자격 충족자 전원 서류전형 합격</x:v>
      </x:c>
      <x:c r="Q13" s="17" t="str">
        <x:v>전형절차 : 서류전형 → 필기전형 → 면접전형 → 최종합격 2</x:v>
      </x:c>
      <x:c r="R13" s="17" t="str">
        <x:v>상세공고 확인</x:v>
      </x:c>
      <x:c r="S13" s="18" t="str">
        <x:v>https://job.alio.go.kr/recruitview.do?idx=304717</x:v>
      </x:c>
      <x:c r="T13" s="1"/>
      <x:c r="U13" s="1"/>
      <x:c r="V13" s="1"/>
      <x:c r="W13" s="1"/>
      <x:c r="X13" s="1"/>
      <x:c r="Y13" s="1"/>
      <x:c r="Z13" s="1"/>
    </x:row>
    <x:row r="14" ht="58" customHeight="1">
      <x:c r="A14" s="17" t="n">
        <x:v>10</x:v>
      </x:c>
      <x:c r="B14" s="17" t="str">
        <x:v>A</x:v>
      </x:c>
      <x:c r="C14" s="17" t="str">
        <x:v>JOB-ALIO</x:v>
      </x:c>
      <x:c r="D14" s="17" t="str">
        <x:v>한국콘텐츠진흥원</x:v>
      </x:c>
      <x:c r="E14" s="17" t="str">
        <x:v>2026년 4분기 한국콘텐츠진흥원 신입직원 채용 공고</x:v>
      </x:c>
      <x:c r="F14" s="17" t="str">
        <x:v>신입</x:v>
      </x:c>
      <x:c r="G14" s="17" t="str">
        <x:v>정규직</x:v>
      </x:c>
      <x:c r="H14" s="17" t="str">
        <x:v>전남광주</x:v>
      </x:c>
      <x:c r="I14" s="17" t="str">
        <x:v>상세공고 확인</x:v>
      </x:c>
      <x:c r="J14" s="17" t="str">
        <x:v>2026-09-28</x:v>
      </x:c>
      <x:c r="K14" s="17" t="str">
        <x:v>신입·정규직</x:v>
      </x:c>
      <x:c r="L14" s="17" t="str">
        <x:v>우선검토</x:v>
      </x:c>
      <x:c r="M14" s="17" t="str">
        <x:v>제한 문구 미탐지</x:v>
      </x:c>
      <x:c r="N14" s="17" t="str">
        <x:v>상세 페이지 확인</x:v>
      </x:c>
      <x:c r="O14" s="17" t="str">
        <x:v>- 연령, 성별, 학력, 전공 제한 없음 (단, 입사예정일 기준 우리원 정년(만 60세)에 도달하는 자는 지원 불가 - 병역법 제 76조에서 정한 병역의무 불이행 사실이 없는 자 - 직무기술서에 따른 업무가 가능한 자 - 입사일 즉시 근무 가능한 자 - 콘진원 인사규정 제 8조의 결격사유에 해당하지 않는 자</x:v>
      </x:c>
      <x:c r="P14" s="17" t="str">
        <x:v>- 서류전형: 20배수 이내 합격 - 필기전형(NCS 및 인성검사): 5배수 이내 합격 - 역량면접: 2.5배수 이내 합격 - 인성면접: 1배수 이내 합격 (채용전형 종료 후 대상자에게 신체검사 및 서류검증 진행)</x:v>
      </x:c>
      <x:c r="Q14" s="17" t="str">
        <x:v>- 서류전형: 20배수 이내 합격 - 필기전형(NCS 및 인성검사): 5배수 이내 합격 - 역량면접: 2 / 5배수 이내 합격 - 인성면접: 1배수 이내 합격 (채용전형 종료 후 대상자에게 신체검사 및 서류검증 진행)</x:v>
      </x:c>
      <x:c r="R14" s="17" t="str">
        <x:v>상세공고 확인</x:v>
      </x:c>
      <x:c r="S14" s="18" t="str">
        <x:v>https://job.alio.go.kr/recruitview.do?idx=304527</x:v>
      </x:c>
      <x:c r="T14" s="1"/>
      <x:c r="U14" s="1"/>
      <x:c r="V14" s="1"/>
      <x:c r="W14" s="1"/>
      <x:c r="X14" s="1"/>
      <x:c r="Y14" s="1"/>
      <x:c r="Z14" s="1"/>
    </x:row>
    <x:row r="15" ht="58" customHeight="1">
      <x:c r="A15" s="17" t="n">
        <x:v>11</x:v>
      </x:c>
      <x:c r="B15" s="17" t="str">
        <x:v>A</x:v>
      </x:c>
      <x:c r="C15" s="17" t="str">
        <x:v>JOB-ALIO</x:v>
      </x:c>
      <x:c r="D15" s="17" t="str">
        <x:v>주택관리공단(주)</x:v>
      </x:c>
      <x:c r="E15" s="17" t="str">
        <x:v>채용형 인턴 채용공고(주택관리공단 대구경북지사)</x:v>
      </x:c>
      <x:c r="F15" s="17" t="str">
        <x:v>신입+경력</x:v>
      </x:c>
      <x:c r="G15" s="17" t="str">
        <x:v>청년인턴(채용형)</x:v>
      </x:c>
      <x:c r="H15" s="17" t="str">
        <x:v>대구</x:v>
      </x:c>
      <x:c r="I15" s="17" t="str">
        <x:v>상세공고 확인</x:v>
      </x:c>
      <x:c r="J15" s="17" t="str">
        <x:v>2026-09-10</x:v>
      </x:c>
      <x:c r="K15" s="17" t="str">
        <x:v>신입·채용형 인턴</x:v>
      </x:c>
      <x:c r="L15" s="17" t="str">
        <x:v>우선검토</x:v>
      </x:c>
      <x:c r="M15" s="17" t="str">
        <x:v>제한 문구 미탐지</x:v>
      </x:c>
      <x:c r="N15" s="17" t="str">
        <x:v>상세 페이지 확인</x:v>
      </x:c>
      <x:c r="O15" s="17" t="str">
        <x:v>○ 응시자격 · 학력, 어학, 성별, 연령 : 제한없음 · 병역 : ?병역법? 제76조에서 정한 병역의무 불이행 사실이 없는 자 * 단, 최종 합격자 발표일까지 전역예정자로서 전형절차에 응시 가능자 지원 가능 · 기타 : 공단 직원채용 결격사유에 해당되지 않는 자</x:v>
      </x:c>
      <x:c r="P15" s="17" t="str">
        <x:v>○ 채용절차 1. 채용공고 2. 입사지원서 작성 및 제출 3. 1차 서류전형 4. 1차 서류전형 합격자 발표 5. 2차 면접전형 6. 2차 면접전형 합격자 발표 7. 결격사유 확인 8. 최종합격자 발표 9. 임용 ○ 채용방법 - 국가직무능력표준(NCS)에 기반하여 직업능력(직업기초능력+직무수행능력)평가</x:v>
      </x:c>
      <x:c r="Q15" s="17" t="str">
        <x:v>2차 면접전형 6 / 2차 면접전형 합격자 발표 7</x:v>
      </x:c>
      <x:c r="R15" s="17" t="str">
        <x:v>어학</x:v>
      </x:c>
      <x:c r="S15" s="18" t="str">
        <x:v>https://job.alio.go.kr/recruitview.do?idx=304587</x:v>
      </x:c>
      <x:c r="T15" s="1"/>
      <x:c r="U15" s="1"/>
      <x:c r="V15" s="1"/>
      <x:c r="W15" s="1"/>
      <x:c r="X15" s="1"/>
      <x:c r="Y15" s="1"/>
      <x:c r="Z15" s="1"/>
    </x:row>
    <x:row r="16" ht="58" customHeight="1">
      <x:c r="A16" s="17" t="n">
        <x:v>12</x:v>
      </x:c>
      <x:c r="B16" s="17" t="str">
        <x:v>A</x:v>
      </x:c>
      <x:c r="C16" s="17" t="str">
        <x:v>JOB-ALIO</x:v>
      </x:c>
      <x:c r="D16" s="17" t="str">
        <x:v>주택관리공단(주)</x:v>
      </x:c>
      <x:c r="E16" s="17" t="str">
        <x:v>채용형 인턴 채용공고(주택관리공단 경기북부지사)</x:v>
      </x:c>
      <x:c r="F16" s="17" t="str">
        <x:v>신입+경력</x:v>
      </x:c>
      <x:c r="G16" s="17" t="str">
        <x:v>청년인턴(채용형)</x:v>
      </x:c>
      <x:c r="H16" s="17" t="str">
        <x:v>경기</x:v>
      </x:c>
      <x:c r="I16" s="17" t="str">
        <x:v>상세공고 확인</x:v>
      </x:c>
      <x:c r="J16" s="17" t="str">
        <x:v>2026-09-15</x:v>
      </x:c>
      <x:c r="K16" s="17" t="str">
        <x:v>신입·채용형 인턴</x:v>
      </x:c>
      <x:c r="L16" s="17" t="str">
        <x:v>우선검토</x:v>
      </x:c>
      <x:c r="M16" s="17" t="str">
        <x:v>제한 문구 미탐지</x:v>
      </x:c>
      <x:c r="N16" s="17" t="str">
        <x:v>상세 페이지 확인</x:v>
      </x:c>
      <x:c r="O16" s="17" t="str">
        <x:v>○ 응시자격 · 학력, 어학, 성별, 연령 : 제한없음 · 병역 : ?병역법? 제76조에서 정한 병역의무 불이행 사실이 없는 자 * 단, 최종 합격자 발표일까지 전역예정자로서 전형절차에 응시 가능자 지원 가능 · 기타 : 공단 직원채용 결격사유에 해당되지 않는 자</x:v>
      </x:c>
      <x:c r="P16" s="17" t="str">
        <x:v>○ 채용절차 1. 채용공고 2. 입사지원서 작성 및 제출 3. 1차 서류전형 4. 1차 서류전형 합격자 발표 5. 2차 면접전형 6. 2차 면접전형 합격자 발표 7. 결격사유 확인 8. 최종합격자 발표 9. 임용 ○ 채용방법 - 국가직무능력표준(NCS)에 기반하여 직업능력(직업기초능력+직무수행능력)평가</x:v>
      </x:c>
      <x:c r="Q16" s="17" t="str">
        <x:v>2차 면접전형 6 / 2차 면접전형 합격자 발표 7</x:v>
      </x:c>
      <x:c r="R16" s="17" t="str">
        <x:v>어학</x:v>
      </x:c>
      <x:c r="S16" s="18" t="str">
        <x:v>https://job.alio.go.kr/recruitview.do?idx=304739</x:v>
      </x:c>
      <x:c r="T16" s="1"/>
      <x:c r="U16" s="1"/>
      <x:c r="V16" s="1"/>
      <x:c r="W16" s="1"/>
      <x:c r="X16" s="1"/>
      <x:c r="Y16" s="1"/>
      <x:c r="Z16" s="1"/>
    </x:row>
    <x:row r="17" ht="58" customHeight="1">
      <x:c r="A17" s="17" t="n">
        <x:v>13</x:v>
      </x:c>
      <x:c r="B17" s="17" t="str">
        <x:v>B</x:v>
      </x:c>
      <x:c r="C17" s="17" t="str">
        <x:v>Cleaneye Job+</x:v>
      </x:c>
      <x:c r="D17" s="17" t="str">
        <x:v>전남광주통합특별시서구시설관리공단</x:v>
      </x:c>
      <x:c r="E17" s="17" t="str">
        <x:v>2026년 제3회 직원(일반직, 공무직, 환경직) 공개채용 공고</x:v>
      </x:c>
      <x:c r="F17" s="17" t="str">
        <x:v>신입+경력</x:v>
      </x:c>
      <x:c r="G17" s="17" t="str">
        <x:v>일반정규직</x:v>
      </x:c>
      <x:c r="H17" s="17" t="str"/>
      <x:c r="I17" s="17" t="str">
        <x:v>전남광주통합특별시</x:v>
      </x:c>
      <x:c r="J17" s="17" t="str">
        <x:v>2026-09-09</x:v>
      </x:c>
      <x:c r="K17" s="17" t="str">
        <x:v>신입·정규직</x:v>
      </x:c>
      <x:c r="L17" s="17" t="str">
        <x:v>우선검토</x:v>
      </x:c>
      <x:c r="M17" s="17" t="str">
        <x:v>제한 문구 미탐지</x:v>
      </x:c>
      <x:c r="N17" s="17" t="str">
        <x:v>포털 목록 확인</x:v>
      </x:c>
      <x:c r="O17" s="17" t="str">
        <x:v>기관 공고 원문 확인</x:v>
      </x:c>
      <x:c r="P17" s="17" t="str">
        <x:v>기관 공고 원문 확인</x:v>
      </x:c>
      <x:c r="Q17" s="17" t="str">
        <x:v>기관 공고 원문 확인</x:v>
      </x:c>
      <x:c r="R17" s="17" t="str">
        <x:v>기관 공고 원문 확인</x:v>
      </x:c>
      <x:c r="S17" s="18" t="str">
        <x:v>https://job.cleaneye.go.kr/user/ypRecruitment.do</x:v>
      </x:c>
      <x:c r="T17" s="1"/>
      <x:c r="U17" s="1"/>
      <x:c r="V17" s="1"/>
      <x:c r="W17" s="1"/>
      <x:c r="X17" s="1"/>
      <x:c r="Y17" s="1"/>
      <x:c r="Z17" s="1"/>
    </x:row>
    <x:row r="18" ht="58" customHeight="1">
      <x:c r="A18" s="17" t="n">
        <x:v>14</x:v>
      </x:c>
      <x:c r="B18" s="17" t="str">
        <x:v>B</x:v>
      </x:c>
      <x:c r="C18" s="17" t="str">
        <x:v>JOB-ALIO</x:v>
      </x:c>
      <x:c r="D18" s="17" t="str">
        <x:v>한국동서발전(주)</x:v>
      </x:c>
      <x:c r="E18" s="17" t="str">
        <x:v>한국동서발전(주) 2026년 사회형평 신입직원(대졸수준(보훈/장애)) 선발</x:v>
      </x:c>
      <x:c r="F18" s="17" t="str">
        <x:v>상세공고 확인</x:v>
      </x:c>
      <x:c r="G18" s="17" t="str">
        <x:v>정규직</x:v>
      </x:c>
      <x:c r="H18" s="17" t="str">
        <x:v>울산 외 6</x:v>
      </x:c>
      <x:c r="I18" s="17" t="str">
        <x:v>상세공고 확인</x:v>
      </x:c>
      <x:c r="J18" s="17" t="str">
        <x:v>2026-09-09</x:v>
      </x:c>
      <x:c r="K18" s="17" t="str">
        <x:v>신입·정규직</x:v>
      </x:c>
      <x:c r="L18" s="17" t="str">
        <x:v>우선검토</x:v>
      </x:c>
      <x:c r="M18" s="17" t="str">
        <x:v>제한 문구 미탐지</x:v>
      </x:c>
      <x:c r="N18" s="17" t="str">
        <x:v>목록 항목 확인</x:v>
      </x:c>
      <x:c r="O18" s="17" t="str">
        <x:v>상세공고 확인</x:v>
      </x:c>
      <x:c r="P18" s="17" t="str">
        <x:v>상세공고 확인</x:v>
      </x:c>
      <x:c r="Q18" s="17" t="str">
        <x:v>상세공고 확인</x:v>
      </x:c>
      <x:c r="R18" s="17" t="str">
        <x:v>상세공고 확인</x:v>
      </x:c>
      <x:c r="S18" s="18" t="str">
        <x:v>https://job.alio.go.kr/recruitview.do?idx=304267</x:v>
      </x:c>
      <x:c r="T18" s="1"/>
      <x:c r="U18" s="1"/>
      <x:c r="V18" s="1"/>
      <x:c r="W18" s="1"/>
      <x:c r="X18" s="1"/>
      <x:c r="Y18" s="1"/>
      <x:c r="Z18" s="1"/>
    </x:row>
    <x:row r="19" ht="58" customHeight="1">
      <x:c r="A19" s="17" t="n">
        <x:v>15</x:v>
      </x:c>
      <x:c r="B19" s="17" t="str">
        <x:v>B</x:v>
      </x:c>
      <x:c r="C19" s="17" t="str">
        <x:v>Cleaneye Job+</x:v>
      </x:c>
      <x:c r="D19" s="17" t="str">
        <x:v>강원특별자치도원주의료원</x:v>
      </x:c>
      <x:c r="E19" s="17" t="str">
        <x:v>원주의료원 신규직원(기능직 8급_조리사, 기간제근로자 등) 채용공고</x:v>
      </x:c>
      <x:c r="F19" s="17" t="str">
        <x:v>신입+경력</x:v>
      </x:c>
      <x:c r="G19" s="17" t="str">
        <x:v>일반정규직</x:v>
      </x:c>
      <x:c r="H19" s="17" t="str">
        <x:v>강원특별자치도</x:v>
      </x:c>
      <x:c r="I19" s="17" t="str">
        <x:v>명시 없음(원문 확인)</x:v>
      </x:c>
      <x:c r="J19" s="17" t="str">
        <x:v>2026-09-11</x:v>
      </x:c>
      <x:c r="K19" s="17" t="str">
        <x:v>신입·정규직</x:v>
      </x:c>
      <x:c r="L19" s="17" t="str">
        <x:v>우선검토</x:v>
      </x:c>
      <x:c r="M19" s="17" t="str">
        <x:v>제한 문구 미탐지</x:v>
      </x:c>
      <x:c r="N19" s="17" t="str">
        <x:v>포털 목록 확인</x:v>
      </x:c>
      <x:c r="O19" s="17" t="str">
        <x:v>기관 공고 원문 확인</x:v>
      </x:c>
      <x:c r="P19" s="17" t="str">
        <x:v>기관 공고 원문 확인</x:v>
      </x:c>
      <x:c r="Q19" s="17" t="str">
        <x:v>기관 공고 원문 확인</x:v>
      </x:c>
      <x:c r="R19" s="17" t="str">
        <x:v>기관 공고 원문 확인</x:v>
      </x:c>
      <x:c r="S19" s="18" t="str">
        <x:v>https://job.cleaneye.go.kr/user/ypRecruitment.do</x:v>
      </x:c>
      <x:c r="T19" s="1"/>
      <x:c r="U19" s="1"/>
      <x:c r="V19" s="1"/>
      <x:c r="W19" s="1"/>
      <x:c r="X19" s="1"/>
      <x:c r="Y19" s="1"/>
      <x:c r="Z19" s="1"/>
    </x:row>
    <x:row r="20" ht="58" customHeight="1">
      <x:c r="A20" s="17" t="n">
        <x:v>16</x:v>
      </x:c>
      <x:c r="B20" s="17" t="str">
        <x:v>B</x:v>
      </x:c>
      <x:c r="C20" s="17" t="str">
        <x:v>Cleaneye Job+</x:v>
      </x:c>
      <x:c r="D20" s="17" t="str">
        <x:v>관악구시설관리공단</x:v>
      </x:c>
      <x:c r="E20" s="17" t="str">
        <x:v>2026년 제4회 관악구시설관리공단 일반직 공개경쟁채용 공고</x:v>
      </x:c>
      <x:c r="F20" s="17" t="str">
        <x:v>신입</x:v>
      </x:c>
      <x:c r="G20" s="17" t="str">
        <x:v>일반정규직</x:v>
      </x:c>
      <x:c r="H20" s="17" t="str">
        <x:v>서울특별시</x:v>
      </x:c>
      <x:c r="I20" s="17" t="str">
        <x:v>명시 없음(원문 확인)</x:v>
      </x:c>
      <x:c r="J20" s="17" t="str">
        <x:v>2026-09-13</x:v>
      </x:c>
      <x:c r="K20" s="17" t="str">
        <x:v>신입·정규직</x:v>
      </x:c>
      <x:c r="L20" s="17" t="str">
        <x:v>우선검토</x:v>
      </x:c>
      <x:c r="M20" s="17" t="str">
        <x:v>제한 문구 미탐지</x:v>
      </x:c>
      <x:c r="N20" s="17" t="str">
        <x:v>포털 목록 확인</x:v>
      </x:c>
      <x:c r="O20" s="17" t="str">
        <x:v>기관 공고 원문 확인</x:v>
      </x:c>
      <x:c r="P20" s="17" t="str">
        <x:v>기관 공고 원문 확인</x:v>
      </x:c>
      <x:c r="Q20" s="17" t="str">
        <x:v>기관 공고 원문 확인</x:v>
      </x:c>
      <x:c r="R20" s="17" t="str">
        <x:v>기관 공고 원문 확인</x:v>
      </x:c>
      <x:c r="S20" s="18" t="str">
        <x:v>https://job.cleaneye.go.kr/user/ypRecruitment.do</x:v>
      </x:c>
      <x:c r="T20" s="1"/>
      <x:c r="U20" s="1"/>
      <x:c r="V20" s="1"/>
      <x:c r="W20" s="1"/>
      <x:c r="X20" s="1"/>
      <x:c r="Y20" s="1"/>
      <x:c r="Z20" s="1"/>
    </x:row>
    <x:row r="21" ht="58" customHeight="1">
      <x:c r="A21" s="17" t="n">
        <x:v>17</x:v>
      </x:c>
      <x:c r="B21" s="17" t="str">
        <x:v>B</x:v>
      </x:c>
      <x:c r="C21" s="17" t="str">
        <x:v>Cleaneye Job+</x:v>
      </x:c>
      <x:c r="D21" s="17" t="str">
        <x:v>강원특별자치도원주의료원</x:v>
      </x:c>
      <x:c r="E21" s="17" t="str">
        <x:v>원주의료원 신규직원(공무직_조리원) 채용공고</x:v>
      </x:c>
      <x:c r="F21" s="17" t="str">
        <x:v>신입+경력</x:v>
      </x:c>
      <x:c r="G21" s="17" t="str">
        <x:v>일반정규직</x:v>
      </x:c>
      <x:c r="H21" s="17" t="str">
        <x:v>강원특별자치도</x:v>
      </x:c>
      <x:c r="I21" s="17" t="str">
        <x:v>명시 없음(원문 확인)</x:v>
      </x:c>
      <x:c r="J21" s="17" t="str">
        <x:v>2026-09-14</x:v>
      </x:c>
      <x:c r="K21" s="17" t="str">
        <x:v>신입·정규직</x:v>
      </x:c>
      <x:c r="L21" s="17" t="str">
        <x:v>우선검토</x:v>
      </x:c>
      <x:c r="M21" s="17" t="str">
        <x:v>제한 문구 미탐지</x:v>
      </x:c>
      <x:c r="N21" s="17" t="str">
        <x:v>포털 목록 확인</x:v>
      </x:c>
      <x:c r="O21" s="17" t="str">
        <x:v>기관 공고 원문 확인</x:v>
      </x:c>
      <x:c r="P21" s="17" t="str">
        <x:v>기관 공고 원문 확인</x:v>
      </x:c>
      <x:c r="Q21" s="17" t="str">
        <x:v>기관 공고 원문 확인</x:v>
      </x:c>
      <x:c r="R21" s="17" t="str">
        <x:v>기관 공고 원문 확인</x:v>
      </x:c>
      <x:c r="S21" s="18" t="str">
        <x:v>https://job.cleaneye.go.kr/user/ypRecruitment.do</x:v>
      </x:c>
      <x:c r="T21" s="1"/>
      <x:c r="U21" s="1"/>
      <x:c r="V21" s="1"/>
      <x:c r="W21" s="1"/>
      <x:c r="X21" s="1"/>
      <x:c r="Y21" s="1"/>
      <x:c r="Z21" s="1"/>
    </x:row>
    <x:row r="22" ht="58" customHeight="1">
      <x:c r="A22" s="17" t="n">
        <x:v>18</x:v>
      </x:c>
      <x:c r="B22" s="17" t="str">
        <x:v>B</x:v>
      </x:c>
      <x:c r="C22" s="17" t="str">
        <x:v>Cleaneye Job+</x:v>
      </x:c>
      <x:c r="D22" s="17" t="str">
        <x:v>강원특별자치도원주의료원</x:v>
      </x:c>
      <x:c r="E22" s="17" t="str">
        <x:v>원주의료원 신규직원[의무직_비뇨의학과, 신장내과, 심장내과] 채용공고</x:v>
      </x:c>
      <x:c r="F22" s="17" t="str">
        <x:v>신입+경력</x:v>
      </x:c>
      <x:c r="G22" s="17" t="str">
        <x:v>일반정규직</x:v>
      </x:c>
      <x:c r="H22" s="17" t="str">
        <x:v>강원특별자치도</x:v>
      </x:c>
      <x:c r="I22" s="17" t="str">
        <x:v>명시 없음(원문 확인)</x:v>
      </x:c>
      <x:c r="J22" s="17" t="str">
        <x:v>2026-09-29</x:v>
      </x:c>
      <x:c r="K22" s="17" t="str">
        <x:v>신입·정규직</x:v>
      </x:c>
      <x:c r="L22" s="17" t="str">
        <x:v>우선검토</x:v>
      </x:c>
      <x:c r="M22" s="17" t="str">
        <x:v>제한 문구 미탐지</x:v>
      </x:c>
      <x:c r="N22" s="17" t="str">
        <x:v>포털 목록 확인</x:v>
      </x:c>
      <x:c r="O22" s="17" t="str">
        <x:v>기관 공고 원문 확인</x:v>
      </x:c>
      <x:c r="P22" s="17" t="str">
        <x:v>기관 공고 원문 확인</x:v>
      </x:c>
      <x:c r="Q22" s="17" t="str">
        <x:v>기관 공고 원문 확인</x:v>
      </x:c>
      <x:c r="R22" s="17" t="str">
        <x:v>기관 공고 원문 확인</x:v>
      </x:c>
      <x:c r="S22" s="18" t="str">
        <x:v>https://job.cleaneye.go.kr/user/ypRecruitment.do</x:v>
      </x:c>
      <x:c r="T22" s="1"/>
      <x:c r="U22" s="1"/>
      <x:c r="V22" s="1"/>
      <x:c r="W22" s="1"/>
      <x:c r="X22" s="1"/>
      <x:c r="Y22" s="1"/>
      <x:c r="Z22" s="1"/>
    </x:row>
    <x:row r="23" ht="58" customHeight="1">
      <x:c r="A23" s="17" t="n">
        <x:v>19</x:v>
      </x:c>
      <x:c r="B23" s="17" t="str">
        <x:v>B</x:v>
      </x:c>
      <x:c r="C23" s="17" t="str">
        <x:v>Cleaneye Job+</x:v>
      </x:c>
      <x:c r="D23" s="17" t="str">
        <x:v>구미도시공사</x:v>
      </x:c>
      <x:c r="E23" s="17" t="str">
        <x:v>2026년 구미도시공사 「청년 체험형 인턴」공개경쟁채용 공고</x:v>
      </x:c>
      <x:c r="F23" s="17" t="str">
        <x:v>신입</x:v>
      </x:c>
      <x:c r="G23" s="17" t="str">
        <x:v>인턴</x:v>
      </x:c>
      <x:c r="H23" s="17" t="str">
        <x:v>경상북도</x:v>
      </x:c>
      <x:c r="I23" s="17" t="str">
        <x:v>경상북도 구미</x:v>
      </x:c>
      <x:c r="J23" s="17" t="str">
        <x:v>2026-09-09</x:v>
      </x:c>
      <x:c r="K23" s="17" t="str">
        <x:v>체험형·청년인턴</x:v>
      </x:c>
      <x:c r="L23" s="17" t="str">
        <x:v>우선검토</x:v>
      </x:c>
      <x:c r="M23" s="17" t="str">
        <x:v>제한 문구 미탐지</x:v>
      </x:c>
      <x:c r="N23" s="17" t="str">
        <x:v>포털 목록 확인</x:v>
      </x:c>
      <x:c r="O23" s="17" t="str">
        <x:v>기관 공고 원문 확인</x:v>
      </x:c>
      <x:c r="P23" s="17" t="str">
        <x:v>기관 공고 원문 확인</x:v>
      </x:c>
      <x:c r="Q23" s="17" t="str">
        <x:v>기관 공고 원문 확인</x:v>
      </x:c>
      <x:c r="R23" s="17" t="str">
        <x:v>기관 공고 원문 확인</x:v>
      </x:c>
      <x:c r="S23" s="18" t="str">
        <x:v>https://job.cleaneye.go.kr/user/ypRecruitment.do</x:v>
      </x:c>
      <x:c r="T23" s="1"/>
      <x:c r="U23" s="1"/>
      <x:c r="V23" s="1"/>
      <x:c r="W23" s="1"/>
      <x:c r="X23" s="1"/>
      <x:c r="Y23" s="1"/>
      <x:c r="Z23" s="1"/>
    </x:row>
    <x:row r="24" ht="58" customHeight="1">
      <x:c r="A24" s="17" t="n">
        <x:v>20</x:v>
      </x:c>
      <x:c r="B24" s="17" t="str">
        <x:v>B</x:v>
      </x:c>
      <x:c r="C24" s="17" t="str">
        <x:v>JOB-ALIO</x:v>
      </x:c>
      <x:c r="D24" s="17" t="str">
        <x:v>국립암센터</x:v>
      </x:c>
      <x:c r="E24" s="17" t="str">
        <x:v>청년인턴 채용공고[260825]</x:v>
      </x:c>
      <x:c r="F24" s="17" t="str">
        <x:v>상세공고 확인</x:v>
      </x:c>
      <x:c r="G24" s="17" t="str">
        <x:v>청년인턴(체험형)</x:v>
      </x:c>
      <x:c r="H24" s="17" t="str">
        <x:v>경기</x:v>
      </x:c>
      <x:c r="I24" s="17" t="str">
        <x:v>상세공고 확인</x:v>
      </x:c>
      <x:c r="J24" s="17" t="str">
        <x:v>2026-09-09</x:v>
      </x:c>
      <x:c r="K24" s="17" t="str">
        <x:v>체험형·청년인턴</x:v>
      </x:c>
      <x:c r="L24" s="17" t="str">
        <x:v>우선검토</x:v>
      </x:c>
      <x:c r="M24" s="17" t="str">
        <x:v>제한 문구 미탐지</x:v>
      </x:c>
      <x:c r="N24" s="17" t="str">
        <x:v>목록 항목 확인</x:v>
      </x:c>
      <x:c r="O24" s="17" t="str">
        <x:v>상세공고 확인</x:v>
      </x:c>
      <x:c r="P24" s="17" t="str">
        <x:v>상세공고 확인</x:v>
      </x:c>
      <x:c r="Q24" s="17" t="str">
        <x:v>상세공고 확인</x:v>
      </x:c>
      <x:c r="R24" s="17" t="str">
        <x:v>상세공고 확인</x:v>
      </x:c>
      <x:c r="S24" s="18" t="str">
        <x:v>https://job.alio.go.kr/recruitview.do?idx=304234</x:v>
      </x:c>
      <x:c r="T24" s="1"/>
      <x:c r="U24" s="1"/>
      <x:c r="V24" s="1"/>
      <x:c r="W24" s="1"/>
      <x:c r="X24" s="1"/>
      <x:c r="Y24" s="1"/>
      <x:c r="Z24" s="1"/>
    </x:row>
    <x:row r="25" ht="58" customHeight="1">
      <x:c r="A25" s="17" t="n">
        <x:v>21</x:v>
      </x:c>
      <x:c r="B25" s="17" t="str">
        <x:v>B</x:v>
      </x:c>
      <x:c r="C25" s="17" t="str">
        <x:v>Cleaneye Job+</x:v>
      </x:c>
      <x:c r="D25" s="17" t="str">
        <x:v>경기주택도시공사</x:v>
      </x:c>
      <x:c r="E25" s="17" t="str">
        <x:v>2026년 하반기 경기주택도시공사 체험형 인턴사원 공개채용 공고</x:v>
      </x:c>
      <x:c r="F25" s="17" t="str">
        <x:v>신입</x:v>
      </x:c>
      <x:c r="G25" s="17" t="str">
        <x:v>인턴</x:v>
      </x:c>
      <x:c r="H25" s="17" t="str">
        <x:v>경기도</x:v>
      </x:c>
      <x:c r="I25" s="17" t="str">
        <x:v>명시 없음(원문 확인)</x:v>
      </x:c>
      <x:c r="J25" s="17" t="str">
        <x:v>2026-09-10</x:v>
      </x:c>
      <x:c r="K25" s="17" t="str">
        <x:v>체험형·청년인턴</x:v>
      </x:c>
      <x:c r="L25" s="17" t="str">
        <x:v>우선검토</x:v>
      </x:c>
      <x:c r="M25" s="17" t="str">
        <x:v>제한 문구 미탐지</x:v>
      </x:c>
      <x:c r="N25" s="17" t="str">
        <x:v>포털 목록 확인</x:v>
      </x:c>
      <x:c r="O25" s="17" t="str">
        <x:v>기관 공고 원문 확인</x:v>
      </x:c>
      <x:c r="P25" s="17" t="str">
        <x:v>기관 공고 원문 확인</x:v>
      </x:c>
      <x:c r="Q25" s="17" t="str">
        <x:v>기관 공고 원문 확인</x:v>
      </x:c>
      <x:c r="R25" s="17" t="str">
        <x:v>기관 공고 원문 확인</x:v>
      </x:c>
      <x:c r="S25" s="18" t="str">
        <x:v>https://job.cleaneye.go.kr/user/ypRecruitment.do</x:v>
      </x:c>
      <x:c r="T25" s="1"/>
      <x:c r="U25" s="1"/>
      <x:c r="V25" s="1"/>
      <x:c r="W25" s="1"/>
      <x:c r="X25" s="1"/>
      <x:c r="Y25" s="1"/>
      <x:c r="Z25" s="1"/>
    </x:row>
    <x:row r="26" ht="58" customHeight="1">
      <x:c r="A26" s="17" t="n">
        <x:v>22</x:v>
      </x:c>
      <x:c r="B26" s="17" t="str">
        <x:v>B</x:v>
      </x:c>
      <x:c r="C26" s="17" t="str">
        <x:v>JOB-ALIO</x:v>
      </x:c>
      <x:c r="D26" s="17" t="str">
        <x:v>국립공원공단</x:v>
      </x:c>
      <x:c r="E26" s="17" t="str">
        <x:v>국립공원공단 자원보전·AI 직무 체험형 청년인턴 채용</x:v>
      </x:c>
      <x:c r="F26" s="17" t="str">
        <x:v>상세공고 확인</x:v>
      </x:c>
      <x:c r="G26" s="17" t="str">
        <x:v>청년인턴(체험형)</x:v>
      </x:c>
      <x:c r="H26" s="17" t="str">
        <x:v>대전 외 4</x:v>
      </x:c>
      <x:c r="I26" s="17" t="str">
        <x:v>상세공고 확인</x:v>
      </x:c>
      <x:c r="J26" s="17" t="str">
        <x:v>2026-09-10</x:v>
      </x:c>
      <x:c r="K26" s="17" t="str">
        <x:v>체험형·청년인턴</x:v>
      </x:c>
      <x:c r="L26" s="17" t="str">
        <x:v>우선검토</x:v>
      </x:c>
      <x:c r="M26" s="17" t="str">
        <x:v>제한 문구 미탐지</x:v>
      </x:c>
      <x:c r="N26" s="17" t="str">
        <x:v>목록 항목 확인</x:v>
      </x:c>
      <x:c r="O26" s="17" t="str">
        <x:v>상세공고 확인</x:v>
      </x:c>
      <x:c r="P26" s="17" t="str">
        <x:v>상세공고 확인</x:v>
      </x:c>
      <x:c r="Q26" s="17" t="str">
        <x:v>상세공고 확인</x:v>
      </x:c>
      <x:c r="R26" s="17" t="str">
        <x:v>상세공고 확인</x:v>
      </x:c>
      <x:c r="S26" s="18" t="str">
        <x:v>https://job.alio.go.kr/recruitview.do?idx=304488</x:v>
      </x:c>
      <x:c r="T26" s="1"/>
      <x:c r="U26" s="1"/>
      <x:c r="V26" s="1"/>
      <x:c r="W26" s="1"/>
      <x:c r="X26" s="1"/>
      <x:c r="Y26" s="1"/>
      <x:c r="Z26" s="1"/>
    </x:row>
    <x:row r="27" ht="58" customHeight="1">
      <x:c r="A27" s="17" t="n">
        <x:v>23</x:v>
      </x:c>
      <x:c r="B27" s="17" t="str">
        <x:v>B</x:v>
      </x:c>
      <x:c r="C27" s="17" t="str">
        <x:v>JOB-ALIO</x:v>
      </x:c>
      <x:c r="D27" s="17" t="str">
        <x:v>한국방송통신전파진흥원</x:v>
      </x:c>
      <x:c r="E27" s="17" t="str">
        <x:v>한국방송통신전파진흥원 체험형 청년인턴 채용 공고</x:v>
      </x:c>
      <x:c r="F27" s="17" t="str">
        <x:v>상세공고 확인</x:v>
      </x:c>
      <x:c r="G27" s="17" t="str">
        <x:v>청년인턴(체험형)</x:v>
      </x:c>
      <x:c r="H27" s="17" t="str">
        <x:v>전남광주</x:v>
      </x:c>
      <x:c r="I27" s="17" t="str">
        <x:v>상세공고 확인</x:v>
      </x:c>
      <x:c r="J27" s="17" t="str">
        <x:v>2026-09-10</x:v>
      </x:c>
      <x:c r="K27" s="17" t="str">
        <x:v>체험형·청년인턴</x:v>
      </x:c>
      <x:c r="L27" s="17" t="str">
        <x:v>우선검토</x:v>
      </x:c>
      <x:c r="M27" s="17" t="str">
        <x:v>제한 문구 미탐지</x:v>
      </x:c>
      <x:c r="N27" s="17" t="str">
        <x:v>목록 항목 확인</x:v>
      </x:c>
      <x:c r="O27" s="17" t="str">
        <x:v>상세공고 확인</x:v>
      </x:c>
      <x:c r="P27" s="17" t="str">
        <x:v>상세공고 확인</x:v>
      </x:c>
      <x:c r="Q27" s="17" t="str">
        <x:v>상세공고 확인</x:v>
      </x:c>
      <x:c r="R27" s="17" t="str">
        <x:v>상세공고 확인</x:v>
      </x:c>
      <x:c r="S27" s="18" t="str">
        <x:v>https://job.alio.go.kr/recruitview.do?idx=304282</x:v>
      </x:c>
      <x:c r="T27" s="1"/>
      <x:c r="U27" s="1"/>
      <x:c r="V27" s="1"/>
      <x:c r="W27" s="1"/>
      <x:c r="X27" s="1"/>
      <x:c r="Y27" s="1"/>
      <x:c r="Z27" s="1"/>
    </x:row>
    <x:row r="28" ht="58" customHeight="1">
      <x:c r="A28" s="17" t="n">
        <x:v>24</x:v>
      </x:c>
      <x:c r="B28" s="17" t="str">
        <x:v>B</x:v>
      </x:c>
      <x:c r="C28" s="17" t="str">
        <x:v>JOB-ALIO</x:v>
      </x:c>
      <x:c r="D28" s="17" t="str">
        <x:v>한국조세재정연구원</x:v>
      </x:c>
      <x:c r="E28" s="17" t="str">
        <x:v>[한국조세재정연구원] 2026년도 제3차 체험형 청년인턴 신규채용</x:v>
      </x:c>
      <x:c r="F28" s="17" t="str">
        <x:v>상세공고 확인</x:v>
      </x:c>
      <x:c r="G28" s="17" t="str">
        <x:v>청년인턴(체험형)</x:v>
      </x:c>
      <x:c r="H28" s="17" t="str">
        <x:v>서울 외 1</x:v>
      </x:c>
      <x:c r="I28" s="17" t="str">
        <x:v>상세공고 확인</x:v>
      </x:c>
      <x:c r="J28" s="17" t="str">
        <x:v>2026-09-10</x:v>
      </x:c>
      <x:c r="K28" s="17" t="str">
        <x:v>체험형·청년인턴</x:v>
      </x:c>
      <x:c r="L28" s="17" t="str">
        <x:v>우선검토</x:v>
      </x:c>
      <x:c r="M28" s="17" t="str">
        <x:v>제한 문구 미탐지</x:v>
      </x:c>
      <x:c r="N28" s="17" t="str">
        <x:v>목록 항목 확인</x:v>
      </x:c>
      <x:c r="O28" s="17" t="str">
        <x:v>상세공고 확인</x:v>
      </x:c>
      <x:c r="P28" s="17" t="str">
        <x:v>상세공고 확인</x:v>
      </x:c>
      <x:c r="Q28" s="17" t="str">
        <x:v>상세공고 확인</x:v>
      </x:c>
      <x:c r="R28" s="17" t="str">
        <x:v>상세공고 확인</x:v>
      </x:c>
      <x:c r="S28" s="18" t="str">
        <x:v>https://job.alio.go.kr/recruitview.do?idx=304319</x:v>
      </x:c>
      <x:c r="T28" s="1"/>
      <x:c r="U28" s="1"/>
      <x:c r="V28" s="1"/>
      <x:c r="W28" s="1"/>
      <x:c r="X28" s="1"/>
      <x:c r="Y28" s="1"/>
      <x:c r="Z28" s="1"/>
    </x:row>
    <x:row r="29" ht="58" customHeight="1">
      <x:c r="A29" s="17" t="n">
        <x:v>25</x:v>
      </x:c>
      <x:c r="B29" s="17" t="str">
        <x:v>B</x:v>
      </x:c>
      <x:c r="C29" s="17" t="str">
        <x:v>Cleaneye Job+</x:v>
      </x:c>
      <x:c r="D29" s="17" t="str">
        <x:v>경기평택항만공사</x:v>
      </x:c>
      <x:c r="E29" s="17" t="str">
        <x:v>[채용공고] 2026년 경기평택항만공사 청년 체험형 인턴 모집 공고</x:v>
      </x:c>
      <x:c r="F29" s="17" t="str">
        <x:v>신입</x:v>
      </x:c>
      <x:c r="G29" s="17" t="str">
        <x:v>인턴</x:v>
      </x:c>
      <x:c r="H29" s="17" t="str">
        <x:v>경기도</x:v>
      </x:c>
      <x:c r="I29" s="17" t="str">
        <x:v>명시 없음(원문 확인)</x:v>
      </x:c>
      <x:c r="J29" s="17" t="str">
        <x:v>2026-09-11</x:v>
      </x:c>
      <x:c r="K29" s="17" t="str">
        <x:v>체험형·청년인턴</x:v>
      </x:c>
      <x:c r="L29" s="17" t="str">
        <x:v>우선검토</x:v>
      </x:c>
      <x:c r="M29" s="17" t="str">
        <x:v>제한 문구 미탐지</x:v>
      </x:c>
      <x:c r="N29" s="17" t="str">
        <x:v>포털 목록 확인</x:v>
      </x:c>
      <x:c r="O29" s="17" t="str">
        <x:v>기관 공고 원문 확인</x:v>
      </x:c>
      <x:c r="P29" s="17" t="str">
        <x:v>기관 공고 원문 확인</x:v>
      </x:c>
      <x:c r="Q29" s="17" t="str">
        <x:v>기관 공고 원문 확인</x:v>
      </x:c>
      <x:c r="R29" s="17" t="str">
        <x:v>기관 공고 원문 확인</x:v>
      </x:c>
      <x:c r="S29" s="18" t="str">
        <x:v>https://job.cleaneye.go.kr/user/ypRecruitment.do</x:v>
      </x:c>
      <x:c r="T29" s="1"/>
      <x:c r="U29" s="1"/>
      <x:c r="V29" s="1"/>
      <x:c r="W29" s="1"/>
      <x:c r="X29" s="1"/>
      <x:c r="Y29" s="1"/>
      <x:c r="Z29" s="1"/>
    </x:row>
    <x:row r="30" ht="58" customHeight="1">
      <x:c r="A30" s="17" t="n">
        <x:v>26</x:v>
      </x:c>
      <x:c r="B30" s="17" t="str">
        <x:v>B</x:v>
      </x:c>
      <x:c r="C30" s="17" t="str">
        <x:v>Cleaneye Job+</x:v>
      </x:c>
      <x:c r="D30" s="17" t="str">
        <x:v>대구농수산물유통관리공사</x:v>
      </x:c>
      <x:c r="E30" s="17" t="str">
        <x:v>2026년 하반기 대구농수산물유통관리공사 장애인 청년 체험형 인턴 채용공고(~`26.9.14.)</x:v>
      </x:c>
      <x:c r="F30" s="17" t="str">
        <x:v>신입+경력</x:v>
      </x:c>
      <x:c r="G30" s="17" t="str">
        <x:v>인턴</x:v>
      </x:c>
      <x:c r="H30" s="17" t="str">
        <x:v>대구광역시</x:v>
      </x:c>
      <x:c r="I30" s="17" t="str">
        <x:v>대구광역시</x:v>
      </x:c>
      <x:c r="J30" s="17" t="str">
        <x:v>2026-09-14</x:v>
      </x:c>
      <x:c r="K30" s="17" t="str">
        <x:v>체험형·청년인턴</x:v>
      </x:c>
      <x:c r="L30" s="17" t="str">
        <x:v>검토</x:v>
      </x:c>
      <x:c r="M30" s="17" t="str">
        <x:v>제한 문구 미탐지</x:v>
      </x:c>
      <x:c r="N30" s="17" t="str">
        <x:v>포털 목록 확인</x:v>
      </x:c>
      <x:c r="O30" s="17" t="str">
        <x:v>기관 공고 원문 확인</x:v>
      </x:c>
      <x:c r="P30" s="17" t="str">
        <x:v>기관 공고 원문 확인</x:v>
      </x:c>
      <x:c r="Q30" s="17" t="str">
        <x:v>기관 공고 원문 확인</x:v>
      </x:c>
      <x:c r="R30" s="17" t="str">
        <x:v>기관 공고 원문 확인</x:v>
      </x:c>
      <x:c r="S30" s="18" t="str">
        <x:v>https://job.cleaneye.go.kr/user/ypRecruitment.do</x:v>
      </x:c>
      <x:c r="T30" s="1"/>
      <x:c r="U30" s="1"/>
      <x:c r="V30" s="1"/>
      <x:c r="W30" s="1"/>
      <x:c r="X30" s="1"/>
      <x:c r="Y30" s="1"/>
      <x:c r="Z30" s="1"/>
    </x:row>
    <x:row r="31" ht="58" customHeight="1">
      <x:c r="A31" s="17" t="n">
        <x:v>27</x:v>
      </x:c>
      <x:c r="B31" s="17" t="str">
        <x:v>B</x:v>
      </x:c>
      <x:c r="C31" s="17" t="str">
        <x:v>Cleaneye Job+</x:v>
      </x:c>
      <x:c r="D31" s="17" t="str">
        <x:v>대구농수산물유통관리공사</x:v>
      </x:c>
      <x:c r="E31" s="17" t="str">
        <x:v>2026년 대구농수산물유통관리공사 청년 체험형 인턴 채용공고(~`26.9.14.)</x:v>
      </x:c>
      <x:c r="F31" s="17" t="str">
        <x:v>신입+경력</x:v>
      </x:c>
      <x:c r="G31" s="17" t="str">
        <x:v>인턴</x:v>
      </x:c>
      <x:c r="H31" s="17" t="str">
        <x:v>대구광역시</x:v>
      </x:c>
      <x:c r="I31" s="17" t="str">
        <x:v>대구광역시</x:v>
      </x:c>
      <x:c r="J31" s="17" t="str">
        <x:v>2026-09-14</x:v>
      </x:c>
      <x:c r="K31" s="17" t="str">
        <x:v>체험형·청년인턴</x:v>
      </x:c>
      <x:c r="L31" s="17" t="str">
        <x:v>우선검토</x:v>
      </x:c>
      <x:c r="M31" s="17" t="str">
        <x:v>제한 문구 미탐지</x:v>
      </x:c>
      <x:c r="N31" s="17" t="str">
        <x:v>포털 목록 확인</x:v>
      </x:c>
      <x:c r="O31" s="17" t="str">
        <x:v>기관 공고 원문 확인</x:v>
      </x:c>
      <x:c r="P31" s="17" t="str">
        <x:v>기관 공고 원문 확인</x:v>
      </x:c>
      <x:c r="Q31" s="17" t="str">
        <x:v>기관 공고 원문 확인</x:v>
      </x:c>
      <x:c r="R31" s="17" t="str">
        <x:v>기관 공고 원문 확인</x:v>
      </x:c>
      <x:c r="S31" s="18" t="str">
        <x:v>https://job.cleaneye.go.kr/user/ypRecruitment.do</x:v>
      </x:c>
      <x:c r="T31" s="1"/>
      <x:c r="U31" s="1"/>
      <x:c r="V31" s="1"/>
      <x:c r="W31" s="1"/>
      <x:c r="X31" s="1"/>
      <x:c r="Y31" s="1"/>
      <x:c r="Z31" s="1"/>
    </x:row>
    <x:row r="32" ht="58" customHeight="1">
      <x:c r="A32" s="17" t="n">
        <x:v>28</x:v>
      </x:c>
      <x:c r="B32" s="17" t="str">
        <x:v>B</x:v>
      </x:c>
      <x:c r="C32" s="17" t="str">
        <x:v>Cleaneye Job+</x:v>
      </x:c>
      <x:c r="D32" s="17" t="str">
        <x:v>서울특별시농수산식품공사</x:v>
      </x:c>
      <x:c r="E32" s="17" t="str">
        <x:v>2026년도 하반기 서울특별시농수산식품공사 체험형 청년인턴 채용 공고</x:v>
      </x:c>
      <x:c r="F32" s="17" t="str">
        <x:v>신입</x:v>
      </x:c>
      <x:c r="G32" s="17" t="str">
        <x:v>인턴</x:v>
      </x:c>
      <x:c r="H32" s="17" t="str">
        <x:v>서울특별시</x:v>
      </x:c>
      <x:c r="I32" s="17" t="str">
        <x:v>명시 없음(원문 확인)</x:v>
      </x:c>
      <x:c r="J32" s="17" t="str">
        <x:v>2026-09-14</x:v>
      </x:c>
      <x:c r="K32" s="17" t="str">
        <x:v>체험형·청년인턴</x:v>
      </x:c>
      <x:c r="L32" s="17" t="str">
        <x:v>우선검토</x:v>
      </x:c>
      <x:c r="M32" s="17" t="str">
        <x:v>제한 문구 미탐지</x:v>
      </x:c>
      <x:c r="N32" s="17" t="str">
        <x:v>포털 목록 확인</x:v>
      </x:c>
      <x:c r="O32" s="17" t="str">
        <x:v>기관 공고 원문 확인</x:v>
      </x:c>
      <x:c r="P32" s="17" t="str">
        <x:v>기관 공고 원문 확인</x:v>
      </x:c>
      <x:c r="Q32" s="17" t="str">
        <x:v>기관 공고 원문 확인</x:v>
      </x:c>
      <x:c r="R32" s="17" t="str">
        <x:v>기관 공고 원문 확인</x:v>
      </x:c>
      <x:c r="S32" s="18" t="str">
        <x:v>https://job.cleaneye.go.kr/user/ypRecruitment.do</x:v>
      </x:c>
      <x:c r="T32" s="1"/>
      <x:c r="U32" s="1"/>
      <x:c r="V32" s="1"/>
      <x:c r="W32" s="1"/>
      <x:c r="X32" s="1"/>
      <x:c r="Y32" s="1"/>
      <x:c r="Z32" s="1"/>
    </x:row>
    <x:row r="33" ht="58" customHeight="1">
      <x:c r="A33" s="17" t="n">
        <x:v>29</x:v>
      </x:c>
      <x:c r="B33" s="17" t="str">
        <x:v>B</x:v>
      </x:c>
      <x:c r="C33" s="17" t="str">
        <x:v>Cleaneye Job+</x:v>
      </x:c>
      <x:c r="D33" s="17" t="str">
        <x:v>이천시시설관리공단</x:v>
      </x:c>
      <x:c r="E33" s="17" t="str">
        <x:v>이천시시설관리공단 2026년 제5회 블라인드 직원(기간제근로자) 공개채용 공고(청년인턴)</x:v>
      </x:c>
      <x:c r="F33" s="17" t="str">
        <x:v>신입+경력</x:v>
      </x:c>
      <x:c r="G33" s="17" t="str">
        <x:v>기간제</x:v>
      </x:c>
      <x:c r="H33" s="17" t="str">
        <x:v>경기도</x:v>
      </x:c>
      <x:c r="I33" s="17" t="str">
        <x:v>명시 없음(원문 확인)</x:v>
      </x:c>
      <x:c r="J33" s="17" t="str">
        <x:v>2026-09-14</x:v>
      </x:c>
      <x:c r="K33" s="17" t="str">
        <x:v>체험형·청년인턴</x:v>
      </x:c>
      <x:c r="L33" s="17" t="str">
        <x:v>우선검토</x:v>
      </x:c>
      <x:c r="M33" s="17" t="str">
        <x:v>제한 문구 미탐지</x:v>
      </x:c>
      <x:c r="N33" s="17" t="str">
        <x:v>포털 목록 확인</x:v>
      </x:c>
      <x:c r="O33" s="17" t="str">
        <x:v>기관 공고 원문 확인</x:v>
      </x:c>
      <x:c r="P33" s="17" t="str">
        <x:v>기관 공고 원문 확인</x:v>
      </x:c>
      <x:c r="Q33" s="17" t="str">
        <x:v>기관 공고 원문 확인</x:v>
      </x:c>
      <x:c r="R33" s="17" t="str">
        <x:v>기관 공고 원문 확인</x:v>
      </x:c>
      <x:c r="S33" s="18" t="str">
        <x:v>https://job.cleaneye.go.kr/user/ypRecruitment.do</x:v>
      </x:c>
      <x:c r="T33" s="1"/>
      <x:c r="U33" s="1"/>
      <x:c r="V33" s="1"/>
      <x:c r="W33" s="1"/>
      <x:c r="X33" s="1"/>
      <x:c r="Y33" s="1"/>
      <x:c r="Z33" s="1"/>
    </x:row>
    <x:row r="34" ht="58" customHeight="1">
      <x:c r="A34" s="17" t="n">
        <x:v>30</x:v>
      </x:c>
      <x:c r="B34" s="17" t="str">
        <x:v>B</x:v>
      </x:c>
      <x:c r="C34" s="17" t="str">
        <x:v>Cleaneye Job+</x:v>
      </x:c>
      <x:c r="D34" s="17" t="str">
        <x:v>인천광역시계양구시설관리공단</x:v>
      </x:c>
      <x:c r="E34" s="17" t="str">
        <x:v>2026년도 인천광역시계양구시설관리공단 체험형 청년 인턴 공개경쟁채용 계획 공고</x:v>
      </x:c>
      <x:c r="F34" s="17" t="str">
        <x:v>신입</x:v>
      </x:c>
      <x:c r="G34" s="17" t="str">
        <x:v>인턴</x:v>
      </x:c>
      <x:c r="H34" s="17" t="str">
        <x:v>인천광역시</x:v>
      </x:c>
      <x:c r="I34" s="17" t="str">
        <x:v>인천광역시 계양구</x:v>
      </x:c>
      <x:c r="J34" s="17" t="str">
        <x:v>2026-09-14</x:v>
      </x:c>
      <x:c r="K34" s="17" t="str">
        <x:v>체험형·청년인턴</x:v>
      </x:c>
      <x:c r="L34" s="17" t="str">
        <x:v>우선검토</x:v>
      </x:c>
      <x:c r="M34" s="17" t="str">
        <x:v>제한 문구 미탐지</x:v>
      </x:c>
      <x:c r="N34" s="17" t="str">
        <x:v>포털 목록 확인</x:v>
      </x:c>
      <x:c r="O34" s="17" t="str">
        <x:v>기관 공고 원문 확인</x:v>
      </x:c>
      <x:c r="P34" s="17" t="str">
        <x:v>기관 공고 원문 확인</x:v>
      </x:c>
      <x:c r="Q34" s="17" t="str">
        <x:v>기관 공고 원문 확인</x:v>
      </x:c>
      <x:c r="R34" s="17" t="str">
        <x:v>기관 공고 원문 확인</x:v>
      </x:c>
      <x:c r="S34" s="18" t="str">
        <x:v>https://job.cleaneye.go.kr/user/ypRecruitment.do</x:v>
      </x:c>
      <x:c r="T34" s="1"/>
      <x:c r="U34" s="1"/>
      <x:c r="V34" s="1"/>
      <x:c r="W34" s="1"/>
      <x:c r="X34" s="1"/>
      <x:c r="Y34" s="1"/>
      <x:c r="Z34" s="1"/>
    </x:row>
    <x:row r="35" ht="58" customHeight="1">
      <x:c r="A35" s="17" t="n">
        <x:v>31</x:v>
      </x:c>
      <x:c r="B35" s="17" t="str">
        <x:v>B</x:v>
      </x:c>
      <x:c r="C35" s="17" t="str">
        <x:v>JOB-ALIO</x:v>
      </x:c>
      <x:c r="D35" s="17" t="str">
        <x:v>한국소방산업기술원</x:v>
      </x:c>
      <x:c r="E35" s="17" t="str">
        <x:v>2026년 제2차 한국소방산업기술원 체험형 청년인턴 채용</x:v>
      </x:c>
      <x:c r="F35" s="17" t="str">
        <x:v>상세공고 확인</x:v>
      </x:c>
      <x:c r="G35" s="17" t="str">
        <x:v>청년인턴(체험형)</x:v>
      </x:c>
      <x:c r="H35" s="17" t="str">
        <x:v>경기 외 1</x:v>
      </x:c>
      <x:c r="I35" s="17" t="str">
        <x:v>상세공고 확인</x:v>
      </x:c>
      <x:c r="J35" s="17" t="str">
        <x:v>2026-09-14</x:v>
      </x:c>
      <x:c r="K35" s="17" t="str">
        <x:v>체험형·청년인턴</x:v>
      </x:c>
      <x:c r="L35" s="17" t="str">
        <x:v>우선검토</x:v>
      </x:c>
      <x:c r="M35" s="17" t="str">
        <x:v>제한 문구 미탐지</x:v>
      </x:c>
      <x:c r="N35" s="17" t="str">
        <x:v>목록 항목 확인</x:v>
      </x:c>
      <x:c r="O35" s="17" t="str">
        <x:v>상세공고 확인</x:v>
      </x:c>
      <x:c r="P35" s="17" t="str">
        <x:v>상세공고 확인</x:v>
      </x:c>
      <x:c r="Q35" s="17" t="str">
        <x:v>상세공고 확인</x:v>
      </x:c>
      <x:c r="R35" s="17" t="str">
        <x:v>상세공고 확인</x:v>
      </x:c>
      <x:c r="S35" s="18" t="str">
        <x:v>https://job.alio.go.kr/recruitview.do?idx=304433</x:v>
      </x:c>
      <x:c r="T35" s="1"/>
      <x:c r="U35" s="1"/>
      <x:c r="V35" s="1"/>
      <x:c r="W35" s="1"/>
      <x:c r="X35" s="1"/>
      <x:c r="Y35" s="1"/>
      <x:c r="Z35" s="1"/>
    </x:row>
    <x:row r="36" ht="58" customHeight="1">
      <x:c r="A36" s="17" t="n">
        <x:v>32</x:v>
      </x:c>
      <x:c r="B36" s="17" t="str">
        <x:v>B</x:v>
      </x:c>
      <x:c r="C36" s="17" t="str">
        <x:v>JOB-ALIO</x:v>
      </x:c>
      <x:c r="D36" s="17" t="str">
        <x:v>소상공인시장진흥공단</x:v>
      </x:c>
      <x:c r="E36" s="17" t="str">
        <x:v>2026년 소상공인시장진흥공단 하반기 청년인턴(2차) 채용 공고</x:v>
      </x:c>
      <x:c r="F36" s="17" t="str">
        <x:v>상세공고 확인</x:v>
      </x:c>
      <x:c r="G36" s="17" t="str">
        <x:v>청년인턴(체험형)</x:v>
      </x:c>
      <x:c r="H36" s="17" t="str">
        <x:v>대전</x:v>
      </x:c>
      <x:c r="I36" s="17" t="str">
        <x:v>상세공고 확인</x:v>
      </x:c>
      <x:c r="J36" s="17" t="str">
        <x:v>2026-09-15</x:v>
      </x:c>
      <x:c r="K36" s="17" t="str">
        <x:v>체험형·청년인턴</x:v>
      </x:c>
      <x:c r="L36" s="17" t="str">
        <x:v>우선검토</x:v>
      </x:c>
      <x:c r="M36" s="17" t="str">
        <x:v>제한 문구 미탐지</x:v>
      </x:c>
      <x:c r="N36" s="17" t="str">
        <x:v>목록 항목 확인</x:v>
      </x:c>
      <x:c r="O36" s="17" t="str">
        <x:v>상세공고 확인</x:v>
      </x:c>
      <x:c r="P36" s="17" t="str">
        <x:v>상세공고 확인</x:v>
      </x:c>
      <x:c r="Q36" s="17" t="str">
        <x:v>상세공고 확인</x:v>
      </x:c>
      <x:c r="R36" s="17" t="str">
        <x:v>상세공고 확인</x:v>
      </x:c>
      <x:c r="S36" s="18" t="str">
        <x:v>https://job.alio.go.kr/recruitview.do?idx=304464</x:v>
      </x:c>
      <x:c r="T36" s="1"/>
      <x:c r="U36" s="1"/>
      <x:c r="V36" s="1"/>
      <x:c r="W36" s="1"/>
      <x:c r="X36" s="1"/>
      <x:c r="Y36" s="1"/>
      <x:c r="Z36" s="1"/>
    </x:row>
    <x:row r="37" ht="58" customHeight="1">
      <x:c r="A37" s="17" t="n">
        <x:v>33</x:v>
      </x:c>
      <x:c r="B37" s="17" t="str">
        <x:v>B</x:v>
      </x:c>
      <x:c r="C37" s="17" t="str">
        <x:v>JOB-ALIO</x:v>
      </x:c>
      <x:c r="D37" s="17" t="str">
        <x:v>한국중부발전(주)</x:v>
      </x:c>
      <x:c r="E37" s="17" t="str">
        <x:v>2026년도 3차 체험형 인턴 채용공고</x:v>
      </x:c>
      <x:c r="F37" s="17" t="str">
        <x:v>상세공고 확인</x:v>
      </x:c>
      <x:c r="G37" s="17" t="str">
        <x:v>청년인턴(체험형)</x:v>
      </x:c>
      <x:c r="H37" s="17" t="str">
        <x:v>서울 외 5</x:v>
      </x:c>
      <x:c r="I37" s="17" t="str">
        <x:v>상세공고 확인</x:v>
      </x:c>
      <x:c r="J37" s="17" t="str">
        <x:v>2026-09-16</x:v>
      </x:c>
      <x:c r="K37" s="17" t="str">
        <x:v>체험형·청년인턴</x:v>
      </x:c>
      <x:c r="L37" s="17" t="str">
        <x:v>우선검토</x:v>
      </x:c>
      <x:c r="M37" s="17" t="str">
        <x:v>제한 문구 미탐지</x:v>
      </x:c>
      <x:c r="N37" s="17" t="str">
        <x:v>목록 항목 확인</x:v>
      </x:c>
      <x:c r="O37" s="17" t="str">
        <x:v>상세공고 확인</x:v>
      </x:c>
      <x:c r="P37" s="17" t="str">
        <x:v>상세공고 확인</x:v>
      </x:c>
      <x:c r="Q37" s="17" t="str">
        <x:v>상세공고 확인</x:v>
      </x:c>
      <x:c r="R37" s="17" t="str">
        <x:v>상세공고 확인</x:v>
      </x:c>
      <x:c r="S37" s="18" t="str">
        <x:v>https://job.alio.go.kr/recruitview.do?idx=304055</x:v>
      </x:c>
      <x:c r="T37" s="1"/>
      <x:c r="U37" s="1"/>
      <x:c r="V37" s="1"/>
      <x:c r="W37" s="1"/>
      <x:c r="X37" s="1"/>
      <x:c r="Y37" s="1"/>
      <x:c r="Z37" s="1"/>
    </x:row>
    <x:row r="38" ht="58" customHeight="1">
      <x:c r="A38" s="17" t="n">
        <x:v>34</x:v>
      </x:c>
      <x:c r="B38" s="17" t="str">
        <x:v>B</x:v>
      </x:c>
      <x:c r="C38" s="17" t="str">
        <x:v>Cleaneye Job+</x:v>
      </x:c>
      <x:c r="D38" s="17" t="str">
        <x:v>경기주택도시공사</x:v>
      </x:c>
      <x:c r="E38" s="17" t="str">
        <x:v>2026년 하반기 경기주택도시공사 장애인 청년인턴사원 공개채용 공고</x:v>
      </x:c>
      <x:c r="F38" s="17" t="str">
        <x:v>신입</x:v>
      </x:c>
      <x:c r="G38" s="17" t="str">
        <x:v>인턴</x:v>
      </x:c>
      <x:c r="H38" s="17" t="str">
        <x:v>경기도</x:v>
      </x:c>
      <x:c r="I38" s="17" t="str">
        <x:v>명시 없음(원문 확인)</x:v>
      </x:c>
      <x:c r="J38" s="17" t="str">
        <x:v>2026-09-17</x:v>
      </x:c>
      <x:c r="K38" s="17" t="str">
        <x:v>체험형·청년인턴</x:v>
      </x:c>
      <x:c r="L38" s="17" t="str">
        <x:v>검토</x:v>
      </x:c>
      <x:c r="M38" s="17" t="str">
        <x:v>제한 문구 미탐지</x:v>
      </x:c>
      <x:c r="N38" s="17" t="str">
        <x:v>포털 목록 확인</x:v>
      </x:c>
      <x:c r="O38" s="17" t="str">
        <x:v>기관 공고 원문 확인</x:v>
      </x:c>
      <x:c r="P38" s="17" t="str">
        <x:v>기관 공고 원문 확인</x:v>
      </x:c>
      <x:c r="Q38" s="17" t="str">
        <x:v>기관 공고 원문 확인</x:v>
      </x:c>
      <x:c r="R38" s="17" t="str">
        <x:v>기관 공고 원문 확인</x:v>
      </x:c>
      <x:c r="S38" s="18" t="str">
        <x:v>https://job.cleaneye.go.kr/user/ypRecruitment.do</x:v>
      </x:c>
      <x:c r="T38" s="1"/>
      <x:c r="U38" s="1"/>
      <x:c r="V38" s="1"/>
      <x:c r="W38" s="1"/>
      <x:c r="X38" s="1"/>
      <x:c r="Y38" s="1"/>
      <x:c r="Z38" s="1"/>
    </x:row>
    <x:row r="39" ht="58" customHeight="1">
      <x:c r="A39" s="17" t="n">
        <x:v>35</x:v>
      </x:c>
      <x:c r="B39" s="17" t="str">
        <x:v>B</x:v>
      </x:c>
      <x:c r="C39" s="17" t="str">
        <x:v>Cleaneye Job+</x:v>
      </x:c>
      <x:c r="D39" s="17" t="str">
        <x:v>용인도시공사</x:v>
      </x:c>
      <x:c r="E39" s="17" t="str">
        <x:v>2026년 제3회 청년 체험형 인턴 공개채용 공고</x:v>
      </x:c>
      <x:c r="F39" s="17" t="str">
        <x:v>신입</x:v>
      </x:c>
      <x:c r="G39" s="17" t="str">
        <x:v>인턴</x:v>
      </x:c>
      <x:c r="H39" s="17" t="str">
        <x:v>경기도</x:v>
      </x:c>
      <x:c r="I39" s="17" t="str">
        <x:v>명시 없음(원문 확인)</x:v>
      </x:c>
      <x:c r="J39" s="17" t="str">
        <x:v>2026-09-17</x:v>
      </x:c>
      <x:c r="K39" s="17" t="str">
        <x:v>체험형·청년인턴</x:v>
      </x:c>
      <x:c r="L39" s="17" t="str">
        <x:v>우선검토</x:v>
      </x:c>
      <x:c r="M39" s="17" t="str">
        <x:v>제한 문구 미탐지</x:v>
      </x:c>
      <x:c r="N39" s="17" t="str">
        <x:v>포털 목록 확인</x:v>
      </x:c>
      <x:c r="O39" s="17" t="str">
        <x:v>기관 공고 원문 확인</x:v>
      </x:c>
      <x:c r="P39" s="17" t="str">
        <x:v>기관 공고 원문 확인</x:v>
      </x:c>
      <x:c r="Q39" s="17" t="str">
        <x:v>기관 공고 원문 확인</x:v>
      </x:c>
      <x:c r="R39" s="17" t="str">
        <x:v>기관 공고 원문 확인</x:v>
      </x:c>
      <x:c r="S39" s="18" t="str">
        <x:v>https://job.cleaneye.go.kr/user/ypRecruitment.do</x:v>
      </x:c>
      <x:c r="T39" s="1"/>
      <x:c r="U39" s="1"/>
      <x:c r="V39" s="1"/>
      <x:c r="W39" s="1"/>
      <x:c r="X39" s="1"/>
      <x:c r="Y39" s="1"/>
      <x:c r="Z39" s="1"/>
    </x:row>
    <x:row r="40" ht="58" customHeight="1">
      <x:c r="A40" s="17" t="n">
        <x:v>36</x:v>
      </x:c>
      <x:c r="B40" s="17" t="str">
        <x:v>B</x:v>
      </x:c>
      <x:c r="C40" s="17" t="str">
        <x:v>JOB-ALIO</x:v>
      </x:c>
      <x:c r="D40" s="17" t="str">
        <x:v>학교법인한국폴리텍</x:v>
      </x:c>
      <x:c r="E40" s="17" t="str">
        <x:v>한국폴리텍대학 청주캠퍼스 하반기 청년인턴(일반) 채용 공고</x:v>
      </x:c>
      <x:c r="F40" s="17" t="str">
        <x:v>상세공고 확인</x:v>
      </x:c>
      <x:c r="G40" s="17" t="str">
        <x:v>청년인턴(체험형)</x:v>
      </x:c>
      <x:c r="H40" s="17" t="str">
        <x:v>충북</x:v>
      </x:c>
      <x:c r="I40" s="17" t="str">
        <x:v>상세공고 확인</x:v>
      </x:c>
      <x:c r="J40" s="17" t="str">
        <x:v>2026-09-18</x:v>
      </x:c>
      <x:c r="K40" s="17" t="str">
        <x:v>체험형·청년인턴</x:v>
      </x:c>
      <x:c r="L40" s="17" t="str">
        <x:v>우선검토</x:v>
      </x:c>
      <x:c r="M40" s="17" t="str">
        <x:v>제한 문구 미탐지</x:v>
      </x:c>
      <x:c r="N40" s="17" t="str">
        <x:v>목록 항목 확인</x:v>
      </x:c>
      <x:c r="O40" s="17" t="str">
        <x:v>상세공고 확인</x:v>
      </x:c>
      <x:c r="P40" s="17" t="str">
        <x:v>상세공고 확인</x:v>
      </x:c>
      <x:c r="Q40" s="17" t="str">
        <x:v>상세공고 확인</x:v>
      </x:c>
      <x:c r="R40" s="17" t="str">
        <x:v>상세공고 확인</x:v>
      </x:c>
      <x:c r="S40" s="18" t="str">
        <x:v>https://job.alio.go.kr/recruitview.do?idx=304741</x:v>
      </x:c>
      <x:c r="T40" s="1"/>
      <x:c r="U40" s="1"/>
      <x:c r="V40" s="1"/>
      <x:c r="W40" s="1"/>
      <x:c r="X40" s="1"/>
      <x:c r="Y40" s="1"/>
      <x:c r="Z40" s="1"/>
    </x:row>
    <x:row r="41" ht="58" customHeight="1">
      <x:c r="A41" s="17" t="n">
        <x:v>37</x:v>
      </x:c>
      <x:c r="B41" s="17" t="str">
        <x:v>B</x:v>
      </x:c>
      <x:c r="C41" s="17" t="str">
        <x:v>JOB-ALIO</x:v>
      </x:c>
      <x:c r="D41" s="17" t="str">
        <x:v>한국학중앙연구원</x:v>
      </x:c>
      <x:c r="E41" s="17" t="str">
        <x:v>2026년도 한국학중앙연구원 문화콘텐츠편찬실 청년인턴 채용 공고</x:v>
      </x:c>
      <x:c r="F41" s="17" t="str">
        <x:v>상세공고 확인</x:v>
      </x:c>
      <x:c r="G41" s="17" t="str">
        <x:v>청년인턴(체험형)</x:v>
      </x:c>
      <x:c r="H41" s="17" t="str">
        <x:v>경기</x:v>
      </x:c>
      <x:c r="I41" s="17" t="str">
        <x:v>상세공고 확인</x:v>
      </x:c>
      <x:c r="J41" s="17" t="str">
        <x:v>2026-09-20</x:v>
      </x:c>
      <x:c r="K41" s="17" t="str">
        <x:v>체험형·청년인턴</x:v>
      </x:c>
      <x:c r="L41" s="17" t="str">
        <x:v>우선검토</x:v>
      </x:c>
      <x:c r="M41" s="17" t="str">
        <x:v>제한 문구 미탐지</x:v>
      </x:c>
      <x:c r="N41" s="17" t="str">
        <x:v>목록 항목 확인</x:v>
      </x:c>
      <x:c r="O41" s="17" t="str">
        <x:v>상세공고 확인</x:v>
      </x:c>
      <x:c r="P41" s="17" t="str">
        <x:v>상세공고 확인</x:v>
      </x:c>
      <x:c r="Q41" s="17" t="str">
        <x:v>상세공고 확인</x:v>
      </x:c>
      <x:c r="R41" s="17" t="str">
        <x:v>상세공고 확인</x:v>
      </x:c>
      <x:c r="S41" s="18" t="str">
        <x:v>https://job.alio.go.kr/recruitview.do?idx=304655</x:v>
      </x:c>
      <x:c r="T41" s="1"/>
      <x:c r="U41" s="1"/>
      <x:c r="V41" s="1"/>
      <x:c r="W41" s="1"/>
      <x:c r="X41" s="1"/>
      <x:c r="Y41" s="1"/>
      <x:c r="Z41" s="1"/>
    </x:row>
    <x:row r="42" ht="58" customHeight="1">
      <x:c r="A42" s="17" t="n">
        <x:v>38</x:v>
      </x:c>
      <x:c r="B42" s="17" t="str">
        <x:v>B</x:v>
      </x:c>
      <x:c r="C42" s="17" t="str">
        <x:v>JOB-ALIO</x:v>
      </x:c>
      <x:c r="D42" s="17" t="str">
        <x:v>자동차손해배상진흥원</x:v>
      </x:c>
      <x:c r="E42" s="17" t="str">
        <x:v>자동차손해배상진흥원 청년인턴(체험형) 채용공고</x:v>
      </x:c>
      <x:c r="F42" s="17" t="str">
        <x:v>상세공고 확인</x:v>
      </x:c>
      <x:c r="G42" s="17" t="str">
        <x:v>청년인턴(체험형)</x:v>
      </x:c>
      <x:c r="H42" s="17" t="str">
        <x:v>부산</x:v>
      </x:c>
      <x:c r="I42" s="17" t="str">
        <x:v>상세공고 확인</x:v>
      </x:c>
      <x:c r="J42" s="17" t="str">
        <x:v>2026-09-21</x:v>
      </x:c>
      <x:c r="K42" s="17" t="str">
        <x:v>체험형·청년인턴</x:v>
      </x:c>
      <x:c r="L42" s="17" t="str">
        <x:v>우선검토</x:v>
      </x:c>
      <x:c r="M42" s="17" t="str">
        <x:v>제한 문구 미탐지</x:v>
      </x:c>
      <x:c r="N42" s="17" t="str">
        <x:v>목록 항목 확인</x:v>
      </x:c>
      <x:c r="O42" s="17" t="str">
        <x:v>상세공고 확인</x:v>
      </x:c>
      <x:c r="P42" s="17" t="str">
        <x:v>상세공고 확인</x:v>
      </x:c>
      <x:c r="Q42" s="17" t="str">
        <x:v>상세공고 확인</x:v>
      </x:c>
      <x:c r="R42" s="17" t="str">
        <x:v>상세공고 확인</x:v>
      </x:c>
      <x:c r="S42" s="18" t="str">
        <x:v>https://job.alio.go.kr/recruitview.do?idx=304696</x:v>
      </x:c>
      <x:c r="T42" s="1"/>
      <x:c r="U42" s="1"/>
      <x:c r="V42" s="1"/>
      <x:c r="W42" s="1"/>
      <x:c r="X42" s="1"/>
      <x:c r="Y42" s="1"/>
      <x:c r="Z42" s="1"/>
    </x:row>
    <x:row r="43" ht="58" customHeight="1">
      <x:c r="A43" s="17" t="n">
        <x:v>39</x:v>
      </x:c>
      <x:c r="B43" s="17" t="str">
        <x:v>B</x:v>
      </x:c>
      <x:c r="C43" s="17" t="str">
        <x:v>JOB-ALIO</x:v>
      </x:c>
      <x:c r="D43" s="17" t="str">
        <x:v>한국인터넷진흥원</x:v>
      </x:c>
      <x:c r="E43" s="17" t="str">
        <x:v>2026년 한국인터넷진흥원 체험형 청년인턴 채용 공고</x:v>
      </x:c>
      <x:c r="F43" s="17" t="str">
        <x:v>상세공고 확인</x:v>
      </x:c>
      <x:c r="G43" s="17" t="str">
        <x:v>비정규직 외 1</x:v>
      </x:c>
      <x:c r="H43" s="17" t="str">
        <x:v>서울 외 1</x:v>
      </x:c>
      <x:c r="I43" s="17" t="str">
        <x:v>상세공고 확인</x:v>
      </x:c>
      <x:c r="J43" s="17" t="str">
        <x:v>2026-09-21</x:v>
      </x:c>
      <x:c r="K43" s="17" t="str">
        <x:v>체험형·청년인턴</x:v>
      </x:c>
      <x:c r="L43" s="17" t="str">
        <x:v>우선검토</x:v>
      </x:c>
      <x:c r="M43" s="17" t="str">
        <x:v>제한 문구 미탐지</x:v>
      </x:c>
      <x:c r="N43" s="17" t="str">
        <x:v>목록 항목 확인</x:v>
      </x:c>
      <x:c r="O43" s="17" t="str">
        <x:v>상세공고 확인</x:v>
      </x:c>
      <x:c r="P43" s="17" t="str">
        <x:v>상세공고 확인</x:v>
      </x:c>
      <x:c r="Q43" s="17" t="str">
        <x:v>상세공고 확인</x:v>
      </x:c>
      <x:c r="R43" s="17" t="str">
        <x:v>상세공고 확인</x:v>
      </x:c>
      <x:c r="S43" s="18" t="str">
        <x:v>https://job.alio.go.kr/recruitview.do?idx=304632</x:v>
      </x:c>
      <x:c r="T43" s="1"/>
      <x:c r="U43" s="1"/>
      <x:c r="V43" s="1"/>
      <x:c r="W43" s="1"/>
      <x:c r="X43" s="1"/>
      <x:c r="Y43" s="1"/>
      <x:c r="Z43" s="1"/>
    </x:row>
    <x:row r="44" ht="58" customHeight="1">
      <x:c r="A44" s="17" t="n">
        <x:v>40</x:v>
      </x:c>
      <x:c r="B44" s="17" t="str">
        <x:v>B</x:v>
      </x:c>
      <x:c r="C44" s="17" t="str">
        <x:v>JOB-ALIO</x:v>
      </x:c>
      <x:c r="D44" s="17" t="str">
        <x:v>한국교통안전공단</x:v>
      </x:c>
      <x:c r="E44" s="17" t="str">
        <x:v>2026년 제4차 한국교통안전공단 항공안전실 기간제근로자 채용공고</x:v>
      </x:c>
      <x:c r="F44" s="17" t="str">
        <x:v>상세공고 확인</x:v>
      </x:c>
      <x:c r="G44" s="17" t="str">
        <x:v>청년인턴(체험형)</x:v>
      </x:c>
      <x:c r="H44" s="17" t="str">
        <x:v>경북</x:v>
      </x:c>
      <x:c r="I44" s="17" t="str">
        <x:v>상세공고 확인</x:v>
      </x:c>
      <x:c r="J44" s="17" t="str">
        <x:v>2026-09-22</x:v>
      </x:c>
      <x:c r="K44" s="17" t="str">
        <x:v>체험형·청년인턴</x:v>
      </x:c>
      <x:c r="L44" s="17" t="str">
        <x:v>우선검토</x:v>
      </x:c>
      <x:c r="M44" s="17" t="str">
        <x:v>제한 문구 미탐지</x:v>
      </x:c>
      <x:c r="N44" s="17" t="str">
        <x:v>목록 항목 확인</x:v>
      </x:c>
      <x:c r="O44" s="17" t="str">
        <x:v>상세공고 확인</x:v>
      </x:c>
      <x:c r="P44" s="17" t="str">
        <x:v>상세공고 확인</x:v>
      </x:c>
      <x:c r="Q44" s="17" t="str">
        <x:v>상세공고 확인</x:v>
      </x:c>
      <x:c r="R44" s="17" t="str">
        <x:v>상세공고 확인</x:v>
      </x:c>
      <x:c r="S44" s="18" t="str">
        <x:v>https://job.alio.go.kr/recruitview.do?idx=304629</x:v>
      </x:c>
      <x:c r="T44" s="1"/>
      <x:c r="U44" s="1"/>
      <x:c r="V44" s="1"/>
      <x:c r="W44" s="1"/>
      <x:c r="X44" s="1"/>
      <x:c r="Y44" s="1"/>
      <x:c r="Z44" s="1"/>
    </x:row>
    <x:row r="45" ht="58" customHeight="1">
      <x:c r="A45" s="17" t="n">
        <x:v>41</x:v>
      </x:c>
      <x:c r="B45" s="17" t="str">
        <x:v>B</x:v>
      </x:c>
      <x:c r="C45" s="17" t="str">
        <x:v>JOB-ALIO</x:v>
      </x:c>
      <x:c r="D45" s="17" t="str">
        <x:v>한국교통안전공단</x:v>
      </x:c>
      <x:c r="E45" s="17" t="str">
        <x:v>2026년 제4차 한국교통안전공단 자동차안전하자심의위원회 사무국 기간제근로자 채용 공고</x:v>
      </x:c>
      <x:c r="F45" s="17" t="str">
        <x:v>상세공고 확인</x:v>
      </x:c>
      <x:c r="G45" s="17" t="str">
        <x:v>청년인턴(체험형)</x:v>
      </x:c>
      <x:c r="H45" s="17" t="str">
        <x:v>경기</x:v>
      </x:c>
      <x:c r="I45" s="17" t="str">
        <x:v>상세공고 확인</x:v>
      </x:c>
      <x:c r="J45" s="17" t="str">
        <x:v>2026-09-22</x:v>
      </x:c>
      <x:c r="K45" s="17" t="str">
        <x:v>체험형·청년인턴</x:v>
      </x:c>
      <x:c r="L45" s="17" t="str">
        <x:v>우선검토</x:v>
      </x:c>
      <x:c r="M45" s="17" t="str">
        <x:v>제한 문구 미탐지</x:v>
      </x:c>
      <x:c r="N45" s="17" t="str">
        <x:v>목록 항목 확인</x:v>
      </x:c>
      <x:c r="O45" s="17" t="str">
        <x:v>상세공고 확인</x:v>
      </x:c>
      <x:c r="P45" s="17" t="str">
        <x:v>상세공고 확인</x:v>
      </x:c>
      <x:c r="Q45" s="17" t="str">
        <x:v>상세공고 확인</x:v>
      </x:c>
      <x:c r="R45" s="17" t="str">
        <x:v>상세공고 확인</x:v>
      </x:c>
      <x:c r="S45" s="18" t="str">
        <x:v>https://job.alio.go.kr/recruitview.do?idx=304603</x:v>
      </x:c>
      <x:c r="T45" s="1"/>
      <x:c r="U45" s="1"/>
      <x:c r="V45" s="1"/>
      <x:c r="W45" s="1"/>
      <x:c r="X45" s="1"/>
      <x:c r="Y45" s="1"/>
      <x:c r="Z45" s="1"/>
    </x:row>
    <x:row r="46" ht="58" customHeight="1">
      <x:c r="A46" s="17" t="n">
        <x:v>42</x:v>
      </x:c>
      <x:c r="B46" s="17" t="str">
        <x:v>B</x:v>
      </x:c>
      <x:c r="C46" s="17" t="str">
        <x:v>JOB-ALIO</x:v>
      </x:c>
      <x:c r="D46" s="17" t="str">
        <x:v>한국교통안전공단</x:v>
      </x:c>
      <x:c r="E46" s="17" t="str">
        <x:v>2026년 제4차 한국교통안전공단 경기남부본부 기간제근로자 채용공고</x:v>
      </x:c>
      <x:c r="F46" s="17" t="str">
        <x:v>상세공고 확인</x:v>
      </x:c>
      <x:c r="G46" s="17" t="str">
        <x:v>청년인턴(체험형)</x:v>
      </x:c>
      <x:c r="H46" s="17" t="str">
        <x:v>경기</x:v>
      </x:c>
      <x:c r="I46" s="17" t="str">
        <x:v>상세공고 확인</x:v>
      </x:c>
      <x:c r="J46" s="17" t="str">
        <x:v>2026-09-22</x:v>
      </x:c>
      <x:c r="K46" s="17" t="str">
        <x:v>체험형·청년인턴</x:v>
      </x:c>
      <x:c r="L46" s="17" t="str">
        <x:v>우선검토</x:v>
      </x:c>
      <x:c r="M46" s="17" t="str">
        <x:v>제한 문구 미탐지</x:v>
      </x:c>
      <x:c r="N46" s="17" t="str">
        <x:v>목록 항목 확인</x:v>
      </x:c>
      <x:c r="O46" s="17" t="str">
        <x:v>상세공고 확인</x:v>
      </x:c>
      <x:c r="P46" s="17" t="str">
        <x:v>상세공고 확인</x:v>
      </x:c>
      <x:c r="Q46" s="17" t="str">
        <x:v>상세공고 확인</x:v>
      </x:c>
      <x:c r="R46" s="17" t="str">
        <x:v>상세공고 확인</x:v>
      </x:c>
      <x:c r="S46" s="18" t="str">
        <x:v>https://job.alio.go.kr/recruitview.do?idx=304601</x:v>
      </x:c>
      <x:c r="T46" s="1"/>
      <x:c r="U46" s="1"/>
      <x:c r="V46" s="1"/>
      <x:c r="W46" s="1"/>
      <x:c r="X46" s="1"/>
      <x:c r="Y46" s="1"/>
      <x:c r="Z46" s="1"/>
    </x:row>
    <x:row r="47" ht="58" customHeight="1">
      <x:c r="A47" s="17" t="n">
        <x:v>43</x:v>
      </x:c>
      <x:c r="B47" s="17" t="str">
        <x:v>B</x:v>
      </x:c>
      <x:c r="C47" s="17" t="str">
        <x:v>JOB-ALIO</x:v>
      </x:c>
      <x:c r="D47" s="17" t="str">
        <x:v>한국교통안전공단</x:v>
      </x:c>
      <x:c r="E47" s="17" t="str">
        <x:v>2026년 제4차 한국교통안전공단 경남본부 기간제근로자 채용공고</x:v>
      </x:c>
      <x:c r="F47" s="17" t="str">
        <x:v>상세공고 확인</x:v>
      </x:c>
      <x:c r="G47" s="17" t="str">
        <x:v>청년인턴(체험형)</x:v>
      </x:c>
      <x:c r="H47" s="17" t="str">
        <x:v>경남</x:v>
      </x:c>
      <x:c r="I47" s="17" t="str">
        <x:v>상세공고 확인</x:v>
      </x:c>
      <x:c r="J47" s="17" t="str">
        <x:v>2026-09-22</x:v>
      </x:c>
      <x:c r="K47" s="17" t="str">
        <x:v>체험형·청년인턴</x:v>
      </x:c>
      <x:c r="L47" s="17" t="str">
        <x:v>우선검토</x:v>
      </x:c>
      <x:c r="M47" s="17" t="str">
        <x:v>제한 문구 미탐지</x:v>
      </x:c>
      <x:c r="N47" s="17" t="str">
        <x:v>목록 항목 확인</x:v>
      </x:c>
      <x:c r="O47" s="17" t="str">
        <x:v>상세공고 확인</x:v>
      </x:c>
      <x:c r="P47" s="17" t="str">
        <x:v>상세공고 확인</x:v>
      </x:c>
      <x:c r="Q47" s="17" t="str">
        <x:v>상세공고 확인</x:v>
      </x:c>
      <x:c r="R47" s="17" t="str">
        <x:v>상세공고 확인</x:v>
      </x:c>
      <x:c r="S47" s="18" t="str">
        <x:v>https://job.alio.go.kr/recruitview.do?idx=304600</x:v>
      </x:c>
      <x:c r="T47" s="1"/>
      <x:c r="U47" s="1"/>
      <x:c r="V47" s="1"/>
      <x:c r="W47" s="1"/>
      <x:c r="X47" s="1"/>
      <x:c r="Y47" s="1"/>
      <x:c r="Z47" s="1"/>
    </x:row>
    <x:row r="48" ht="58" customHeight="1">
      <x:c r="A48" s="17" t="n">
        <x:v>44</x:v>
      </x:c>
      <x:c r="B48" s="17" t="str">
        <x:v>B</x:v>
      </x:c>
      <x:c r="C48" s="17" t="str">
        <x:v>JOB-ALIO</x:v>
      </x:c>
      <x:c r="D48" s="17" t="str">
        <x:v>한국교통안전공단</x:v>
      </x:c>
      <x:c r="E48" s="17" t="str">
        <x:v>2026년 제4차 한국교통안전공단 경기북부본부 기간제근로자 채용 공고</x:v>
      </x:c>
      <x:c r="F48" s="17" t="str">
        <x:v>상세공고 확인</x:v>
      </x:c>
      <x:c r="G48" s="17" t="str">
        <x:v>청년인턴(체험형)</x:v>
      </x:c>
      <x:c r="H48" s="17" t="str">
        <x:v>경기</x:v>
      </x:c>
      <x:c r="I48" s="17" t="str">
        <x:v>상세공고 확인</x:v>
      </x:c>
      <x:c r="J48" s="17" t="str">
        <x:v>2026-09-22</x:v>
      </x:c>
      <x:c r="K48" s="17" t="str">
        <x:v>체험형·청년인턴</x:v>
      </x:c>
      <x:c r="L48" s="17" t="str">
        <x:v>우선검토</x:v>
      </x:c>
      <x:c r="M48" s="17" t="str">
        <x:v>제한 문구 미탐지</x:v>
      </x:c>
      <x:c r="N48" s="17" t="str">
        <x:v>목록 항목 확인</x:v>
      </x:c>
      <x:c r="O48" s="17" t="str">
        <x:v>상세공고 확인</x:v>
      </x:c>
      <x:c r="P48" s="17" t="str">
        <x:v>상세공고 확인</x:v>
      </x:c>
      <x:c r="Q48" s="17" t="str">
        <x:v>상세공고 확인</x:v>
      </x:c>
      <x:c r="R48" s="17" t="str">
        <x:v>상세공고 확인</x:v>
      </x:c>
      <x:c r="S48" s="18" t="str">
        <x:v>https://job.alio.go.kr/recruitview.do?idx=304597</x:v>
      </x:c>
      <x:c r="T48" s="1"/>
      <x:c r="U48" s="1"/>
      <x:c r="V48" s="1"/>
      <x:c r="W48" s="1"/>
      <x:c r="X48" s="1"/>
      <x:c r="Y48" s="1"/>
      <x:c r="Z48" s="1"/>
    </x:row>
    <x:row r="49" ht="58" customHeight="1">
      <x:c r="A49" s="17" t="n">
        <x:v>45</x:v>
      </x:c>
      <x:c r="B49" s="17" t="str">
        <x:v>B</x:v>
      </x:c>
      <x:c r="C49" s="17" t="str">
        <x:v>JOB-ALIO</x:v>
      </x:c>
      <x:c r="D49" s="17" t="str">
        <x:v>한국교통안전공단</x:v>
      </x:c>
      <x:c r="E49" s="17" t="str">
        <x:v>2026년 제4차 한국교통안전공단 인천본부 기간제근로자 채용 공고</x:v>
      </x:c>
      <x:c r="F49" s="17" t="str">
        <x:v>상세공고 확인</x:v>
      </x:c>
      <x:c r="G49" s="17" t="str">
        <x:v>청년인턴(체험형)</x:v>
      </x:c>
      <x:c r="H49" s="17" t="str">
        <x:v>인천 외 1</x:v>
      </x:c>
      <x:c r="I49" s="17" t="str">
        <x:v>상세공고 확인</x:v>
      </x:c>
      <x:c r="J49" s="17" t="str">
        <x:v>2026-09-22</x:v>
      </x:c>
      <x:c r="K49" s="17" t="str">
        <x:v>체험형·청년인턴</x:v>
      </x:c>
      <x:c r="L49" s="17" t="str">
        <x:v>우선검토</x:v>
      </x:c>
      <x:c r="M49" s="17" t="str">
        <x:v>제한 문구 미탐지</x:v>
      </x:c>
      <x:c r="N49" s="17" t="str">
        <x:v>목록 항목 확인</x:v>
      </x:c>
      <x:c r="O49" s="17" t="str">
        <x:v>상세공고 확인</x:v>
      </x:c>
      <x:c r="P49" s="17" t="str">
        <x:v>상세공고 확인</x:v>
      </x:c>
      <x:c r="Q49" s="17" t="str">
        <x:v>상세공고 확인</x:v>
      </x:c>
      <x:c r="R49" s="17" t="str">
        <x:v>상세공고 확인</x:v>
      </x:c>
      <x:c r="S49" s="18" t="str">
        <x:v>https://job.alio.go.kr/recruitview.do?idx=304584</x:v>
      </x:c>
      <x:c r="T49" s="1"/>
      <x:c r="U49" s="1"/>
      <x:c r="V49" s="1"/>
      <x:c r="W49" s="1"/>
      <x:c r="X49" s="1"/>
      <x:c r="Y49" s="1"/>
      <x:c r="Z49" s="1"/>
    </x:row>
    <x:row r="50" ht="58" customHeight="1">
      <x:c r="A50" s="17" t="n">
        <x:v>46</x:v>
      </x:c>
      <x:c r="B50" s="17" t="str">
        <x:v>B</x:v>
      </x:c>
      <x:c r="C50" s="17" t="str">
        <x:v>JOB-ALIO</x:v>
      </x:c>
      <x:c r="D50" s="17" t="str">
        <x:v>한국교통안전공단</x:v>
      </x:c>
      <x:c r="E50" s="17" t="str">
        <x:v>2026년 제4차 한국교통안전공단 모빌리티지원센터 정책지원처 기간제근로자 채용 공고</x:v>
      </x:c>
      <x:c r="F50" s="17" t="str">
        <x:v>상세공고 확인</x:v>
      </x:c>
      <x:c r="G50" s="17" t="str">
        <x:v>청년인턴(체험형)</x:v>
      </x:c>
      <x:c r="H50" s="17" t="str">
        <x:v>경북</x:v>
      </x:c>
      <x:c r="I50" s="17" t="str">
        <x:v>상세공고 확인</x:v>
      </x:c>
      <x:c r="J50" s="17" t="str">
        <x:v>2026-09-22</x:v>
      </x:c>
      <x:c r="K50" s="17" t="str">
        <x:v>체험형·청년인턴</x:v>
      </x:c>
      <x:c r="L50" s="17" t="str">
        <x:v>우선검토</x:v>
      </x:c>
      <x:c r="M50" s="17" t="str">
        <x:v>제한 문구 미탐지</x:v>
      </x:c>
      <x:c r="N50" s="17" t="str">
        <x:v>목록 항목 확인</x:v>
      </x:c>
      <x:c r="O50" s="17" t="str">
        <x:v>상세공고 확인</x:v>
      </x:c>
      <x:c r="P50" s="17" t="str">
        <x:v>상세공고 확인</x:v>
      </x:c>
      <x:c r="Q50" s="17" t="str">
        <x:v>상세공고 확인</x:v>
      </x:c>
      <x:c r="R50" s="17" t="str">
        <x:v>상세공고 확인</x:v>
      </x:c>
      <x:c r="S50" s="18" t="str">
        <x:v>https://job.alio.go.kr/recruitview.do?idx=304578</x:v>
      </x:c>
      <x:c r="T50" s="1"/>
      <x:c r="U50" s="1"/>
      <x:c r="V50" s="1"/>
      <x:c r="W50" s="1"/>
      <x:c r="X50" s="1"/>
      <x:c r="Y50" s="1"/>
      <x:c r="Z50" s="1"/>
    </x:row>
    <x:row r="51" ht="58" customHeight="1">
      <x:c r="A51" s="17" t="n">
        <x:v>47</x:v>
      </x:c>
      <x:c r="B51" s="17" t="str">
        <x:v>B</x:v>
      </x:c>
      <x:c r="C51" s="17" t="str">
        <x:v>JOB-ALIO</x:v>
      </x:c>
      <x:c r="D51" s="17" t="str">
        <x:v>한국교통안전공단</x:v>
      </x:c>
      <x:c r="E51" s="17" t="str">
        <x:v>2026년 제4차 한국교통안전공단 대구경북본부 기간제근로자 채용공고</x:v>
      </x:c>
      <x:c r="F51" s="17" t="str">
        <x:v>상세공고 확인</x:v>
      </x:c>
      <x:c r="G51" s="17" t="str">
        <x:v>청년인턴(체험형)</x:v>
      </x:c>
      <x:c r="H51" s="17" t="str">
        <x:v>대구 외 1</x:v>
      </x:c>
      <x:c r="I51" s="17" t="str">
        <x:v>상세공고 확인</x:v>
      </x:c>
      <x:c r="J51" s="17" t="str">
        <x:v>2026-09-22</x:v>
      </x:c>
      <x:c r="K51" s="17" t="str">
        <x:v>체험형·청년인턴</x:v>
      </x:c>
      <x:c r="L51" s="17" t="str">
        <x:v>우선검토</x:v>
      </x:c>
      <x:c r="M51" s="17" t="str">
        <x:v>제한 문구 미탐지</x:v>
      </x:c>
      <x:c r="N51" s="17" t="str">
        <x:v>목록 항목 확인</x:v>
      </x:c>
      <x:c r="O51" s="17" t="str">
        <x:v>상세공고 확인</x:v>
      </x:c>
      <x:c r="P51" s="17" t="str">
        <x:v>상세공고 확인</x:v>
      </x:c>
      <x:c r="Q51" s="17" t="str">
        <x:v>상세공고 확인</x:v>
      </x:c>
      <x:c r="R51" s="17" t="str">
        <x:v>상세공고 확인</x:v>
      </x:c>
      <x:c r="S51" s="18" t="str">
        <x:v>https://job.alio.go.kr/recruitview.do?idx=304572</x:v>
      </x:c>
      <x:c r="T51" s="1"/>
      <x:c r="U51" s="1"/>
      <x:c r="V51" s="1"/>
      <x:c r="W51" s="1"/>
      <x:c r="X51" s="1"/>
      <x:c r="Y51" s="1"/>
      <x:c r="Z51" s="1"/>
    </x:row>
    <x:row r="52" ht="58" customHeight="1">
      <x:c r="A52" s="17" t="n">
        <x:v>48</x:v>
      </x:c>
      <x:c r="B52" s="17" t="str">
        <x:v>B</x:v>
      </x:c>
      <x:c r="C52" s="17" t="str">
        <x:v>JOB-ALIO</x:v>
      </x:c>
      <x:c r="D52" s="17" t="str">
        <x:v>한국교통안전공단</x:v>
      </x:c>
      <x:c r="E52" s="17" t="str">
        <x:v>2026년 제4차 한국교통안전공단 부산본부 기간제근로자 채용공고</x:v>
      </x:c>
      <x:c r="F52" s="17" t="str">
        <x:v>상세공고 확인</x:v>
      </x:c>
      <x:c r="G52" s="17" t="str">
        <x:v>청년인턴(체험형)</x:v>
      </x:c>
      <x:c r="H52" s="17" t="str">
        <x:v>부산</x:v>
      </x:c>
      <x:c r="I52" s="17" t="str">
        <x:v>상세공고 확인</x:v>
      </x:c>
      <x:c r="J52" s="17" t="str">
        <x:v>2026-09-22</x:v>
      </x:c>
      <x:c r="K52" s="17" t="str">
        <x:v>체험형·청년인턴</x:v>
      </x:c>
      <x:c r="L52" s="17" t="str">
        <x:v>우선검토</x:v>
      </x:c>
      <x:c r="M52" s="17" t="str">
        <x:v>제한 문구 미탐지</x:v>
      </x:c>
      <x:c r="N52" s="17" t="str">
        <x:v>목록 항목 확인</x:v>
      </x:c>
      <x:c r="O52" s="17" t="str">
        <x:v>상세공고 확인</x:v>
      </x:c>
      <x:c r="P52" s="17" t="str">
        <x:v>상세공고 확인</x:v>
      </x:c>
      <x:c r="Q52" s="17" t="str">
        <x:v>상세공고 확인</x:v>
      </x:c>
      <x:c r="R52" s="17" t="str">
        <x:v>상세공고 확인</x:v>
      </x:c>
      <x:c r="S52" s="18" t="str">
        <x:v>https://job.alio.go.kr/recruitview.do?idx=304569</x:v>
      </x:c>
      <x:c r="T52" s="1"/>
      <x:c r="U52" s="1"/>
      <x:c r="V52" s="1"/>
      <x:c r="W52" s="1"/>
      <x:c r="X52" s="1"/>
      <x:c r="Y52" s="1"/>
      <x:c r="Z52" s="1"/>
    </x:row>
    <x:row r="53" ht="58" customHeight="1">
      <x:c r="A53" s="17" t="n">
        <x:v>49</x:v>
      </x:c>
      <x:c r="B53" s="17" t="str">
        <x:v>B</x:v>
      </x:c>
      <x:c r="C53" s="17" t="str">
        <x:v>JOB-ALIO</x:v>
      </x:c>
      <x:c r="D53" s="17" t="str">
        <x:v>한국교통안전공단</x:v>
      </x:c>
      <x:c r="E53" s="17" t="str">
        <x:v>2026년 제4차 한국교통안전공단 제주본부 기간제근로자 채용공고</x:v>
      </x:c>
      <x:c r="F53" s="17" t="str">
        <x:v>상세공고 확인</x:v>
      </x:c>
      <x:c r="G53" s="17" t="str">
        <x:v>청년인턴(체험형)</x:v>
      </x:c>
      <x:c r="H53" s="17" t="str">
        <x:v>제주</x:v>
      </x:c>
      <x:c r="I53" s="17" t="str">
        <x:v>상세공고 확인</x:v>
      </x:c>
      <x:c r="J53" s="17" t="str">
        <x:v>2026-09-22</x:v>
      </x:c>
      <x:c r="K53" s="17" t="str">
        <x:v>체험형·청년인턴</x:v>
      </x:c>
      <x:c r="L53" s="17" t="str">
        <x:v>우선검토</x:v>
      </x:c>
      <x:c r="M53" s="17" t="str">
        <x:v>제한 문구 미탐지</x:v>
      </x:c>
      <x:c r="N53" s="17" t="str">
        <x:v>목록 항목 확인</x:v>
      </x:c>
      <x:c r="O53" s="17" t="str">
        <x:v>상세공고 확인</x:v>
      </x:c>
      <x:c r="P53" s="17" t="str">
        <x:v>상세공고 확인</x:v>
      </x:c>
      <x:c r="Q53" s="17" t="str">
        <x:v>상세공고 확인</x:v>
      </x:c>
      <x:c r="R53" s="17" t="str">
        <x:v>상세공고 확인</x:v>
      </x:c>
      <x:c r="S53" s="18" t="str">
        <x:v>https://job.alio.go.kr/recruitview.do?idx=304559</x:v>
      </x:c>
      <x:c r="T53" s="1"/>
      <x:c r="U53" s="1"/>
      <x:c r="V53" s="1"/>
      <x:c r="W53" s="1"/>
      <x:c r="X53" s="1"/>
      <x:c r="Y53" s="1"/>
      <x:c r="Z53" s="1"/>
    </x:row>
    <x:row r="54" ht="58" customHeight="1">
      <x:c r="A54" s="17" t="n">
        <x:v>50</x:v>
      </x:c>
      <x:c r="B54" s="17" t="str">
        <x:v>B</x:v>
      </x:c>
      <x:c r="C54" s="17" t="str">
        <x:v>JOB-ALIO</x:v>
      </x:c>
      <x:c r="D54" s="17" t="str">
        <x:v>한국산업은행</x:v>
      </x:c>
      <x:c r="E54" s="17" t="str">
        <x:v>한국산업은행 2026년 3차 청년인턴 채용공고</x:v>
      </x:c>
      <x:c r="F54" s="17" t="str">
        <x:v>상세공고 확인</x:v>
      </x:c>
      <x:c r="G54" s="17" t="str">
        <x:v>청년인턴(체험형)</x:v>
      </x:c>
      <x:c r="H54" s="17" t="str">
        <x:v>서울 외 14</x:v>
      </x:c>
      <x:c r="I54" s="17" t="str">
        <x:v>상세공고 확인</x:v>
      </x:c>
      <x:c r="J54" s="17" t="str">
        <x:v>2026-09-22</x:v>
      </x:c>
      <x:c r="K54" s="17" t="str">
        <x:v>체험형·청년인턴</x:v>
      </x:c>
      <x:c r="L54" s="17" t="str">
        <x:v>우선검토</x:v>
      </x:c>
      <x:c r="M54" s="17" t="str">
        <x:v>제한 문구 미탐지</x:v>
      </x:c>
      <x:c r="N54" s="17" t="str">
        <x:v>목록 항목 확인</x:v>
      </x:c>
      <x:c r="O54" s="17" t="str">
        <x:v>상세공고 확인</x:v>
      </x:c>
      <x:c r="P54" s="17" t="str">
        <x:v>상세공고 확인</x:v>
      </x:c>
      <x:c r="Q54" s="17" t="str">
        <x:v>상세공고 확인</x:v>
      </x:c>
      <x:c r="R54" s="17" t="str">
        <x:v>상세공고 확인</x:v>
      </x:c>
      <x:c r="S54" s="18" t="str">
        <x:v>https://job.alio.go.kr/recruitview.do?idx=304680</x:v>
      </x:c>
      <x:c r="T54" s="1"/>
      <x:c r="U54" s="1"/>
      <x:c r="V54" s="1"/>
      <x:c r="W54" s="1"/>
      <x:c r="X54" s="1"/>
      <x:c r="Y54" s="1"/>
      <x:c r="Z54" s="1"/>
    </x:row>
    <x:row r="55" ht="58" customHeight="1">
      <x:c r="A55" s="17" t="n">
        <x:v>51</x:v>
      </x:c>
      <x:c r="B55" s="17" t="str">
        <x:v>B</x:v>
      </x:c>
      <x:c r="C55" s="17" t="str">
        <x:v>JOB-ALIO</x:v>
      </x:c>
      <x:c r="D55" s="17" t="str">
        <x:v>한국여성과학기술인육성재단</x:v>
      </x:c>
      <x:c r="E55" s="17" t="str">
        <x:v>2026년도 제5차 하반기 체험형 청년인턴 채용 공고</x:v>
      </x:c>
      <x:c r="F55" s="17" t="str">
        <x:v>상세공고 확인</x:v>
      </x:c>
      <x:c r="G55" s="17" t="str">
        <x:v>청년인턴(체험형)</x:v>
      </x:c>
      <x:c r="H55" s="17" t="str">
        <x:v>서울</x:v>
      </x:c>
      <x:c r="I55" s="17" t="str">
        <x:v>상세공고 확인</x:v>
      </x:c>
      <x:c r="J55" s="17" t="str">
        <x:v>2026-09-22</x:v>
      </x:c>
      <x:c r="K55" s="17" t="str">
        <x:v>체험형·청년인턴</x:v>
      </x:c>
      <x:c r="L55" s="17" t="str">
        <x:v>우선검토</x:v>
      </x:c>
      <x:c r="M55" s="17" t="str">
        <x:v>제한 문구 미탐지</x:v>
      </x:c>
      <x:c r="N55" s="17" t="str">
        <x:v>목록 항목 확인</x:v>
      </x:c>
      <x:c r="O55" s="17" t="str">
        <x:v>상세공고 확인</x:v>
      </x:c>
      <x:c r="P55" s="17" t="str">
        <x:v>상세공고 확인</x:v>
      </x:c>
      <x:c r="Q55" s="17" t="str">
        <x:v>상세공고 확인</x:v>
      </x:c>
      <x:c r="R55" s="17" t="str">
        <x:v>상세공고 확인</x:v>
      </x:c>
      <x:c r="S55" s="18" t="str">
        <x:v>https://job.alio.go.kr/recruitview.do?idx=304667</x:v>
      </x:c>
      <x:c r="T55" s="1"/>
      <x:c r="U55" s="1"/>
      <x:c r="V55" s="1"/>
      <x:c r="W55" s="1"/>
      <x:c r="X55" s="1"/>
      <x:c r="Y55" s="1"/>
      <x:c r="Z55" s="1"/>
    </x:row>
    <x:row r="56" ht="58" customHeight="1">
      <x:c r="A56" s="17" t="n">
        <x:v>52</x:v>
      </x:c>
      <x:c r="B56" s="17" t="str">
        <x:v>B</x:v>
      </x:c>
      <x:c r="C56" s="17" t="str">
        <x:v>JOB-ALIO</x:v>
      </x:c>
      <x:c r="D56" s="17" t="str">
        <x:v>한국환경연구원</x:v>
      </x:c>
      <x:c r="E56" s="17" t="str">
        <x:v>한국환경연구원 2026년 하반기 KOICA 영프로페셔널(YP인턴) 공개채용</x:v>
      </x:c>
      <x:c r="F56" s="17" t="str">
        <x:v>상세공고 확인</x:v>
      </x:c>
      <x:c r="G56" s="17" t="str">
        <x:v>청년인턴(체험형)</x:v>
      </x:c>
      <x:c r="H56" s="17" t="str">
        <x:v>세종</x:v>
      </x:c>
      <x:c r="I56" s="17" t="str">
        <x:v>상세공고 확인</x:v>
      </x:c>
      <x:c r="J56" s="17" t="str">
        <x:v>2026-09-22</x:v>
      </x:c>
      <x:c r="K56" s="17" t="str">
        <x:v>체험형·청년인턴</x:v>
      </x:c>
      <x:c r="L56" s="17" t="str">
        <x:v>우선검토</x:v>
      </x:c>
      <x:c r="M56" s="17" t="str">
        <x:v>제한 문구 미탐지</x:v>
      </x:c>
      <x:c r="N56" s="17" t="str">
        <x:v>목록 항목 확인</x:v>
      </x:c>
      <x:c r="O56" s="17" t="str">
        <x:v>상세공고 확인</x:v>
      </x:c>
      <x:c r="P56" s="17" t="str">
        <x:v>상세공고 확인</x:v>
      </x:c>
      <x:c r="Q56" s="17" t="str">
        <x:v>상세공고 확인</x:v>
      </x:c>
      <x:c r="R56" s="17" t="str">
        <x:v>상세공고 확인</x:v>
      </x:c>
      <x:c r="S56" s="18" t="str">
        <x:v>https://job.alio.go.kr/recruitview.do?idx=304528</x:v>
      </x:c>
      <x:c r="T56" s="1"/>
      <x:c r="U56" s="1"/>
      <x:c r="V56" s="1"/>
      <x:c r="W56" s="1"/>
      <x:c r="X56" s="1"/>
      <x:c r="Y56" s="1"/>
      <x:c r="Z56" s="1"/>
    </x:row>
    <x:row r="57" ht="58" customHeight="1">
      <x:c r="A57" s="17" t="n">
        <x:v>53</x:v>
      </x:c>
      <x:c r="B57" s="17" t="str">
        <x:v>B</x:v>
      </x:c>
      <x:c r="C57" s="17" t="str">
        <x:v>JOB-ALIO</x:v>
      </x:c>
      <x:c r="D57" s="17" t="str">
        <x:v>창업진흥원</x:v>
      </x:c>
      <x:c r="E57" s="17" t="str">
        <x:v>2026년 창업진흥원 제5차 체험형 청년인턴(일반) 채용 공고</x:v>
      </x:c>
      <x:c r="F57" s="17" t="str">
        <x:v>상세공고 확인</x:v>
      </x:c>
      <x:c r="G57" s="17" t="str">
        <x:v>청년인턴(체험형)</x:v>
      </x:c>
      <x:c r="H57" s="17" t="str">
        <x:v>서울 외 2</x:v>
      </x:c>
      <x:c r="I57" s="17" t="str">
        <x:v>상세공고 확인</x:v>
      </x:c>
      <x:c r="J57" s="17" t="str">
        <x:v>2026-09-23</x:v>
      </x:c>
      <x:c r="K57" s="17" t="str">
        <x:v>체험형·청년인턴</x:v>
      </x:c>
      <x:c r="L57" s="17" t="str">
        <x:v>우선검토</x:v>
      </x:c>
      <x:c r="M57" s="17" t="str">
        <x:v>제한 문구 미탐지</x:v>
      </x:c>
      <x:c r="N57" s="17" t="str">
        <x:v>목록 항목 확인</x:v>
      </x:c>
      <x:c r="O57" s="17" t="str">
        <x:v>상세공고 확인</x:v>
      </x:c>
      <x:c r="P57" s="17" t="str">
        <x:v>상세공고 확인</x:v>
      </x:c>
      <x:c r="Q57" s="17" t="str">
        <x:v>상세공고 확인</x:v>
      </x:c>
      <x:c r="R57" s="17" t="str">
        <x:v>상세공고 확인</x:v>
      </x:c>
      <x:c r="S57" s="18" t="str">
        <x:v>https://job.alio.go.kr/recruitview.do?idx=304737</x:v>
      </x:c>
      <x:c r="T57" s="1"/>
      <x:c r="U57" s="1"/>
      <x:c r="V57" s="1"/>
      <x:c r="W57" s="1"/>
      <x:c r="X57" s="1"/>
      <x:c r="Y57" s="1"/>
      <x:c r="Z57" s="1"/>
    </x:row>
    <x:row r="58" ht="58" customHeight="1">
      <x:c r="A58" s="17" t="n">
        <x:v>54</x:v>
      </x:c>
      <x:c r="B58" s="17" t="str">
        <x:v>B</x:v>
      </x:c>
      <x:c r="C58" s="17" t="str">
        <x:v>JOB-ALIO</x:v>
      </x:c>
      <x:c r="D58" s="17" t="str">
        <x:v>한국장애인개발원</x:v>
      </x:c>
      <x:c r="E58" s="17" t="str">
        <x:v>[제2026-96호] 2026년도 제2차 정책지원부(정책지원팀) 청년인턴 채용 공고</x:v>
      </x:c>
      <x:c r="F58" s="17" t="str">
        <x:v>상세공고 확인</x:v>
      </x:c>
      <x:c r="G58" s="17" t="str">
        <x:v>청년인턴(체험형)</x:v>
      </x:c>
      <x:c r="H58" s="17" t="str">
        <x:v>서울</x:v>
      </x:c>
      <x:c r="I58" s="17" t="str">
        <x:v>상세공고 확인</x:v>
      </x:c>
      <x:c r="J58" s="17" t="str">
        <x:v>2026-09-23</x:v>
      </x:c>
      <x:c r="K58" s="17" t="str">
        <x:v>체험형·청년인턴</x:v>
      </x:c>
      <x:c r="L58" s="17" t="str">
        <x:v>우선검토</x:v>
      </x:c>
      <x:c r="M58" s="17" t="str">
        <x:v>제한 문구 미탐지</x:v>
      </x:c>
      <x:c r="N58" s="17" t="str">
        <x:v>목록 항목 확인</x:v>
      </x:c>
      <x:c r="O58" s="17" t="str">
        <x:v>상세공고 확인</x:v>
      </x:c>
      <x:c r="P58" s="17" t="str">
        <x:v>상세공고 확인</x:v>
      </x:c>
      <x:c r="Q58" s="17" t="str">
        <x:v>상세공고 확인</x:v>
      </x:c>
      <x:c r="R58" s="17" t="str">
        <x:v>상세공고 확인</x:v>
      </x:c>
      <x:c r="S58" s="18" t="str">
        <x:v>https://job.alio.go.kr/recruitview.do?idx=304745</x:v>
      </x:c>
      <x:c r="T58" s="1"/>
      <x:c r="U58" s="1"/>
      <x:c r="V58" s="1"/>
      <x:c r="W58" s="1"/>
      <x:c r="X58" s="1"/>
      <x:c r="Y58" s="1"/>
      <x:c r="Z58" s="1"/>
    </x:row>
    <x:row r="59" ht="58" customHeight="1">
      <x:c r="A59" s="17" t="n">
        <x:v>55</x:v>
      </x:c>
      <x:c r="B59" s="17" t="str">
        <x:v>B</x:v>
      </x:c>
      <x:c r="C59" s="17" t="str">
        <x:v>JOB-ALIO</x:v>
      </x:c>
      <x:c r="D59" s="17" t="str">
        <x:v>대한적십자사</x:v>
      </x:c>
      <x:c r="E59" s="17" t="str">
        <x:v>2026년도 하반기 대한적십자사 KOICA 영프로페셔널(YP) 청년인턴 공개모집</x:v>
      </x:c>
      <x:c r="F59" s="17" t="str">
        <x:v>상세공고 확인</x:v>
      </x:c>
      <x:c r="G59" s="17" t="str">
        <x:v>청년인턴(체험형)</x:v>
      </x:c>
      <x:c r="H59" s="17" t="str">
        <x:v>서울</x:v>
      </x:c>
      <x:c r="I59" s="17" t="str">
        <x:v>상세공고 확인</x:v>
      </x:c>
      <x:c r="J59" s="17" t="str">
        <x:v>2026-09-28</x:v>
      </x:c>
      <x:c r="K59" s="17" t="str">
        <x:v>체험형·청년인턴</x:v>
      </x:c>
      <x:c r="L59" s="17" t="str">
        <x:v>우선검토</x:v>
      </x:c>
      <x:c r="M59" s="17" t="str">
        <x:v>제한 문구 미탐지</x:v>
      </x:c>
      <x:c r="N59" s="17" t="str">
        <x:v>목록 항목 확인</x:v>
      </x:c>
      <x:c r="O59" s="17" t="str">
        <x:v>상세공고 확인</x:v>
      </x:c>
      <x:c r="P59" s="17" t="str">
        <x:v>상세공고 확인</x:v>
      </x:c>
      <x:c r="Q59" s="17" t="str">
        <x:v>상세공고 확인</x:v>
      </x:c>
      <x:c r="R59" s="17" t="str">
        <x:v>상세공고 확인</x:v>
      </x:c>
      <x:c r="S59" s="18" t="str">
        <x:v>https://job.alio.go.kr/recruitview.do?idx=304637</x:v>
      </x:c>
      <x:c r="T59" s="1"/>
      <x:c r="U59" s="1"/>
      <x:c r="V59" s="1"/>
      <x:c r="W59" s="1"/>
      <x:c r="X59" s="1"/>
      <x:c r="Y59" s="1"/>
      <x:c r="Z59" s="1"/>
    </x:row>
    <x:row r="60" ht="58" customHeight="1">
      <x:c r="A60" s="17" t="n">
        <x:v>56</x:v>
      </x:c>
      <x:c r="B60" s="17" t="str">
        <x:v>B</x:v>
      </x:c>
      <x:c r="C60" s="17" t="str">
        <x:v>Cleaneye Job+</x:v>
      </x:c>
      <x:c r="D60" s="17" t="str">
        <x:v>강원특별자치도삼척의료원</x:v>
      </x:c>
      <x:c r="E60" s="17" t="str">
        <x:v>공고2026-57 조리사 채용(재)공고</x:v>
      </x:c>
      <x:c r="F60" s="17" t="str">
        <x:v>신입+경력</x:v>
      </x:c>
      <x:c r="G60" s="17" t="str">
        <x:v>무기계약직</x:v>
      </x:c>
      <x:c r="H60" s="17" t="str">
        <x:v>강원특별자치도</x:v>
      </x:c>
      <x:c r="I60" s="17" t="str">
        <x:v>명시 없음(원문 확인)</x:v>
      </x:c>
      <x:c r="J60" s="17" t="str">
        <x:v>2026-09-10</x:v>
      </x:c>
      <x:c r="K60" s="17" t="str">
        <x:v>무기계약·공무직</x:v>
      </x:c>
      <x:c r="L60" s="17" t="str">
        <x:v>검토</x:v>
      </x:c>
      <x:c r="M60" s="17" t="str">
        <x:v>제한 문구 미탐지</x:v>
      </x:c>
      <x:c r="N60" s="17" t="str">
        <x:v>포털 목록 확인</x:v>
      </x:c>
      <x:c r="O60" s="17" t="str">
        <x:v>기관 공고 원문 확인</x:v>
      </x:c>
      <x:c r="P60" s="17" t="str">
        <x:v>기관 공고 원문 확인</x:v>
      </x:c>
      <x:c r="Q60" s="17" t="str">
        <x:v>기관 공고 원문 확인</x:v>
      </x:c>
      <x:c r="R60" s="17" t="str">
        <x:v>기관 공고 원문 확인</x:v>
      </x:c>
      <x:c r="S60" s="18" t="str">
        <x:v>https://job.cleaneye.go.kr/user/ypRecruitment.do</x:v>
      </x:c>
      <x:c r="T60" s="1"/>
      <x:c r="U60" s="1"/>
      <x:c r="V60" s="1"/>
      <x:c r="W60" s="1"/>
      <x:c r="X60" s="1"/>
      <x:c r="Y60" s="1"/>
      <x:c r="Z60" s="1"/>
    </x:row>
    <x:row r="61" ht="58" customHeight="1">
      <x:c r="A61" s="17" t="n">
        <x:v>57</x:v>
      </x:c>
      <x:c r="B61" s="17" t="str">
        <x:v>B</x:v>
      </x:c>
      <x:c r="C61" s="17" t="str">
        <x:v>Cleaneye Job+</x:v>
      </x:c>
      <x:c r="D61" s="17" t="str">
        <x:v>경기도의료원</x:v>
      </x:c>
      <x:c r="E61" s="17" t="str">
        <x:v>경기도의료원 이천병원 공무직 경비원(휴직대체) 신규채용 1차 재공고</x:v>
      </x:c>
      <x:c r="F61" s="17" t="str">
        <x:v>신입+경력</x:v>
      </x:c>
      <x:c r="G61" s="17" t="str">
        <x:v>기간제</x:v>
      </x:c>
      <x:c r="H61" s="17" t="str">
        <x:v>경기도</x:v>
      </x:c>
      <x:c r="I61" s="17" t="str">
        <x:v>명시 없음(원문 확인)</x:v>
      </x:c>
      <x:c r="J61" s="17" t="str">
        <x:v>2026-09-10</x:v>
      </x:c>
      <x:c r="K61" s="17" t="str">
        <x:v>무기계약·공무직</x:v>
      </x:c>
      <x:c r="L61" s="17" t="str">
        <x:v>검토</x:v>
      </x:c>
      <x:c r="M61" s="17" t="str">
        <x:v>제한 문구 미탐지</x:v>
      </x:c>
      <x:c r="N61" s="17" t="str">
        <x:v>포털 목록 확인</x:v>
      </x:c>
      <x:c r="O61" s="17" t="str">
        <x:v>기관 공고 원문 확인</x:v>
      </x:c>
      <x:c r="P61" s="17" t="str">
        <x:v>기관 공고 원문 확인</x:v>
      </x:c>
      <x:c r="Q61" s="17" t="str">
        <x:v>기관 공고 원문 확인</x:v>
      </x:c>
      <x:c r="R61" s="17" t="str">
        <x:v>기관 공고 원문 확인</x:v>
      </x:c>
      <x:c r="S61" s="18" t="str">
        <x:v>https://job.cleaneye.go.kr/user/ypRecruitment.do</x:v>
      </x:c>
      <x:c r="T61" s="1"/>
      <x:c r="U61" s="1"/>
      <x:c r="V61" s="1"/>
      <x:c r="W61" s="1"/>
      <x:c r="X61" s="1"/>
      <x:c r="Y61" s="1"/>
      <x:c r="Z61" s="1"/>
    </x:row>
    <x:row r="62" ht="58" customHeight="1">
      <x:c r="A62" s="17" t="n">
        <x:v>58</x:v>
      </x:c>
      <x:c r="B62" s="17" t="str">
        <x:v>B</x:v>
      </x:c>
      <x:c r="C62" s="17" t="str">
        <x:v>Cleaneye Job+</x:v>
      </x:c>
      <x:c r="D62" s="17" t="str">
        <x:v>재단법인 화성시여성가족청소년재단</x:v>
      </x:c>
      <x:c r="E62" s="17" t="str">
        <x:v>2026년도 제5회 직원 채용 공고</x:v>
      </x:c>
      <x:c r="F62" s="17" t="str">
        <x:v>신입</x:v>
      </x:c>
      <x:c r="G62" s="17" t="str">
        <x:v>무기계약직</x:v>
      </x:c>
      <x:c r="H62" s="17" t="str">
        <x:v>경기도</x:v>
      </x:c>
      <x:c r="I62" s="17" t="str">
        <x:v>명시 없음(원문 확인)</x:v>
      </x:c>
      <x:c r="J62" s="17" t="str">
        <x:v>2026-09-11</x:v>
      </x:c>
      <x:c r="K62" s="17" t="str">
        <x:v>무기계약·공무직</x:v>
      </x:c>
      <x:c r="L62" s="17" t="str">
        <x:v>검토</x:v>
      </x:c>
      <x:c r="M62" s="17" t="str">
        <x:v>제한 문구 미탐지</x:v>
      </x:c>
      <x:c r="N62" s="17" t="str">
        <x:v>포털 목록 확인</x:v>
      </x:c>
      <x:c r="O62" s="17" t="str">
        <x:v>기관 공고 원문 확인</x:v>
      </x:c>
      <x:c r="P62" s="17" t="str">
        <x:v>기관 공고 원문 확인</x:v>
      </x:c>
      <x:c r="Q62" s="17" t="str">
        <x:v>기관 공고 원문 확인</x:v>
      </x:c>
      <x:c r="R62" s="17" t="str">
        <x:v>기관 공고 원문 확인</x:v>
      </x:c>
      <x:c r="S62" s="18" t="str">
        <x:v>https://job.cleaneye.go.kr/user/ypRecruitment.do</x:v>
      </x:c>
      <x:c r="T62" s="1"/>
      <x:c r="U62" s="1"/>
      <x:c r="V62" s="1"/>
      <x:c r="W62" s="1"/>
      <x:c r="X62" s="1"/>
      <x:c r="Y62" s="1"/>
      <x:c r="Z62" s="1"/>
    </x:row>
    <x:row r="63" ht="58" customHeight="1">
      <x:c r="A63" s="17" t="n">
        <x:v>59</x:v>
      </x:c>
      <x:c r="B63" s="17" t="str">
        <x:v>B</x:v>
      </x:c>
      <x:c r="C63" s="17" t="str">
        <x:v>Cleaneye Job+</x:v>
      </x:c>
      <x:c r="D63" s="17" t="str">
        <x:v>관악구시설관리공단</x:v>
      </x:c>
      <x:c r="E63" s="17" t="str">
        <x:v>2026년 제4회 관악구시설관리공단 공무직 공개경쟁채용 공고</x:v>
      </x:c>
      <x:c r="F63" s="17" t="str">
        <x:v>신입</x:v>
      </x:c>
      <x:c r="G63" s="17" t="str">
        <x:v>무기계약직</x:v>
      </x:c>
      <x:c r="H63" s="17" t="str">
        <x:v>서울특별시</x:v>
      </x:c>
      <x:c r="I63" s="17" t="str">
        <x:v>명시 없음(원문 확인)</x:v>
      </x:c>
      <x:c r="J63" s="17" t="str">
        <x:v>2026-09-13</x:v>
      </x:c>
      <x:c r="K63" s="17" t="str">
        <x:v>무기계약·공무직</x:v>
      </x:c>
      <x:c r="L63" s="17" t="str">
        <x:v>검토</x:v>
      </x:c>
      <x:c r="M63" s="17" t="str">
        <x:v>제한 문구 미탐지</x:v>
      </x:c>
      <x:c r="N63" s="17" t="str">
        <x:v>포털 목록 확인</x:v>
      </x:c>
      <x:c r="O63" s="17" t="str">
        <x:v>기관 공고 원문 확인</x:v>
      </x:c>
      <x:c r="P63" s="17" t="str">
        <x:v>기관 공고 원문 확인</x:v>
      </x:c>
      <x:c r="Q63" s="17" t="str">
        <x:v>기관 공고 원문 확인</x:v>
      </x:c>
      <x:c r="R63" s="17" t="str">
        <x:v>기관 공고 원문 확인</x:v>
      </x:c>
      <x:c r="S63" s="18" t="str">
        <x:v>https://job.cleaneye.go.kr/user/ypRecruitment.do</x:v>
      </x:c>
      <x:c r="T63" s="1"/>
      <x:c r="U63" s="1"/>
      <x:c r="V63" s="1"/>
      <x:c r="W63" s="1"/>
      <x:c r="X63" s="1"/>
      <x:c r="Y63" s="1"/>
      <x:c r="Z63" s="1"/>
    </x:row>
    <x:row r="64" ht="58" customHeight="1">
      <x:c r="A64" s="17" t="n">
        <x:v>60</x:v>
      </x:c>
      <x:c r="B64" s="17" t="str">
        <x:v>B</x:v>
      </x:c>
      <x:c r="C64" s="17" t="str">
        <x:v>Cleaneye Job+</x:v>
      </x:c>
      <x:c r="D64" s="17" t="str">
        <x:v>강원특별자치도강릉의료원</x:v>
      </x:c>
      <x:c r="E64" s="17" t="str">
        <x:v>공고2026-66호 공무직 장례식장 조리원</x:v>
      </x:c>
      <x:c r="F64" s="17" t="str">
        <x:v>신입+경력</x:v>
      </x:c>
      <x:c r="G64" s="17" t="str">
        <x:v>무기계약직</x:v>
      </x:c>
      <x:c r="H64" s="17" t="str">
        <x:v>강원특별자치도</x:v>
      </x:c>
      <x:c r="I64" s="17" t="str">
        <x:v>명시 없음(원문 확인)</x:v>
      </x:c>
      <x:c r="J64" s="17" t="str">
        <x:v>2026-09-14</x:v>
      </x:c>
      <x:c r="K64" s="17" t="str">
        <x:v>무기계약·공무직</x:v>
      </x:c>
      <x:c r="L64" s="17" t="str">
        <x:v>검토</x:v>
      </x:c>
      <x:c r="M64" s="17" t="str">
        <x:v>제한 문구 미탐지</x:v>
      </x:c>
      <x:c r="N64" s="17" t="str">
        <x:v>포털 목록 확인</x:v>
      </x:c>
      <x:c r="O64" s="17" t="str">
        <x:v>기관 공고 원문 확인</x:v>
      </x:c>
      <x:c r="P64" s="17" t="str">
        <x:v>기관 공고 원문 확인</x:v>
      </x:c>
      <x:c r="Q64" s="17" t="str">
        <x:v>기관 공고 원문 확인</x:v>
      </x:c>
      <x:c r="R64" s="17" t="str">
        <x:v>기관 공고 원문 확인</x:v>
      </x:c>
      <x:c r="S64" s="18" t="str">
        <x:v>https://job.cleaneye.go.kr/user/ypRecruitment.do</x:v>
      </x:c>
      <x:c r="T64" s="1"/>
      <x:c r="U64" s="1"/>
      <x:c r="V64" s="1"/>
      <x:c r="W64" s="1"/>
      <x:c r="X64" s="1"/>
      <x:c r="Y64" s="1"/>
      <x:c r="Z64" s="1"/>
    </x:row>
    <x:row r="65" ht="58" customHeight="1">
      <x:c r="A65" s="17" t="n">
        <x:v>61</x:v>
      </x:c>
      <x:c r="B65" s="17" t="str">
        <x:v>B</x:v>
      </x:c>
      <x:c r="C65" s="17" t="str">
        <x:v>Cleaneye Job+</x:v>
      </x:c>
      <x:c r="D65" s="17" t="str">
        <x:v>울진군의료원</x:v>
      </x:c>
      <x:c r="E65" s="17" t="str">
        <x:v>울진군의료원 직원채용공고(간호조무사)</x:v>
      </x:c>
      <x:c r="F65" s="17" t="str">
        <x:v>신입+경력</x:v>
      </x:c>
      <x:c r="G65" s="17" t="str">
        <x:v>무기계약직</x:v>
      </x:c>
      <x:c r="H65" s="17" t="str">
        <x:v>경상북도</x:v>
      </x:c>
      <x:c r="I65" s="17" t="str">
        <x:v>명시 없음(원문 확인)</x:v>
      </x:c>
      <x:c r="J65" s="17" t="str">
        <x:v>2026-09-14</x:v>
      </x:c>
      <x:c r="K65" s="17" t="str">
        <x:v>무기계약·공무직</x:v>
      </x:c>
      <x:c r="L65" s="17" t="str">
        <x:v>검토</x:v>
      </x:c>
      <x:c r="M65" s="17" t="str">
        <x:v>제한 문구 미탐지</x:v>
      </x:c>
      <x:c r="N65" s="17" t="str">
        <x:v>포털 목록 확인</x:v>
      </x:c>
      <x:c r="O65" s="17" t="str">
        <x:v>기관 공고 원문 확인</x:v>
      </x:c>
      <x:c r="P65" s="17" t="str">
        <x:v>기관 공고 원문 확인</x:v>
      </x:c>
      <x:c r="Q65" s="17" t="str">
        <x:v>기관 공고 원문 확인</x:v>
      </x:c>
      <x:c r="R65" s="17" t="str">
        <x:v>기관 공고 원문 확인</x:v>
      </x:c>
      <x:c r="S65" s="18" t="str">
        <x:v>https://job.cleaneye.go.kr/user/ypRecruitment.do</x:v>
      </x:c>
      <x:c r="T65" s="1"/>
      <x:c r="U65" s="1"/>
      <x:c r="V65" s="1"/>
      <x:c r="W65" s="1"/>
      <x:c r="X65" s="1"/>
      <x:c r="Y65" s="1"/>
      <x:c r="Z65" s="1"/>
    </x:row>
    <x:row r="66" ht="58" customHeight="1">
      <x:c r="A66" s="17" t="n">
        <x:v>62</x:v>
      </x:c>
      <x:c r="B66" s="17" t="str">
        <x:v>B</x:v>
      </x:c>
      <x:c r="C66" s="17" t="str">
        <x:v>Cleaneye Job+</x:v>
      </x:c>
      <x:c r="D66" s="17" t="str">
        <x:v>충청남도개발공사</x:v>
      </x:c>
      <x:c r="E66" s="17" t="str">
        <x:v>2026년 충청남도개발공사 무기계약직 사원 모집 공고(일반공개경쟁)</x:v>
      </x:c>
      <x:c r="F66" s="17" t="str">
        <x:v>신입</x:v>
      </x:c>
      <x:c r="G66" s="17" t="str">
        <x:v>무기계약직</x:v>
      </x:c>
      <x:c r="H66" s="17" t="str">
        <x:v>충청남도</x:v>
      </x:c>
      <x:c r="I66" s="17" t="str">
        <x:v>충청남도</x:v>
      </x:c>
      <x:c r="J66" s="17" t="str">
        <x:v>2026-09-14</x:v>
      </x:c>
      <x:c r="K66" s="17" t="str">
        <x:v>무기계약·공무직</x:v>
      </x:c>
      <x:c r="L66" s="17" t="str">
        <x:v>검토</x:v>
      </x:c>
      <x:c r="M66" s="17" t="str">
        <x:v>제한 문구 미탐지</x:v>
      </x:c>
      <x:c r="N66" s="17" t="str">
        <x:v>포털 목록 확인</x:v>
      </x:c>
      <x:c r="O66" s="17" t="str">
        <x:v>기관 공고 원문 확인</x:v>
      </x:c>
      <x:c r="P66" s="17" t="str">
        <x:v>기관 공고 원문 확인</x:v>
      </x:c>
      <x:c r="Q66" s="17" t="str">
        <x:v>기관 공고 원문 확인</x:v>
      </x:c>
      <x:c r="R66" s="17" t="str">
        <x:v>기관 공고 원문 확인</x:v>
      </x:c>
      <x:c r="S66" s="18" t="str">
        <x:v>https://job.cleaneye.go.kr/user/ypRecruitment.do</x:v>
      </x:c>
      <x:c r="T66" s="1"/>
      <x:c r="U66" s="1"/>
      <x:c r="V66" s="1"/>
      <x:c r="W66" s="1"/>
      <x:c r="X66" s="1"/>
      <x:c r="Y66" s="1"/>
      <x:c r="Z66" s="1"/>
    </x:row>
    <x:row r="67" ht="58" customHeight="1">
      <x:c r="A67" s="17" t="n">
        <x:v>63</x:v>
      </x:c>
      <x:c r="B67" s="17" t="str">
        <x:v>B</x:v>
      </x:c>
      <x:c r="C67" s="17" t="str">
        <x:v>JOB-ALIO</x:v>
      </x:c>
      <x:c r="D67" s="17" t="str">
        <x:v>한국지능정보사회진흥원</x:v>
      </x:c>
      <x:c r="E67" s="17" t="str">
        <x:v>2026년 한국지능정보사회진흥원 하반기 정규직 및 무기계약직(일반직) 채용공고</x:v>
      </x:c>
      <x:c r="F67" s="17" t="str">
        <x:v>신입+경력</x:v>
      </x:c>
      <x:c r="G67" s="17" t="str">
        <x:v>무기계약직 외 1</x:v>
      </x:c>
      <x:c r="H67" s="17" t="str">
        <x:v>대구 외 1</x:v>
      </x:c>
      <x:c r="I67" s="17" t="str">
        <x:v>상세공고 확인</x:v>
      </x:c>
      <x:c r="J67" s="17" t="str">
        <x:v>2026-09-14</x:v>
      </x:c>
      <x:c r="K67" s="17" t="str">
        <x:v>무기계약·공무직</x:v>
      </x:c>
      <x:c r="L67" s="17" t="str">
        <x:v>검토</x:v>
      </x:c>
      <x:c r="M67" s="17" t="str">
        <x:v>제한 문구 미탐지</x:v>
      </x:c>
      <x:c r="N67" s="17" t="str">
        <x:v>상세 페이지 확인</x:v>
      </x:c>
      <x:c r="O67" s="17" t="str">
        <x:v>- 블라인드 채용에 따른 학력, 전공, 성별, 어학성적 등 제한없음(단, 지원분야별 조건 상이) [NIA의 일반직 정년(만 60세)을 초과한 자는 지원 불가] - 해외여행에 결격사유가 없는 자 - 채용 즉시 근무가 가능한 자, 전일근무 가능자 - 한국지능정보사회진흥원 인사규정 제6조(결격사유)에 해당하지 않는 자 분야별 자격요건 관련 자세한 내용은 첨부파일의 채용공고문을 참조바람.</x:v>
      </x:c>
      <x:c r="P67" s="17" t="str">
        <x:v>모집분야별 전형절차 및 방법은 첨부파일의 채용공고문을 참조</x:v>
      </x:c>
      <x:c r="Q67" s="17" t="str">
        <x:v>상세공고 확인</x:v>
      </x:c>
      <x:c r="R67" s="17" t="str">
        <x:v>어학</x:v>
      </x:c>
      <x:c r="S67" s="18" t="str">
        <x:v>https://job.alio.go.kr/recruitview.do?idx=304405</x:v>
      </x:c>
      <x:c r="T67" s="1"/>
      <x:c r="U67" s="1"/>
      <x:c r="V67" s="1"/>
      <x:c r="W67" s="1"/>
      <x:c r="X67" s="1"/>
      <x:c r="Y67" s="1"/>
      <x:c r="Z67" s="1"/>
    </x:row>
    <x:row r="68" ht="58" customHeight="1">
      <x:c r="A68" s="17" t="n">
        <x:v>64</x:v>
      </x:c>
      <x:c r="B68" s="17" t="str">
        <x:v>B</x:v>
      </x:c>
      <x:c r="C68" s="17" t="str">
        <x:v>Cleaneye Job+</x:v>
      </x:c>
      <x:c r="D68" s="17" t="str">
        <x:v>화성도시공사</x:v>
      </x:c>
      <x:c r="E68" s="17" t="str">
        <x:v>2026년 제2회 업무직 공개채용 시행계획 공고</x:v>
      </x:c>
      <x:c r="F68" s="17" t="str">
        <x:v>신입</x:v>
      </x:c>
      <x:c r="G68" s="17" t="str">
        <x:v>무기계약직</x:v>
      </x:c>
      <x:c r="H68" s="17" t="str">
        <x:v>경기도</x:v>
      </x:c>
      <x:c r="I68" s="17" t="str">
        <x:v>명시 없음(원문 확인)</x:v>
      </x:c>
      <x:c r="J68" s="17" t="str">
        <x:v>2026-09-14</x:v>
      </x:c>
      <x:c r="K68" s="17" t="str">
        <x:v>무기계약·공무직</x:v>
      </x:c>
      <x:c r="L68" s="17" t="str">
        <x:v>검토</x:v>
      </x:c>
      <x:c r="M68" s="17" t="str">
        <x:v>제한 문구 미탐지</x:v>
      </x:c>
      <x:c r="N68" s="17" t="str">
        <x:v>포털 목록 확인</x:v>
      </x:c>
      <x:c r="O68" s="17" t="str">
        <x:v>기관 공고 원문 확인</x:v>
      </x:c>
      <x:c r="P68" s="17" t="str">
        <x:v>기관 공고 원문 확인</x:v>
      </x:c>
      <x:c r="Q68" s="17" t="str">
        <x:v>기관 공고 원문 확인</x:v>
      </x:c>
      <x:c r="R68" s="17" t="str">
        <x:v>기관 공고 원문 확인</x:v>
      </x:c>
      <x:c r="S68" s="18" t="str">
        <x:v>https://job.cleaneye.go.kr/user/ypRecruitment.do</x:v>
      </x:c>
      <x:c r="T68" s="1"/>
      <x:c r="U68" s="1"/>
      <x:c r="V68" s="1"/>
      <x:c r="W68" s="1"/>
      <x:c r="X68" s="1"/>
      <x:c r="Y68" s="1"/>
      <x:c r="Z68" s="1"/>
    </x:row>
    <x:row r="69" ht="58" customHeight="1">
      <x:c r="A69" s="17" t="n">
        <x:v>65</x:v>
      </x:c>
      <x:c r="B69" s="17" t="str">
        <x:v>B</x:v>
      </x:c>
      <x:c r="C69" s="17" t="str">
        <x:v>Cleaneye Job+</x:v>
      </x:c>
      <x:c r="D69" s="17" t="str">
        <x:v>화성도시공사</x:v>
      </x:c>
      <x:c r="E69" s="17" t="str">
        <x:v>2026년 제2회 운수직 공개채용 시행계획 공고</x:v>
      </x:c>
      <x:c r="F69" s="17" t="str">
        <x:v>신입</x:v>
      </x:c>
      <x:c r="G69" s="17" t="str">
        <x:v>무기계약직</x:v>
      </x:c>
      <x:c r="H69" s="17" t="str">
        <x:v>경기도</x:v>
      </x:c>
      <x:c r="I69" s="17" t="str">
        <x:v>명시 없음(원문 확인)</x:v>
      </x:c>
      <x:c r="J69" s="17" t="str">
        <x:v>2026-09-14</x:v>
      </x:c>
      <x:c r="K69" s="17" t="str">
        <x:v>무기계약·공무직</x:v>
      </x:c>
      <x:c r="L69" s="17" t="str">
        <x:v>검토</x:v>
      </x:c>
      <x:c r="M69" s="17" t="str">
        <x:v>제한 문구 미탐지</x:v>
      </x:c>
      <x:c r="N69" s="17" t="str">
        <x:v>포털 목록 확인</x:v>
      </x:c>
      <x:c r="O69" s="17" t="str">
        <x:v>기관 공고 원문 확인</x:v>
      </x:c>
      <x:c r="P69" s="17" t="str">
        <x:v>기관 공고 원문 확인</x:v>
      </x:c>
      <x:c r="Q69" s="17" t="str">
        <x:v>기관 공고 원문 확인</x:v>
      </x:c>
      <x:c r="R69" s="17" t="str">
        <x:v>기관 공고 원문 확인</x:v>
      </x:c>
      <x:c r="S69" s="18" t="str">
        <x:v>https://job.cleaneye.go.kr/user/ypRecruitment.do</x:v>
      </x:c>
      <x:c r="T69" s="1"/>
      <x:c r="U69" s="1"/>
      <x:c r="V69" s="1"/>
      <x:c r="W69" s="1"/>
      <x:c r="X69" s="1"/>
      <x:c r="Y69" s="1"/>
      <x:c r="Z69" s="1"/>
    </x:row>
    <x:row r="70" ht="58" customHeight="1">
      <x:c r="A70" s="17" t="n">
        <x:v>66</x:v>
      </x:c>
      <x:c r="B70" s="17" t="str">
        <x:v>B</x:v>
      </x:c>
      <x:c r="C70" s="17" t="str">
        <x:v>JOB-ALIO</x:v>
      </x:c>
      <x:c r="D70" s="17" t="str">
        <x:v>한국로봇산업진흥원</x:v>
      </x:c>
      <x:c r="E70" s="17" t="str">
        <x:v>2026년 제2차 한국로봇산업진흥원 신규직원 채용</x:v>
      </x:c>
      <x:c r="F70" s="17" t="str">
        <x:v>신입</x:v>
      </x:c>
      <x:c r="G70" s="17" t="str">
        <x:v>무기계약직 외 3</x:v>
      </x:c>
      <x:c r="H70" s="17" t="str">
        <x:v>대구</x:v>
      </x:c>
      <x:c r="I70" s="17" t="str">
        <x:v>상세공고 확인</x:v>
      </x:c>
      <x:c r="J70" s="17" t="str">
        <x:v>2026-09-15</x:v>
      </x:c>
      <x:c r="K70" s="17" t="str">
        <x:v>무기계약·공무직</x:v>
      </x:c>
      <x:c r="L70" s="17" t="str">
        <x:v>검토</x:v>
      </x:c>
      <x:c r="M70" s="17" t="str">
        <x:v>제한 문구 미탐지</x:v>
      </x:c>
      <x:c r="N70" s="17" t="str">
        <x:v>상세 페이지 확인</x:v>
      </x:c>
      <x:c r="O70" s="17" t="str">
        <x:v>ㅇ 학력 : 무관 ㅇ 전공 : 무관 ㅇ 경력 : 무관 ㅇ 연령 : 진흥원의 정년에 의거 만 60세 미만인 자 - 상근계약직(공무직) 경비의 경우 만 65세 미만인 자 ㅇ 병역 : 군필 또는 면제자(현역의 경우 최종합격자 발표일 이전에 전역 가능한 자)</x:v>
      </x:c>
      <x:c r="P70" s="17" t="str">
        <x:v>ㅇ일반직/무기계약직 - 서류심사 : 적/부 - 필기평가 : NCS + 온라인 인성검사(적/부) - 면접시험 : 1차 직무 역량 면접, 2차 심층 역량 면접 ㅇ 계약직 - 서류심사 : 경험/경력 기술서 및 자기소개서(100점) - 필기평가 : 온라인 인성검사(적/부) - 면접시험 : 심층 역량 면접</x:v>
      </x:c>
      <x:c r="Q70" s="17" t="str">
        <x:v>ㅇ일반직/무기계약직 - 서류심사 : 적/부 - 필기평가 : NCS + 온라인 인성검사(적/부) - 면접시험 : 1차 직무 역량 면접, 2차 심층 역량 면접 ㅇ 계약직 - 서류심사 : 경험/경력 기술서 및 자기소개서(100점) - 필기평가 : 온라인 인성검사(적/부) - 면접시험 : 심층 역량 면접</x:v>
      </x:c>
      <x:c r="R70" s="17" t="str">
        <x:v>어학</x:v>
      </x:c>
      <x:c r="S70" s="18" t="str">
        <x:v>https://job.alio.go.kr/recruitview.do?idx=304439</x:v>
      </x:c>
      <x:c r="T70" s="1"/>
      <x:c r="U70" s="1"/>
      <x:c r="V70" s="1"/>
      <x:c r="W70" s="1"/>
      <x:c r="X70" s="1"/>
      <x:c r="Y70" s="1"/>
      <x:c r="Z70" s="1"/>
    </x:row>
    <x:row r="71" ht="58" customHeight="1">
      <x:c r="A71" s="17" t="n">
        <x:v>67</x:v>
      </x:c>
      <x:c r="B71" s="17" t="str">
        <x:v>B</x:v>
      </x:c>
      <x:c r="C71" s="17" t="str">
        <x:v>Cleaneye Job+</x:v>
      </x:c>
      <x:c r="D71" s="17" t="str">
        <x:v>경기도경제과학진흥원</x:v>
      </x:c>
      <x:c r="E71" s="17" t="str">
        <x:v>(2026-시설05호) 경기도경제과학진흥원 시설운영직 채용 공고</x:v>
      </x:c>
      <x:c r="F71" s="17" t="str">
        <x:v>신입</x:v>
      </x:c>
      <x:c r="G71" s="17" t="str">
        <x:v>무기계약직</x:v>
      </x:c>
      <x:c r="H71" s="17" t="str">
        <x:v>경기도</x:v>
      </x:c>
      <x:c r="I71" s="17" t="str">
        <x:v>명시 없음(원문 확인)</x:v>
      </x:c>
      <x:c r="J71" s="17" t="str">
        <x:v>2026-09-18</x:v>
      </x:c>
      <x:c r="K71" s="17" t="str">
        <x:v>무기계약·공무직</x:v>
      </x:c>
      <x:c r="L71" s="17" t="str">
        <x:v>검토</x:v>
      </x:c>
      <x:c r="M71" s="17" t="str">
        <x:v>제한 문구 미탐지</x:v>
      </x:c>
      <x:c r="N71" s="17" t="str">
        <x:v>포털 목록 확인</x:v>
      </x:c>
      <x:c r="O71" s="17" t="str">
        <x:v>기관 공고 원문 확인</x:v>
      </x:c>
      <x:c r="P71" s="17" t="str">
        <x:v>기관 공고 원문 확인</x:v>
      </x:c>
      <x:c r="Q71" s="17" t="str">
        <x:v>기관 공고 원문 확인</x:v>
      </x:c>
      <x:c r="R71" s="17" t="str">
        <x:v>기관 공고 원문 확인</x:v>
      </x:c>
      <x:c r="S71" s="18" t="str">
        <x:v>https://job.cleaneye.go.kr/user/ypRecruitment.do</x:v>
      </x:c>
      <x:c r="T71" s="1"/>
      <x:c r="U71" s="1"/>
      <x:c r="V71" s="1"/>
      <x:c r="W71" s="1"/>
      <x:c r="X71" s="1"/>
      <x:c r="Y71" s="1"/>
      <x:c r="Z71" s="1"/>
    </x:row>
    <x:row r="72" ht="58" customHeight="1">
      <x:c r="A72" s="17" t="n">
        <x:v>68</x:v>
      </x:c>
      <x:c r="B72" s="17" t="str">
        <x:v>B</x:v>
      </x:c>
      <x:c r="C72" s="17" t="str">
        <x:v>JOB-ALIO</x:v>
      </x:c>
      <x:c r="D72" s="17" t="str">
        <x:v>한국수목원정원관리원</x:v>
      </x:c>
      <x:c r="E72" s="17" t="str">
        <x:v>한국수목원정원관리원 2026년 제3차 신규직원 채용 공고</x:v>
      </x:c>
      <x:c r="F72" s="17" t="str">
        <x:v>신입+경력</x:v>
      </x:c>
      <x:c r="G72" s="17" t="str">
        <x:v>무기계약직 외 1</x:v>
      </x:c>
      <x:c r="H72" s="17" t="str">
        <x:v>강원 외 3</x:v>
      </x:c>
      <x:c r="I72" s="17" t="str">
        <x:v>상세공고 확인</x:v>
      </x:c>
      <x:c r="J72" s="17" t="str">
        <x:v>2026-09-21</x:v>
      </x:c>
      <x:c r="K72" s="17" t="str">
        <x:v>무기계약·공무직</x:v>
      </x:c>
      <x:c r="L72" s="17" t="str">
        <x:v>검토</x:v>
      </x:c>
      <x:c r="M72" s="17" t="str">
        <x:v>제한 문구 미탐지</x:v>
      </x:c>
      <x:c r="N72" s="17" t="str">
        <x:v>상세 페이지 확인</x:v>
      </x:c>
      <x:c r="O72" s="17" t="str">
        <x:v>(일반직) - 4급 : 1. 정부, 공공기관, 사기업 등에서 채용예정 직무 관련 3년 이상 경력이 있는 자 2. 채용직무별 필수자격 사항을 충족하는 자 (일반직, 전시직) - 5급가 : 채용예정 직무를 수행할 수 있다고 인정되는 자(채용직무별 필수자격 및 우대사항 참조) - 5급나 : 공고시작일 기준 최종 학력이 고등학교 졸업(예정)자 중에서 대학에 진학한 적이 없고 학교장 추천을 받은 자 (전문직) - 5급가 : 채용예정 직무 분야와 관련하여 석사학위 이상 취득자 (공무직) - 채용예정 직무를 수행할 수 있다고 인정되는 자(채용직무별 필수자격 및 우대사항 참조) ※ 보다 자세한 사항은 첨부된 채용공고문 참조</x:v>
      </x:c>
      <x:c r="P72" s="17" t="str">
        <x:v>(일반직 4급) - 1차(서류) 전형 : 5배수, 경력사항, 자격증, 직무수행계획서 및 자기소개서 - 2차(면접) 전형 : AI면접, 직무발표, 구조화 면접 (일반직, 전시직 5급가·나) - 1차(서류) 전형 : 15배수, 자격증, 영어시험(일반행정만 해당), 직무수행계획서 및 자기소개서 - 2차(필기) 전형 : 5배수, 직무상식시험, 직업기초능력검사, 인성검사 - 3차(면접) 전형 : AI면접, 토론면접, 구조화 면접 (전문직 5급가) - 1차(서류) 전형 : 10배수, 논문(연구실적), 직무수행계획서 및 자기소개서 - 2차(필기) 전형 : 5배수, 직업기초능력검사, 인성검사 - 3차(면접) 전형 : AI면접, 논문실적 발표, 구조화 면접 (공무직) - 1차(서류)전형 : 5배수, 자격증, 직무수행계획서 및 자기소개서 - 2차(면접)전형 : 구조화 면접 ※ 보다 자세한 사항은 첨부된 채용공고문 참조</x:v>
      </x:c>
      <x:c r="Q72" s="17" t="str">
        <x:v>(일반직 4급) - 1차(서류) 전형 : 5배수, 경력사항, 자격증, 직무수행계획서 및 자기소개서 - 2차(면접) 전형 : AI면접, 직무발표, 구조화 면접 (일반직, 전시직 5급가·나) - 1차(서류) 전형 : 15배수, 자격증, 영어시험(일반행정만 해당), 직무수행계획서 및 자기소개서 - 2차(필기) 전형 : 5배수, 직무상식시험, 직업기초능력검사, 인성검사 - 3차(면접) 전형 : AI면접, 토론면접, 구조화 면접 (전문직 5급가) - 1차(서류) 전형 : 10배수, 논문(연구실적), 직무수행계획서 및 자기소개서 - 2차(필기) 전형 : 5배수, 직업기초능력검사, 인성검사 - 3차(면접) 전형 : AI면접, 논문실적 발표, 구조화 면접 (공무직) - 1차(서류)전형 : 5배수, 자격증, 직무수행계획서 및 자기소개서 - 2차(면접)전형 : 구조화 면접 ※ 보다 자세한 사항은 첨부된 채용공고문 참조</x:v>
      </x:c>
      <x:c r="R72" s="17" t="str">
        <x:v>한국사</x:v>
      </x:c>
      <x:c r="S72" s="18" t="str">
        <x:v>https://job.alio.go.kr/recruitview.do?idx=304713</x:v>
      </x:c>
      <x:c r="T72" s="1"/>
      <x:c r="U72" s="1"/>
      <x:c r="V72" s="1"/>
      <x:c r="W72" s="1"/>
      <x:c r="X72" s="1"/>
      <x:c r="Y72" s="1"/>
      <x:c r="Z72" s="1"/>
    </x:row>
    <x:row r="73" ht="58" customHeight="1">
      <x:c r="A73" s="17" t="n">
        <x:v>69</x:v>
      </x:c>
      <x:c r="B73" s="17" t="str">
        <x:v>B</x:v>
      </x:c>
      <x:c r="C73" s="17" t="str">
        <x:v>Cleaneye Job+</x:v>
      </x:c>
      <x:c r="D73" s="17" t="str">
        <x:v>인천연구원</x:v>
      </x:c>
      <x:c r="E73" s="17" t="str">
        <x:v>2026년도 제3차 인천연구원 직원(연구지원직) 공개채용 공고</x:v>
      </x:c>
      <x:c r="F73" s="17" t="str">
        <x:v>신입+경력</x:v>
      </x:c>
      <x:c r="G73" s="17" t="str">
        <x:v>무기계약직</x:v>
      </x:c>
      <x:c r="H73" s="17" t="str">
        <x:v>인천광역시</x:v>
      </x:c>
      <x:c r="I73" s="17" t="str">
        <x:v>명시 없음(원문 확인)</x:v>
      </x:c>
      <x:c r="J73" s="17" t="str">
        <x:v>2026-09-22</x:v>
      </x:c>
      <x:c r="K73" s="17" t="str">
        <x:v>무기계약·공무직</x:v>
      </x:c>
      <x:c r="L73" s="17" t="str">
        <x:v>검토</x:v>
      </x:c>
      <x:c r="M73" s="17" t="str">
        <x:v>제한 문구 미탐지</x:v>
      </x:c>
      <x:c r="N73" s="17" t="str">
        <x:v>포털 목록 확인</x:v>
      </x:c>
      <x:c r="O73" s="17" t="str">
        <x:v>기관 공고 원문 확인</x:v>
      </x:c>
      <x:c r="P73" s="17" t="str">
        <x:v>기관 공고 원문 확인</x:v>
      </x:c>
      <x:c r="Q73" s="17" t="str">
        <x:v>기관 공고 원문 확인</x:v>
      </x:c>
      <x:c r="R73" s="17" t="str">
        <x:v>기관 공고 원문 확인</x:v>
      </x:c>
      <x:c r="S73" s="18" t="str">
        <x:v>https://job.cleaneye.go.kr/user/ypRecruitment.do</x:v>
      </x:c>
      <x:c r="T73" s="1"/>
      <x:c r="U73" s="1"/>
      <x:c r="V73" s="1"/>
      <x:c r="W73" s="1"/>
      <x:c r="X73" s="1"/>
      <x:c r="Y73" s="1"/>
      <x:c r="Z73" s="1"/>
    </x:row>
    <x:row r="74" ht="58" customHeight="1">
      <x:c r="A74" s="17" t="n">
        <x:v>70</x:v>
      </x:c>
      <x:c r="B74" s="17" t="str">
        <x:v>B</x:v>
      </x:c>
      <x:c r="C74" s="17" t="str">
        <x:v>Cleaneye Job+</x:v>
      </x:c>
      <x:c r="D74" s="17" t="str">
        <x:v>제주특별자치도경제통상진흥원</x:v>
      </x:c>
      <x:c r="E74" s="17" t="str">
        <x:v>2026년 제3회 제주특별자치 공공기관 통합채용 제주특별자치도경제통상진흥원 정규직원 채용 공고</x:v>
      </x:c>
      <x:c r="F74" s="17" t="str">
        <x:v>신입+경력</x:v>
      </x:c>
      <x:c r="G74" s="17" t="str">
        <x:v>무기계약직</x:v>
      </x:c>
      <x:c r="H74" s="17" t="str">
        <x:v>제주특별자치도</x:v>
      </x:c>
      <x:c r="I74" s="17" t="str">
        <x:v>제주특별자치도</x:v>
      </x:c>
      <x:c r="J74" s="17" t="str">
        <x:v>2026-09-22</x:v>
      </x:c>
      <x:c r="K74" s="17" t="str">
        <x:v>무기계약·공무직</x:v>
      </x:c>
      <x:c r="L74" s="17" t="str">
        <x:v>검토</x:v>
      </x:c>
      <x:c r="M74" s="17" t="str">
        <x:v>제한 문구 미탐지</x:v>
      </x:c>
      <x:c r="N74" s="17" t="str">
        <x:v>포털 목록 확인</x:v>
      </x:c>
      <x:c r="O74" s="17" t="str">
        <x:v>기관 공고 원문 확인</x:v>
      </x:c>
      <x:c r="P74" s="17" t="str">
        <x:v>기관 공고 원문 확인</x:v>
      </x:c>
      <x:c r="Q74" s="17" t="str">
        <x:v>기관 공고 원문 확인</x:v>
      </x:c>
      <x:c r="R74" s="17" t="str">
        <x:v>기관 공고 원문 확인</x:v>
      </x:c>
      <x:c r="S74" s="18" t="str">
        <x:v>https://job.cleaneye.go.kr/user/ypRecruitment.do</x:v>
      </x:c>
      <x:c r="T74" s="1"/>
      <x:c r="U74" s="1"/>
      <x:c r="V74" s="1"/>
      <x:c r="W74" s="1"/>
      <x:c r="X74" s="1"/>
      <x:c r="Y74" s="1"/>
      <x:c r="Z74" s="1"/>
    </x:row>
    <x:row r="75" ht="58" customHeight="1">
      <x:c r="A75" s="17" t="n">
        <x:v>71</x:v>
      </x:c>
      <x:c r="B75" s="17" t="str">
        <x:v>B</x:v>
      </x:c>
      <x:c r="C75" s="17" t="str">
        <x:v>Cleaneye Job+</x:v>
      </x:c>
      <x:c r="D75" s="17" t="str">
        <x:v>(재)진주바이오산업진흥원</x:v>
      </x:c>
      <x:c r="E75" s="17" t="str">
        <x:v>2026년 진주바이오산업진흥원 기간제(과제연구원) 공개채용 공고</x:v>
      </x:c>
      <x:c r="F75" s="17" t="str">
        <x:v>신입+경력</x:v>
      </x:c>
      <x:c r="G75" s="17" t="str">
        <x:v>기간제</x:v>
      </x:c>
      <x:c r="H75" s="17" t="str">
        <x:v>경상남도</x:v>
      </x:c>
      <x:c r="I75" s="17" t="str">
        <x:v>명시 없음(원문 확인)</x:v>
      </x:c>
      <x:c r="J75" s="17" t="str">
        <x:v>2026-09-09</x:v>
      </x:c>
      <x:c r="K75" s="17" t="str">
        <x:v>기간제·비정규</x:v>
      </x:c>
      <x:c r="L75" s="17" t="str">
        <x:v>검토</x:v>
      </x:c>
      <x:c r="M75" s="17" t="str">
        <x:v>제한 문구 미탐지</x:v>
      </x:c>
      <x:c r="N75" s="17" t="str">
        <x:v>포털 목록 확인</x:v>
      </x:c>
      <x:c r="O75" s="17" t="str">
        <x:v>기관 공고 원문 확인</x:v>
      </x:c>
      <x:c r="P75" s="17" t="str">
        <x:v>기관 공고 원문 확인</x:v>
      </x:c>
      <x:c r="Q75" s="17" t="str">
        <x:v>기관 공고 원문 확인</x:v>
      </x:c>
      <x:c r="R75" s="17" t="str">
        <x:v>기관 공고 원문 확인</x:v>
      </x:c>
      <x:c r="S75" s="18" t="str">
        <x:v>https://job.cleaneye.go.kr/user/ypRecruitment.do</x:v>
      </x:c>
      <x:c r="T75" s="1"/>
      <x:c r="U75" s="1"/>
      <x:c r="V75" s="1"/>
      <x:c r="W75" s="1"/>
      <x:c r="X75" s="1"/>
      <x:c r="Y75" s="1"/>
      <x:c r="Z75" s="1"/>
    </x:row>
    <x:row r="76" ht="58" customHeight="1">
      <x:c r="A76" s="17" t="n">
        <x:v>72</x:v>
      </x:c>
      <x:c r="B76" s="17" t="str">
        <x:v>B</x:v>
      </x:c>
      <x:c r="C76" s="17" t="str">
        <x:v>Cleaneye Job+</x:v>
      </x:c>
      <x:c r="D76" s="17" t="str">
        <x:v>경북행복재단</x:v>
      </x:c>
      <x:c r="E76" s="17" t="str">
        <x:v>경상북도청소년상담복지센터 기간제 직용 채용계획 공고(팀원,임상심리사)</x:v>
      </x:c>
      <x:c r="F76" s="17" t="str">
        <x:v>신입+경력</x:v>
      </x:c>
      <x:c r="G76" s="17" t="str">
        <x:v>기간제</x:v>
      </x:c>
      <x:c r="H76" s="17" t="str">
        <x:v>경상북도</x:v>
      </x:c>
      <x:c r="I76" s="17" t="str">
        <x:v>명시 없음(원문 확인)</x:v>
      </x:c>
      <x:c r="J76" s="17" t="str">
        <x:v>2026-09-09</x:v>
      </x:c>
      <x:c r="K76" s="17" t="str">
        <x:v>기간제·비정규</x:v>
      </x:c>
      <x:c r="L76" s="17" t="str">
        <x:v>검토</x:v>
      </x:c>
      <x:c r="M76" s="17" t="str">
        <x:v>제한 문구 미탐지</x:v>
      </x:c>
      <x:c r="N76" s="17" t="str">
        <x:v>포털 목록 확인</x:v>
      </x:c>
      <x:c r="O76" s="17" t="str">
        <x:v>기관 공고 원문 확인</x:v>
      </x:c>
      <x:c r="P76" s="17" t="str">
        <x:v>기관 공고 원문 확인</x:v>
      </x:c>
      <x:c r="Q76" s="17" t="str">
        <x:v>기관 공고 원문 확인</x:v>
      </x:c>
      <x:c r="R76" s="17" t="str">
        <x:v>기관 공고 원문 확인</x:v>
      </x:c>
      <x:c r="S76" s="18" t="str">
        <x:v>https://job.cleaneye.go.kr/user/ypRecruitment.do</x:v>
      </x:c>
      <x:c r="T76" s="1"/>
      <x:c r="U76" s="1"/>
      <x:c r="V76" s="1"/>
      <x:c r="W76" s="1"/>
      <x:c r="X76" s="1"/>
      <x:c r="Y76" s="1"/>
      <x:c r="Z76" s="1"/>
    </x:row>
    <x:row r="77" ht="58" customHeight="1">
      <x:c r="A77" s="17" t="n">
        <x:v>73</x:v>
      </x:c>
      <x:c r="B77" s="17" t="str">
        <x:v>B</x:v>
      </x:c>
      <x:c r="C77" s="17" t="str">
        <x:v>Cleaneye Job+</x:v>
      </x:c>
      <x:c r="D77" s="17" t="str">
        <x:v>과천도시공사</x:v>
      </x:c>
      <x:c r="E77" s="17" t="str">
        <x:v>공고 제2026-136호 과천도시공사 여가체육부 체육관(농구, 검도)상상하랑(스내그골프)초단시간강사 채용공고 2차</x:v>
      </x:c>
      <x:c r="F77" s="17" t="str">
        <x:v>신입+경력</x:v>
      </x:c>
      <x:c r="G77" s="17" t="str">
        <x:v>기간제</x:v>
      </x:c>
      <x:c r="H77" s="17" t="str">
        <x:v>경기도</x:v>
      </x:c>
      <x:c r="I77" s="17" t="str">
        <x:v>명시 없음(원문 확인)</x:v>
      </x:c>
      <x:c r="J77" s="17" t="str">
        <x:v>2026-09-09</x:v>
      </x:c>
      <x:c r="K77" s="17" t="str">
        <x:v>기간제·비정규</x:v>
      </x:c>
      <x:c r="L77" s="17" t="str">
        <x:v>검토</x:v>
      </x:c>
      <x:c r="M77" s="17" t="str">
        <x:v>제한 문구 미탐지</x:v>
      </x:c>
      <x:c r="N77" s="17" t="str">
        <x:v>포털 목록 확인</x:v>
      </x:c>
      <x:c r="O77" s="17" t="str">
        <x:v>기관 공고 원문 확인</x:v>
      </x:c>
      <x:c r="P77" s="17" t="str">
        <x:v>기관 공고 원문 확인</x:v>
      </x:c>
      <x:c r="Q77" s="17" t="str">
        <x:v>기관 공고 원문 확인</x:v>
      </x:c>
      <x:c r="R77" s="17" t="str">
        <x:v>기관 공고 원문 확인</x:v>
      </x:c>
      <x:c r="S77" s="18" t="str">
        <x:v>https://job.cleaneye.go.kr/user/ypRecruitment.do</x:v>
      </x:c>
      <x:c r="T77" s="1"/>
      <x:c r="U77" s="1"/>
      <x:c r="V77" s="1"/>
      <x:c r="W77" s="1"/>
      <x:c r="X77" s="1"/>
      <x:c r="Y77" s="1"/>
      <x:c r="Z77" s="1"/>
    </x:row>
    <x:row r="78" ht="58" customHeight="1">
      <x:c r="A78" s="17" t="n">
        <x:v>74</x:v>
      </x:c>
      <x:c r="B78" s="17" t="str">
        <x:v>B</x:v>
      </x:c>
      <x:c r="C78" s="17" t="str">
        <x:v>Cleaneye Job+</x:v>
      </x:c>
      <x:c r="D78" s="17" t="str">
        <x:v>과천도시공사</x:v>
      </x:c>
      <x:c r="E78" s="17" t="str">
        <x:v>과천갈현공공체육시설(풋살, 농구)시간강사 채용</x:v>
      </x:c>
      <x:c r="F78" s="17" t="str">
        <x:v>신입+경력</x:v>
      </x:c>
      <x:c r="G78" s="17" t="str">
        <x:v>기간제</x:v>
      </x:c>
      <x:c r="H78" s="17" t="str">
        <x:v>경기도</x:v>
      </x:c>
      <x:c r="I78" s="17" t="str">
        <x:v>명시 없음(원문 확인)</x:v>
      </x:c>
      <x:c r="J78" s="17" t="str">
        <x:v>2026-09-09</x:v>
      </x:c>
      <x:c r="K78" s="17" t="str">
        <x:v>기간제·비정규</x:v>
      </x:c>
      <x:c r="L78" s="17" t="str">
        <x:v>검토</x:v>
      </x:c>
      <x:c r="M78" s="17" t="str">
        <x:v>제한 문구 미탐지</x:v>
      </x:c>
      <x:c r="N78" s="17" t="str">
        <x:v>포털 목록 확인</x:v>
      </x:c>
      <x:c r="O78" s="17" t="str">
        <x:v>기관 공고 원문 확인</x:v>
      </x:c>
      <x:c r="P78" s="17" t="str">
        <x:v>기관 공고 원문 확인</x:v>
      </x:c>
      <x:c r="Q78" s="17" t="str">
        <x:v>기관 공고 원문 확인</x:v>
      </x:c>
      <x:c r="R78" s="17" t="str">
        <x:v>기관 공고 원문 확인</x:v>
      </x:c>
      <x:c r="S78" s="18" t="str">
        <x:v>https://job.cleaneye.go.kr/user/ypRecruitment.do</x:v>
      </x:c>
      <x:c r="T78" s="1"/>
      <x:c r="U78" s="1"/>
      <x:c r="V78" s="1"/>
      <x:c r="W78" s="1"/>
      <x:c r="X78" s="1"/>
      <x:c r="Y78" s="1"/>
      <x:c r="Z78" s="1"/>
    </x:row>
    <x:row r="79" ht="58" customHeight="1">
      <x:c r="A79" s="17" t="n">
        <x:v>75</x:v>
      </x:c>
      <x:c r="B79" s="17" t="str">
        <x:v>B</x:v>
      </x:c>
      <x:c r="C79" s="17" t="str">
        <x:v>Cleaneye Job+</x:v>
      </x:c>
      <x:c r="D79" s="17" t="str">
        <x:v>목포시의료원</x:v>
      </x:c>
      <x:c r="E79" s="17" t="str">
        <x:v>제2026-83호직원(의사직_내과, 안과, 소아청소년과, 응급실 전담의) 채용 공고</x:v>
      </x:c>
      <x:c r="F79" s="17" t="str">
        <x:v>신입+경력</x:v>
      </x:c>
      <x:c r="G79" s="17" t="str">
        <x:v>전문계약직</x:v>
      </x:c>
      <x:c r="H79" s="17" t="str">
        <x:v>전남광주통합특별시</x:v>
      </x:c>
      <x:c r="I79" s="17" t="str">
        <x:v>명시 없음(원문 확인)</x:v>
      </x:c>
      <x:c r="J79" s="17" t="str">
        <x:v>2026-09-09</x:v>
      </x:c>
      <x:c r="K79" s="17" t="str">
        <x:v>기타 채용</x:v>
      </x:c>
      <x:c r="L79" s="17" t="str">
        <x:v>검토</x:v>
      </x:c>
      <x:c r="M79" s="17" t="str">
        <x:v>제한 문구 미탐지</x:v>
      </x:c>
      <x:c r="N79" s="17" t="str">
        <x:v>포털 목록 확인</x:v>
      </x:c>
      <x:c r="O79" s="17" t="str">
        <x:v>기관 공고 원문 확인</x:v>
      </x:c>
      <x:c r="P79" s="17" t="str">
        <x:v>기관 공고 원문 확인</x:v>
      </x:c>
      <x:c r="Q79" s="17" t="str">
        <x:v>기관 공고 원문 확인</x:v>
      </x:c>
      <x:c r="R79" s="17" t="str">
        <x:v>기관 공고 원문 확인</x:v>
      </x:c>
      <x:c r="S79" s="18" t="str">
        <x:v>https://job.cleaneye.go.kr/user/ypRecruitment.do</x:v>
      </x:c>
      <x:c r="T79" s="1"/>
      <x:c r="U79" s="1"/>
      <x:c r="V79" s="1"/>
      <x:c r="W79" s="1"/>
      <x:c r="X79" s="1"/>
      <x:c r="Y79" s="1"/>
      <x:c r="Z79" s="1"/>
    </x:row>
    <x:row r="80" ht="58" customHeight="1">
      <x:c r="A80" s="17" t="n">
        <x:v>76</x:v>
      </x:c>
      <x:c r="B80" s="17" t="str">
        <x:v>B</x:v>
      </x:c>
      <x:c r="C80" s="17" t="str">
        <x:v>Cleaneye Job+</x:v>
      </x:c>
      <x:c r="D80" s="17" t="str">
        <x:v>부산환경공단</x:v>
      </x:c>
      <x:c r="E80" s="17" t="str">
        <x:v>부산환경공단 수영사업단 기간제근로자(현업보조원) 채용공고</x:v>
      </x:c>
      <x:c r="F80" s="17" t="str">
        <x:v>신입</x:v>
      </x:c>
      <x:c r="G80" s="17" t="str">
        <x:v>기간제</x:v>
      </x:c>
      <x:c r="H80" s="17" t="str">
        <x:v>부산광역시</x:v>
      </x:c>
      <x:c r="I80" s="17" t="str">
        <x:v>부산광역시</x:v>
      </x:c>
      <x:c r="J80" s="17" t="str">
        <x:v>2026-09-09</x:v>
      </x:c>
      <x:c r="K80" s="17" t="str">
        <x:v>기간제·비정규</x:v>
      </x:c>
      <x:c r="L80" s="17" t="str">
        <x:v>검토</x:v>
      </x:c>
      <x:c r="M80" s="17" t="str">
        <x:v>제한 문구 미탐지</x:v>
      </x:c>
      <x:c r="N80" s="17" t="str">
        <x:v>포털 목록 확인</x:v>
      </x:c>
      <x:c r="O80" s="17" t="str">
        <x:v>기관 공고 원문 확인</x:v>
      </x:c>
      <x:c r="P80" s="17" t="str">
        <x:v>기관 공고 원문 확인</x:v>
      </x:c>
      <x:c r="Q80" s="17" t="str">
        <x:v>기관 공고 원문 확인</x:v>
      </x:c>
      <x:c r="R80" s="17" t="str">
        <x:v>기관 공고 원문 확인</x:v>
      </x:c>
      <x:c r="S80" s="18" t="str">
        <x:v>https://job.cleaneye.go.kr/user/ypRecruitment.do</x:v>
      </x:c>
      <x:c r="T80" s="1"/>
      <x:c r="U80" s="1"/>
      <x:c r="V80" s="1"/>
      <x:c r="W80" s="1"/>
      <x:c r="X80" s="1"/>
      <x:c r="Y80" s="1"/>
      <x:c r="Z80" s="1"/>
    </x:row>
    <x:row r="81" ht="58" customHeight="1">
      <x:c r="A81" s="17" t="n">
        <x:v>77</x:v>
      </x:c>
      <x:c r="B81" s="17" t="str">
        <x:v>B</x:v>
      </x:c>
      <x:c r="C81" s="17" t="str">
        <x:v>Cleaneye Job+</x:v>
      </x:c>
      <x:c r="D81" s="17" t="str">
        <x:v>성북문화재단</x:v>
      </x:c>
      <x:c r="E81" s="17" t="str">
        <x:v>(제26-25호)성북문화재단 정규직 채용 공고(8급-사서-전산사서)</x:v>
      </x:c>
      <x:c r="F81" s="17" t="str">
        <x:v>신입</x:v>
      </x:c>
      <x:c r="G81" s="17" t="str">
        <x:v>일반정규직</x:v>
      </x:c>
      <x:c r="H81" s="17" t="str">
        <x:v>서울특별시</x:v>
      </x:c>
      <x:c r="I81" s="17" t="str">
        <x:v>명시 없음(원문 확인)</x:v>
      </x:c>
      <x:c r="J81" s="17" t="str">
        <x:v>2026-09-09</x:v>
      </x:c>
      <x:c r="K81" s="17" t="str">
        <x:v>정규직(세부 확인)</x:v>
      </x:c>
      <x:c r="L81" s="17" t="str">
        <x:v>검토</x:v>
      </x:c>
      <x:c r="M81" s="17" t="str">
        <x:v>제한 문구 미탐지</x:v>
      </x:c>
      <x:c r="N81" s="17" t="str">
        <x:v>포털 목록 확인</x:v>
      </x:c>
      <x:c r="O81" s="17" t="str">
        <x:v>기관 공고 원문 확인</x:v>
      </x:c>
      <x:c r="P81" s="17" t="str">
        <x:v>기관 공고 원문 확인</x:v>
      </x:c>
      <x:c r="Q81" s="17" t="str">
        <x:v>기관 공고 원문 확인</x:v>
      </x:c>
      <x:c r="R81" s="17" t="str">
        <x:v>기관 공고 원문 확인</x:v>
      </x:c>
      <x:c r="S81" s="18" t="str">
        <x:v>https://job.cleaneye.go.kr/user/ypRecruitment.do</x:v>
      </x:c>
      <x:c r="T81" s="1"/>
      <x:c r="U81" s="1"/>
      <x:c r="V81" s="1"/>
      <x:c r="W81" s="1"/>
      <x:c r="X81" s="1"/>
      <x:c r="Y81" s="1"/>
      <x:c r="Z81" s="1"/>
    </x:row>
    <x:row r="82" ht="58" customHeight="1">
      <x:c r="A82" s="17" t="n">
        <x:v>78</x:v>
      </x:c>
      <x:c r="B82" s="17" t="str">
        <x:v>B</x:v>
      </x:c>
      <x:c r="C82" s="17" t="str">
        <x:v>Cleaneye Job+</x:v>
      </x:c>
      <x:c r="D82" s="17" t="str">
        <x:v>성북문화재단</x:v>
      </x:c>
      <x:c r="E82" s="17" t="str">
        <x:v>(제26-26호)성북문화재단 정규직 채용 공고(8급-문화기획)</x:v>
      </x:c>
      <x:c r="F82" s="17" t="str">
        <x:v>신입</x:v>
      </x:c>
      <x:c r="G82" s="17" t="str">
        <x:v>일반정규직</x:v>
      </x:c>
      <x:c r="H82" s="17" t="str">
        <x:v>서울특별시</x:v>
      </x:c>
      <x:c r="I82" s="17" t="str">
        <x:v>명시 없음(원문 확인)</x:v>
      </x:c>
      <x:c r="J82" s="17" t="str">
        <x:v>2026-09-09</x:v>
      </x:c>
      <x:c r="K82" s="17" t="str">
        <x:v>정규직(세부 확인)</x:v>
      </x:c>
      <x:c r="L82" s="17" t="str">
        <x:v>검토</x:v>
      </x:c>
      <x:c r="M82" s="17" t="str">
        <x:v>제한 문구 미탐지</x:v>
      </x:c>
      <x:c r="N82" s="17" t="str">
        <x:v>포털 목록 확인</x:v>
      </x:c>
      <x:c r="O82" s="17" t="str">
        <x:v>기관 공고 원문 확인</x:v>
      </x:c>
      <x:c r="P82" s="17" t="str">
        <x:v>기관 공고 원문 확인</x:v>
      </x:c>
      <x:c r="Q82" s="17" t="str">
        <x:v>기관 공고 원문 확인</x:v>
      </x:c>
      <x:c r="R82" s="17" t="str">
        <x:v>기관 공고 원문 확인</x:v>
      </x:c>
      <x:c r="S82" s="18" t="str">
        <x:v>https://job.cleaneye.go.kr/user/ypRecruitment.do</x:v>
      </x:c>
      <x:c r="T82" s="1"/>
      <x:c r="U82" s="1"/>
      <x:c r="V82" s="1"/>
      <x:c r="W82" s="1"/>
      <x:c r="X82" s="1"/>
      <x:c r="Y82" s="1"/>
      <x:c r="Z82" s="1"/>
    </x:row>
    <x:row r="83" ht="58" customHeight="1">
      <x:c r="A83" s="17" t="n">
        <x:v>79</x:v>
      </x:c>
      <x:c r="B83" s="17" t="str">
        <x:v>B</x:v>
      </x:c>
      <x:c r="C83" s="17" t="str">
        <x:v>Cleaneye Job+</x:v>
      </x:c>
      <x:c r="D83" s="17" t="str">
        <x:v>성북문화재단</x:v>
      </x:c>
      <x:c r="E83" s="17" t="str">
        <x:v>(제26-23호)성북문화재단 정규직 채용 공고(8급-시설관리-기계)</x:v>
      </x:c>
      <x:c r="F83" s="17" t="str">
        <x:v>신입</x:v>
      </x:c>
      <x:c r="G83" s="17" t="str">
        <x:v>일반정규직</x:v>
      </x:c>
      <x:c r="H83" s="17" t="str">
        <x:v>서울특별시</x:v>
      </x:c>
      <x:c r="I83" s="17" t="str">
        <x:v>명시 없음(원문 확인)</x:v>
      </x:c>
      <x:c r="J83" s="17" t="str">
        <x:v>2026-09-09</x:v>
      </x:c>
      <x:c r="K83" s="17" t="str">
        <x:v>정규직(세부 확인)</x:v>
      </x:c>
      <x:c r="L83" s="17" t="str">
        <x:v>검토</x:v>
      </x:c>
      <x:c r="M83" s="17" t="str">
        <x:v>제한 문구 미탐지</x:v>
      </x:c>
      <x:c r="N83" s="17" t="str">
        <x:v>포털 목록 확인</x:v>
      </x:c>
      <x:c r="O83" s="17" t="str">
        <x:v>기관 공고 원문 확인</x:v>
      </x:c>
      <x:c r="P83" s="17" t="str">
        <x:v>기관 공고 원문 확인</x:v>
      </x:c>
      <x:c r="Q83" s="17" t="str">
        <x:v>기관 공고 원문 확인</x:v>
      </x:c>
      <x:c r="R83" s="17" t="str">
        <x:v>기관 공고 원문 확인</x:v>
      </x:c>
      <x:c r="S83" s="18" t="str">
        <x:v>https://job.cleaneye.go.kr/user/ypRecruitment.do</x:v>
      </x:c>
      <x:c r="T83" s="1"/>
      <x:c r="U83" s="1"/>
      <x:c r="V83" s="1"/>
      <x:c r="W83" s="1"/>
      <x:c r="X83" s="1"/>
      <x:c r="Y83" s="1"/>
      <x:c r="Z83" s="1"/>
    </x:row>
    <x:row r="84" ht="58" customHeight="1">
      <x:c r="A84" s="17" t="n">
        <x:v>80</x:v>
      </x:c>
      <x:c r="B84" s="17" t="str">
        <x:v>B</x:v>
      </x:c>
      <x:c r="C84" s="17" t="str">
        <x:v>Cleaneye Job+</x:v>
      </x:c>
      <x:c r="D84" s="17" t="str">
        <x:v>성북문화재단</x:v>
      </x:c>
      <x:c r="E84" s="17" t="str">
        <x:v>(제26-24호)성북문화재단 정규직 채용 공고(8급-사서)</x:v>
      </x:c>
      <x:c r="F84" s="17" t="str">
        <x:v>신입</x:v>
      </x:c>
      <x:c r="G84" s="17" t="str">
        <x:v>일반정규직</x:v>
      </x:c>
      <x:c r="H84" s="17" t="str">
        <x:v>서울특별시</x:v>
      </x:c>
      <x:c r="I84" s="17" t="str">
        <x:v>명시 없음(원문 확인)</x:v>
      </x:c>
      <x:c r="J84" s="17" t="str">
        <x:v>2026-09-09</x:v>
      </x:c>
      <x:c r="K84" s="17" t="str">
        <x:v>정규직(세부 확인)</x:v>
      </x:c>
      <x:c r="L84" s="17" t="str">
        <x:v>검토</x:v>
      </x:c>
      <x:c r="M84" s="17" t="str">
        <x:v>제한 문구 미탐지</x:v>
      </x:c>
      <x:c r="N84" s="17" t="str">
        <x:v>포털 목록 확인</x:v>
      </x:c>
      <x:c r="O84" s="17" t="str">
        <x:v>기관 공고 원문 확인</x:v>
      </x:c>
      <x:c r="P84" s="17" t="str">
        <x:v>기관 공고 원문 확인</x:v>
      </x:c>
      <x:c r="Q84" s="17" t="str">
        <x:v>기관 공고 원문 확인</x:v>
      </x:c>
      <x:c r="R84" s="17" t="str">
        <x:v>기관 공고 원문 확인</x:v>
      </x:c>
      <x:c r="S84" s="18" t="str">
        <x:v>https://job.cleaneye.go.kr/user/ypRecruitment.do</x:v>
      </x:c>
      <x:c r="T84" s="1"/>
      <x:c r="U84" s="1"/>
      <x:c r="V84" s="1"/>
      <x:c r="W84" s="1"/>
      <x:c r="X84" s="1"/>
      <x:c r="Y84" s="1"/>
      <x:c r="Z84" s="1"/>
    </x:row>
    <x:row r="85" ht="58" customHeight="1">
      <x:c r="A85" s="17" t="n">
        <x:v>81</x:v>
      </x:c>
      <x:c r="B85" s="17" t="str">
        <x:v>B</x:v>
      </x:c>
      <x:c r="C85" s="17" t="str">
        <x:v>Cleaneye Job+</x:v>
      </x:c>
      <x:c r="D85" s="17" t="str">
        <x:v>인천광역시서해구시설관리공단</x:v>
      </x:c>
      <x:c r="E85" s="17" t="str">
        <x:v>2026년 제6회 서해구노인복지관 기간제 근로자(사회복지사) 채용 공고</x:v>
      </x:c>
      <x:c r="F85" s="17" t="str">
        <x:v>신입+경력</x:v>
      </x:c>
      <x:c r="G85" s="17" t="str">
        <x:v>기간제</x:v>
      </x:c>
      <x:c r="H85" s="17" t="str">
        <x:v>인천광역시</x:v>
      </x:c>
      <x:c r="I85" s="17" t="str">
        <x:v>명시 없음(원문 확인)</x:v>
      </x:c>
      <x:c r="J85" s="17" t="str">
        <x:v>2026-09-09</x:v>
      </x:c>
      <x:c r="K85" s="17" t="str">
        <x:v>기간제·비정규</x:v>
      </x:c>
      <x:c r="L85" s="17" t="str">
        <x:v>검토</x:v>
      </x:c>
      <x:c r="M85" s="17" t="str">
        <x:v>제한 문구 미탐지</x:v>
      </x:c>
      <x:c r="N85" s="17" t="str">
        <x:v>포털 목록 확인</x:v>
      </x:c>
      <x:c r="O85" s="17" t="str">
        <x:v>기관 공고 원문 확인</x:v>
      </x:c>
      <x:c r="P85" s="17" t="str">
        <x:v>기관 공고 원문 확인</x:v>
      </x:c>
      <x:c r="Q85" s="17" t="str">
        <x:v>기관 공고 원문 확인</x:v>
      </x:c>
      <x:c r="R85" s="17" t="str">
        <x:v>기관 공고 원문 확인</x:v>
      </x:c>
      <x:c r="S85" s="18" t="str">
        <x:v>https://job.cleaneye.go.kr/user/ypRecruitment.do</x:v>
      </x:c>
      <x:c r="T85" s="1"/>
      <x:c r="U85" s="1"/>
      <x:c r="V85" s="1"/>
      <x:c r="W85" s="1"/>
      <x:c r="X85" s="1"/>
      <x:c r="Y85" s="1"/>
      <x:c r="Z85" s="1"/>
    </x:row>
    <x:row r="86" ht="58" customHeight="1">
      <x:c r="A86" s="17" t="n">
        <x:v>82</x:v>
      </x:c>
      <x:c r="B86" s="17" t="str">
        <x:v>B</x:v>
      </x:c>
      <x:c r="C86" s="17" t="str">
        <x:v>Cleaneye Job+</x:v>
      </x:c>
      <x:c r="D86" s="17" t="str">
        <x:v>인천광역시서해구시설관리공단</x:v>
      </x:c>
      <x:c r="E86" s="17" t="str">
        <x:v>가좌노인문화센터 정규직(운전원) 채용 공고</x:v>
      </x:c>
      <x:c r="F86" s="17" t="str">
        <x:v>신입+경력</x:v>
      </x:c>
      <x:c r="G86" s="17" t="str">
        <x:v>일반정규직</x:v>
      </x:c>
      <x:c r="H86" s="17" t="str">
        <x:v>인천광역시</x:v>
      </x:c>
      <x:c r="I86" s="17" t="str">
        <x:v>명시 없음(원문 확인)</x:v>
      </x:c>
      <x:c r="J86" s="17" t="str">
        <x:v>2026-09-09</x:v>
      </x:c>
      <x:c r="K86" s="17" t="str">
        <x:v>정규직(세부 확인)</x:v>
      </x:c>
      <x:c r="L86" s="17" t="str">
        <x:v>검토</x:v>
      </x:c>
      <x:c r="M86" s="17" t="str">
        <x:v>제한 문구 미탐지</x:v>
      </x:c>
      <x:c r="N86" s="17" t="str">
        <x:v>포털 목록 확인</x:v>
      </x:c>
      <x:c r="O86" s="17" t="str">
        <x:v>기관 공고 원문 확인</x:v>
      </x:c>
      <x:c r="P86" s="17" t="str">
        <x:v>기관 공고 원문 확인</x:v>
      </x:c>
      <x:c r="Q86" s="17" t="str">
        <x:v>기관 공고 원문 확인</x:v>
      </x:c>
      <x:c r="R86" s="17" t="str">
        <x:v>기관 공고 원문 확인</x:v>
      </x:c>
      <x:c r="S86" s="18" t="str">
        <x:v>https://job.cleaneye.go.kr/user/ypRecruitment.do</x:v>
      </x:c>
      <x:c r="T86" s="1"/>
      <x:c r="U86" s="1"/>
      <x:c r="V86" s="1"/>
      <x:c r="W86" s="1"/>
      <x:c r="X86" s="1"/>
      <x:c r="Y86" s="1"/>
      <x:c r="Z86" s="1"/>
    </x:row>
    <x:row r="87" ht="58" customHeight="1">
      <x:c r="A87" s="17" t="n">
        <x:v>83</x:v>
      </x:c>
      <x:c r="B87" s="17" t="str">
        <x:v>B</x:v>
      </x:c>
      <x:c r="C87" s="17" t="str">
        <x:v>Cleaneye Job+</x:v>
      </x:c>
      <x:c r="D87" s="17" t="str">
        <x:v>인천광역시제물포구시설관리공단</x:v>
      </x:c>
      <x:c r="E87" s="17" t="str">
        <x:v>2026년 제3회 제물포구국민체육센터 체육(수영) 시간강사 채용 공고</x:v>
      </x:c>
      <x:c r="F87" s="17" t="str">
        <x:v>신입</x:v>
      </x:c>
      <x:c r="G87" s="17" t="str">
        <x:v>기간제</x:v>
      </x:c>
      <x:c r="H87" s="17" t="str">
        <x:v>인천광역시</x:v>
      </x:c>
      <x:c r="I87" s="17" t="str">
        <x:v>명시 없음(원문 확인)</x:v>
      </x:c>
      <x:c r="J87" s="17" t="str">
        <x:v>2026-09-09</x:v>
      </x:c>
      <x:c r="K87" s="17" t="str">
        <x:v>기간제·비정규</x:v>
      </x:c>
      <x:c r="L87" s="17" t="str">
        <x:v>검토</x:v>
      </x:c>
      <x:c r="M87" s="17" t="str">
        <x:v>제한 문구 미탐지</x:v>
      </x:c>
      <x:c r="N87" s="17" t="str">
        <x:v>포털 목록 확인</x:v>
      </x:c>
      <x:c r="O87" s="17" t="str">
        <x:v>기관 공고 원문 확인</x:v>
      </x:c>
      <x:c r="P87" s="17" t="str">
        <x:v>기관 공고 원문 확인</x:v>
      </x:c>
      <x:c r="Q87" s="17" t="str">
        <x:v>기관 공고 원문 확인</x:v>
      </x:c>
      <x:c r="R87" s="17" t="str">
        <x:v>기관 공고 원문 확인</x:v>
      </x:c>
      <x:c r="S87" s="18" t="str">
        <x:v>https://job.cleaneye.go.kr/user/ypRecruitment.do</x:v>
      </x:c>
      <x:c r="T87" s="1"/>
      <x:c r="U87" s="1"/>
      <x:c r="V87" s="1"/>
      <x:c r="W87" s="1"/>
      <x:c r="X87" s="1"/>
      <x:c r="Y87" s="1"/>
      <x:c r="Z87" s="1"/>
    </x:row>
    <x:row r="88" ht="58" customHeight="1">
      <x:c r="A88" s="17" t="n">
        <x:v>84</x:v>
      </x:c>
      <x:c r="B88" s="17" t="str">
        <x:v>B</x:v>
      </x:c>
      <x:c r="C88" s="17" t="str">
        <x:v>Cleaneye Job+</x:v>
      </x:c>
      <x:c r="D88" s="17" t="str">
        <x:v>재단법인 전라남도중소기업일자리경제진흥원</x:v>
      </x:c>
      <x:c r="E88" s="17" t="str">
        <x:v>2026년 제5차 계약직 직원 채용 재공고</x:v>
      </x:c>
      <x:c r="F88" s="17" t="str">
        <x:v>신입+경력</x:v>
      </x:c>
      <x:c r="G88" s="17" t="str">
        <x:v>일반계약직</x:v>
      </x:c>
      <x:c r="H88" s="17" t="str">
        <x:v>전남광주통합특별시</x:v>
      </x:c>
      <x:c r="I88" s="17" t="str">
        <x:v>명시 없음(원문 확인)</x:v>
      </x:c>
      <x:c r="J88" s="17" t="str">
        <x:v>2026-09-09</x:v>
      </x:c>
      <x:c r="K88" s="17" t="str">
        <x:v>기타 채용</x:v>
      </x:c>
      <x:c r="L88" s="17" t="str">
        <x:v>검토</x:v>
      </x:c>
      <x:c r="M88" s="17" t="str">
        <x:v>제한 문구 미탐지</x:v>
      </x:c>
      <x:c r="N88" s="17" t="str">
        <x:v>포털 목록 확인</x:v>
      </x:c>
      <x:c r="O88" s="17" t="str">
        <x:v>기관 공고 원문 확인</x:v>
      </x:c>
      <x:c r="P88" s="17" t="str">
        <x:v>기관 공고 원문 확인</x:v>
      </x:c>
      <x:c r="Q88" s="17" t="str">
        <x:v>기관 공고 원문 확인</x:v>
      </x:c>
      <x:c r="R88" s="17" t="str">
        <x:v>기관 공고 원문 확인</x:v>
      </x:c>
      <x:c r="S88" s="18" t="str">
        <x:v>https://job.cleaneye.go.kr/user/ypRecruitment.do</x:v>
      </x:c>
      <x:c r="T88" s="1"/>
      <x:c r="U88" s="1"/>
      <x:c r="V88" s="1"/>
      <x:c r="W88" s="1"/>
      <x:c r="X88" s="1"/>
      <x:c r="Y88" s="1"/>
      <x:c r="Z88" s="1"/>
    </x:row>
    <x:row r="89" ht="58" customHeight="1">
      <x:c r="A89" s="17" t="n">
        <x:v>85</x:v>
      </x:c>
      <x:c r="B89" s="17" t="str">
        <x:v>B</x:v>
      </x:c>
      <x:c r="C89" s="17" t="str">
        <x:v>Cleaneye Job+</x:v>
      </x:c>
      <x:c r="D89" s="17" t="str">
        <x:v>재단법인 전라남도중소기업일자리경제진흥원</x:v>
      </x:c>
      <x:c r="E89" s="17" t="str">
        <x:v>2026년 제6차 계약직 직원 채용 공고</x:v>
      </x:c>
      <x:c r="F89" s="17" t="str">
        <x:v>신입+경력</x:v>
      </x:c>
      <x:c r="G89" s="17" t="str">
        <x:v>일반계약직</x:v>
      </x:c>
      <x:c r="H89" s="17" t="str">
        <x:v>전남광주통합특별시</x:v>
      </x:c>
      <x:c r="I89" s="17" t="str">
        <x:v>명시 없음(원문 확인)</x:v>
      </x:c>
      <x:c r="J89" s="17" t="str">
        <x:v>2026-09-09</x:v>
      </x:c>
      <x:c r="K89" s="17" t="str">
        <x:v>기타 채용</x:v>
      </x:c>
      <x:c r="L89" s="17" t="str">
        <x:v>검토</x:v>
      </x:c>
      <x:c r="M89" s="17" t="str">
        <x:v>제한 문구 미탐지</x:v>
      </x:c>
      <x:c r="N89" s="17" t="str">
        <x:v>포털 목록 확인</x:v>
      </x:c>
      <x:c r="O89" s="17" t="str">
        <x:v>기관 공고 원문 확인</x:v>
      </x:c>
      <x:c r="P89" s="17" t="str">
        <x:v>기관 공고 원문 확인</x:v>
      </x:c>
      <x:c r="Q89" s="17" t="str">
        <x:v>기관 공고 원문 확인</x:v>
      </x:c>
      <x:c r="R89" s="17" t="str">
        <x:v>기관 공고 원문 확인</x:v>
      </x:c>
      <x:c r="S89" s="18" t="str">
        <x:v>https://job.cleaneye.go.kr/user/ypRecruitment.do</x:v>
      </x:c>
      <x:c r="T89" s="1"/>
      <x:c r="U89" s="1"/>
      <x:c r="V89" s="1"/>
      <x:c r="W89" s="1"/>
      <x:c r="X89" s="1"/>
      <x:c r="Y89" s="1"/>
      <x:c r="Z89" s="1"/>
    </x:row>
    <x:row r="90" ht="58" customHeight="1">
      <x:c r="A90" s="17" t="n">
        <x:v>86</x:v>
      </x:c>
      <x:c r="B90" s="17" t="str">
        <x:v>B</x:v>
      </x:c>
      <x:c r="C90" s="17" t="str">
        <x:v>Cleaneye Job+</x:v>
      </x:c>
      <x:c r="D90" s="17" t="str">
        <x:v>포항시시설관리공단</x:v>
      </x:c>
      <x:c r="E90" s="17" t="str">
        <x:v>체육시설1팀 포항수영장 시간강사 등 모집</x:v>
      </x:c>
      <x:c r="F90" s="17" t="str">
        <x:v>신입</x:v>
      </x:c>
      <x:c r="G90" s="17" t="str">
        <x:v>기간제</x:v>
      </x:c>
      <x:c r="H90" s="17" t="str">
        <x:v>경상북도</x:v>
      </x:c>
      <x:c r="I90" s="17" t="str">
        <x:v>경상북도 포항시</x:v>
      </x:c>
      <x:c r="J90" s="17" t="str">
        <x:v>2026-09-09</x:v>
      </x:c>
      <x:c r="K90" s="17" t="str">
        <x:v>기간제·비정규</x:v>
      </x:c>
      <x:c r="L90" s="17" t="str">
        <x:v>검토</x:v>
      </x:c>
      <x:c r="M90" s="17" t="str">
        <x:v>제한 문구 미탐지</x:v>
      </x:c>
      <x:c r="N90" s="17" t="str">
        <x:v>포털 목록 확인</x:v>
      </x:c>
      <x:c r="O90" s="17" t="str">
        <x:v>기관 공고 원문 확인</x:v>
      </x:c>
      <x:c r="P90" s="17" t="str">
        <x:v>기관 공고 원문 확인</x:v>
      </x:c>
      <x:c r="Q90" s="17" t="str">
        <x:v>기관 공고 원문 확인</x:v>
      </x:c>
      <x:c r="R90" s="17" t="str">
        <x:v>기관 공고 원문 확인</x:v>
      </x:c>
      <x:c r="S90" s="18" t="str">
        <x:v>https://job.cleaneye.go.kr/user/ypRecruitment.do</x:v>
      </x:c>
      <x:c r="T90" s="1"/>
      <x:c r="U90" s="1"/>
      <x:c r="V90" s="1"/>
      <x:c r="W90" s="1"/>
      <x:c r="X90" s="1"/>
      <x:c r="Y90" s="1"/>
      <x:c r="Z90" s="1"/>
    </x:row>
    <x:row r="91" ht="58" customHeight="1">
      <x:c r="A91" s="17" t="n">
        <x:v>87</x:v>
      </x:c>
      <x:c r="B91" s="17" t="str">
        <x:v>B</x:v>
      </x:c>
      <x:c r="C91" s="17" t="str">
        <x:v>Cleaneye Job+</x:v>
      </x:c>
      <x:c r="D91" s="17" t="str">
        <x:v>한국도자재단</x:v>
      </x:c>
      <x:c r="E91" s="17" t="str">
        <x:v>한국도자재단 2026년 제9차 기간제근로자 채용공고</x:v>
      </x:c>
      <x:c r="F91" s="17" t="str">
        <x:v>신입+경력</x:v>
      </x:c>
      <x:c r="G91" s="17" t="str">
        <x:v>기간제</x:v>
      </x:c>
      <x:c r="H91" s="17" t="str">
        <x:v>경기도</x:v>
      </x:c>
      <x:c r="I91" s="17" t="str">
        <x:v>명시 없음(원문 확인)</x:v>
      </x:c>
      <x:c r="J91" s="17" t="str">
        <x:v>2026-09-09</x:v>
      </x:c>
      <x:c r="K91" s="17" t="str">
        <x:v>기간제·비정규</x:v>
      </x:c>
      <x:c r="L91" s="17" t="str">
        <x:v>검토</x:v>
      </x:c>
      <x:c r="M91" s="17" t="str">
        <x:v>제한 문구 미탐지</x:v>
      </x:c>
      <x:c r="N91" s="17" t="str">
        <x:v>포털 목록 확인</x:v>
      </x:c>
      <x:c r="O91" s="17" t="str">
        <x:v>기관 공고 원문 확인</x:v>
      </x:c>
      <x:c r="P91" s="17" t="str">
        <x:v>기관 공고 원문 확인</x:v>
      </x:c>
      <x:c r="Q91" s="17" t="str">
        <x:v>기관 공고 원문 확인</x:v>
      </x:c>
      <x:c r="R91" s="17" t="str">
        <x:v>기관 공고 원문 확인</x:v>
      </x:c>
      <x:c r="S91" s="18" t="str">
        <x:v>https://job.cleaneye.go.kr/user/ypRecruitment.do</x:v>
      </x:c>
      <x:c r="T91" s="1"/>
      <x:c r="U91" s="1"/>
      <x:c r="V91" s="1"/>
      <x:c r="W91" s="1"/>
      <x:c r="X91" s="1"/>
      <x:c r="Y91" s="1"/>
      <x:c r="Z91" s="1"/>
    </x:row>
    <x:row r="92" ht="58" customHeight="1">
      <x:c r="A92" s="17" t="n">
        <x:v>88</x:v>
      </x:c>
      <x:c r="B92" s="17" t="str">
        <x:v>B</x:v>
      </x:c>
      <x:c r="C92" s="17" t="str">
        <x:v>Cleaneye Job+</x:v>
      </x:c>
      <x:c r="D92" s="17" t="str">
        <x:v>경기도의료원</x:v>
      </x:c>
      <x:c r="E92" s="17" t="str">
        <x:v>경기도의료원 파주병원 응급의학과 의사(계약직) 초빙 공고</x:v>
      </x:c>
      <x:c r="F92" s="17" t="str">
        <x:v>신입</x:v>
      </x:c>
      <x:c r="G92" s="17" t="str">
        <x:v>전문계약직</x:v>
      </x:c>
      <x:c r="H92" s="17" t="str">
        <x:v>경기도</x:v>
      </x:c>
      <x:c r="I92" s="17" t="str">
        <x:v>명시 없음(원문 확인)</x:v>
      </x:c>
      <x:c r="J92" s="17" t="str">
        <x:v>2026-09-10</x:v>
      </x:c>
      <x:c r="K92" s="17" t="str">
        <x:v>기타 채용</x:v>
      </x:c>
      <x:c r="L92" s="17" t="str">
        <x:v>검토</x:v>
      </x:c>
      <x:c r="M92" s="17" t="str">
        <x:v>제한 문구 미탐지</x:v>
      </x:c>
      <x:c r="N92" s="17" t="str">
        <x:v>포털 목록 확인</x:v>
      </x:c>
      <x:c r="O92" s="17" t="str">
        <x:v>기관 공고 원문 확인</x:v>
      </x:c>
      <x:c r="P92" s="17" t="str">
        <x:v>기관 공고 원문 확인</x:v>
      </x:c>
      <x:c r="Q92" s="17" t="str">
        <x:v>기관 공고 원문 확인</x:v>
      </x:c>
      <x:c r="R92" s="17" t="str">
        <x:v>기관 공고 원문 확인</x:v>
      </x:c>
      <x:c r="S92" s="18" t="str">
        <x:v>https://job.cleaneye.go.kr/user/ypRecruitment.do</x:v>
      </x:c>
      <x:c r="T92" s="1"/>
      <x:c r="U92" s="1"/>
      <x:c r="V92" s="1"/>
      <x:c r="W92" s="1"/>
      <x:c r="X92" s="1"/>
      <x:c r="Y92" s="1"/>
      <x:c r="Z92" s="1"/>
    </x:row>
    <x:row r="93" ht="58" customHeight="1">
      <x:c r="A93" s="17" t="n">
        <x:v>89</x:v>
      </x:c>
      <x:c r="B93" s="17" t="str">
        <x:v>B</x:v>
      </x:c>
      <x:c r="C93" s="17" t="str">
        <x:v>Cleaneye Job+</x:v>
      </x:c>
      <x:c r="D93" s="17" t="str">
        <x:v>경기도의료원</x:v>
      </x:c>
      <x:c r="E93" s="17" t="str">
        <x:v>경기도의료원 파주병원 의사(마취통증의학과/계약직) 초빙 공고</x:v>
      </x:c>
      <x:c r="F93" s="17" t="str">
        <x:v>신입</x:v>
      </x:c>
      <x:c r="G93" s="17" t="str">
        <x:v>전문계약직</x:v>
      </x:c>
      <x:c r="H93" s="17" t="str">
        <x:v>경기도</x:v>
      </x:c>
      <x:c r="I93" s="17" t="str">
        <x:v>명시 없음(원문 확인)</x:v>
      </x:c>
      <x:c r="J93" s="17" t="str">
        <x:v>2026-09-10</x:v>
      </x:c>
      <x:c r="K93" s="17" t="str">
        <x:v>기타 채용</x:v>
      </x:c>
      <x:c r="L93" s="17" t="str">
        <x:v>검토</x:v>
      </x:c>
      <x:c r="M93" s="17" t="str">
        <x:v>제한 문구 미탐지</x:v>
      </x:c>
      <x:c r="N93" s="17" t="str">
        <x:v>포털 목록 확인</x:v>
      </x:c>
      <x:c r="O93" s="17" t="str">
        <x:v>기관 공고 원문 확인</x:v>
      </x:c>
      <x:c r="P93" s="17" t="str">
        <x:v>기관 공고 원문 확인</x:v>
      </x:c>
      <x:c r="Q93" s="17" t="str">
        <x:v>기관 공고 원문 확인</x:v>
      </x:c>
      <x:c r="R93" s="17" t="str">
        <x:v>기관 공고 원문 확인</x:v>
      </x:c>
      <x:c r="S93" s="18" t="str">
        <x:v>https://job.cleaneye.go.kr/user/ypRecruitment.do</x:v>
      </x:c>
      <x:c r="T93" s="1"/>
      <x:c r="U93" s="1"/>
      <x:c r="V93" s="1"/>
      <x:c r="W93" s="1"/>
      <x:c r="X93" s="1"/>
      <x:c r="Y93" s="1"/>
      <x:c r="Z93" s="1"/>
    </x:row>
    <x:row r="94" ht="58" customHeight="1">
      <x:c r="A94" s="17" t="n">
        <x:v>90</x:v>
      </x:c>
      <x:c r="B94" s="17" t="str">
        <x:v>B</x:v>
      </x:c>
      <x:c r="C94" s="17" t="str">
        <x:v>Cleaneye Job+</x:v>
      </x:c>
      <x:c r="D94" s="17" t="str">
        <x:v>대전관광공사</x:v>
      </x:c>
      <x:c r="E94" s="17" t="str">
        <x:v>대전관광공사 본사옥 운영관리 기간제근로자 채용 공고</x:v>
      </x:c>
      <x:c r="F94" s="17" t="str">
        <x:v>신입+경력</x:v>
      </x:c>
      <x:c r="G94" s="17" t="str">
        <x:v>기간제</x:v>
      </x:c>
      <x:c r="H94" s="17" t="str">
        <x:v>대전광역시</x:v>
      </x:c>
      <x:c r="I94" s="17" t="str">
        <x:v>명시 없음(원문 확인)</x:v>
      </x:c>
      <x:c r="J94" s="17" t="str">
        <x:v>2026-09-10</x:v>
      </x:c>
      <x:c r="K94" s="17" t="str">
        <x:v>기간제·비정규</x:v>
      </x:c>
      <x:c r="L94" s="17" t="str">
        <x:v>검토</x:v>
      </x:c>
      <x:c r="M94" s="17" t="str">
        <x:v>제한 문구 미탐지</x:v>
      </x:c>
      <x:c r="N94" s="17" t="str">
        <x:v>포털 목록 확인</x:v>
      </x:c>
      <x:c r="O94" s="17" t="str">
        <x:v>기관 공고 원문 확인</x:v>
      </x:c>
      <x:c r="P94" s="17" t="str">
        <x:v>기관 공고 원문 확인</x:v>
      </x:c>
      <x:c r="Q94" s="17" t="str">
        <x:v>기관 공고 원문 확인</x:v>
      </x:c>
      <x:c r="R94" s="17" t="str">
        <x:v>기관 공고 원문 확인</x:v>
      </x:c>
      <x:c r="S94" s="18" t="str">
        <x:v>https://job.cleaneye.go.kr/user/ypRecruitment.do</x:v>
      </x:c>
      <x:c r="T94" s="1"/>
      <x:c r="U94" s="1"/>
      <x:c r="V94" s="1"/>
      <x:c r="W94" s="1"/>
      <x:c r="X94" s="1"/>
      <x:c r="Y94" s="1"/>
      <x:c r="Z94" s="1"/>
    </x:row>
    <x:row r="95" ht="58" customHeight="1">
      <x:c r="A95" s="17" t="n">
        <x:v>91</x:v>
      </x:c>
      <x:c r="B95" s="17" t="str">
        <x:v>B</x:v>
      </x:c>
      <x:c r="C95" s="17" t="str">
        <x:v>Cleaneye Job+</x:v>
      </x:c>
      <x:c r="D95" s="17" t="str">
        <x:v>목포시의료원</x:v>
      </x:c>
      <x:c r="E95" s="17" t="str">
        <x:v>제2026-84호직원 채용 재 공고(전산원)</x:v>
      </x:c>
      <x:c r="F95" s="17" t="str">
        <x:v>신입+경력</x:v>
      </x:c>
      <x:c r="G95" s="17" t="str">
        <x:v>기간제</x:v>
      </x:c>
      <x:c r="H95" s="17" t="str">
        <x:v>전남광주통합특별시</x:v>
      </x:c>
      <x:c r="I95" s="17" t="str">
        <x:v>명시 없음(원문 확인)</x:v>
      </x:c>
      <x:c r="J95" s="17" t="str">
        <x:v>2026-09-10</x:v>
      </x:c>
      <x:c r="K95" s="17" t="str">
        <x:v>기간제·비정규</x:v>
      </x:c>
      <x:c r="L95" s="17" t="str">
        <x:v>검토</x:v>
      </x:c>
      <x:c r="M95" s="17" t="str">
        <x:v>제한 문구 미탐지</x:v>
      </x:c>
      <x:c r="N95" s="17" t="str">
        <x:v>포털 목록 확인</x:v>
      </x:c>
      <x:c r="O95" s="17" t="str">
        <x:v>기관 공고 원문 확인</x:v>
      </x:c>
      <x:c r="P95" s="17" t="str">
        <x:v>기관 공고 원문 확인</x:v>
      </x:c>
      <x:c r="Q95" s="17" t="str">
        <x:v>기관 공고 원문 확인</x:v>
      </x:c>
      <x:c r="R95" s="17" t="str">
        <x:v>기관 공고 원문 확인</x:v>
      </x:c>
      <x:c r="S95" s="18" t="str">
        <x:v>https://job.cleaneye.go.kr/user/ypRecruitment.do</x:v>
      </x:c>
      <x:c r="T95" s="1"/>
      <x:c r="U95" s="1"/>
      <x:c r="V95" s="1"/>
      <x:c r="W95" s="1"/>
      <x:c r="X95" s="1"/>
      <x:c r="Y95" s="1"/>
      <x:c r="Z95" s="1"/>
    </x:row>
    <x:row r="96" ht="58" customHeight="1">
      <x:c r="A96" s="17" t="n">
        <x:v>92</x:v>
      </x:c>
      <x:c r="B96" s="17" t="str">
        <x:v>B</x:v>
      </x:c>
      <x:c r="C96" s="17" t="str">
        <x:v>Cleaneye Job+</x:v>
      </x:c>
      <x:c r="D96" s="17" t="str">
        <x:v>서귀포의료원</x:v>
      </x:c>
      <x:c r="E96" s="17" t="str">
        <x:v>직원 수시모집 공고 - 의사직(치과)</x:v>
      </x:c>
      <x:c r="F96" s="17" t="str">
        <x:v>신입+경력</x:v>
      </x:c>
      <x:c r="G96" s="17" t="str">
        <x:v>일반정규직</x:v>
      </x:c>
      <x:c r="H96" s="17" t="str">
        <x:v>제주특별자치도</x:v>
      </x:c>
      <x:c r="I96" s="17" t="str">
        <x:v>명시 없음(원문 확인)</x:v>
      </x:c>
      <x:c r="J96" s="17" t="str">
        <x:v>2026-09-10</x:v>
      </x:c>
      <x:c r="K96" s="17" t="str">
        <x:v>정규직(세부 확인)</x:v>
      </x:c>
      <x:c r="L96" s="17" t="str">
        <x:v>검토</x:v>
      </x:c>
      <x:c r="M96" s="17" t="str">
        <x:v>제한 문구 미탐지</x:v>
      </x:c>
      <x:c r="N96" s="17" t="str">
        <x:v>포털 목록 확인</x:v>
      </x:c>
      <x:c r="O96" s="17" t="str">
        <x:v>기관 공고 원문 확인</x:v>
      </x:c>
      <x:c r="P96" s="17" t="str">
        <x:v>기관 공고 원문 확인</x:v>
      </x:c>
      <x:c r="Q96" s="17" t="str">
        <x:v>기관 공고 원문 확인</x:v>
      </x:c>
      <x:c r="R96" s="17" t="str">
        <x:v>기관 공고 원문 확인</x:v>
      </x:c>
      <x:c r="S96" s="18" t="str">
        <x:v>https://job.cleaneye.go.kr/user/ypRecruitment.do</x:v>
      </x:c>
      <x:c r="T96" s="1"/>
      <x:c r="U96" s="1"/>
      <x:c r="V96" s="1"/>
      <x:c r="W96" s="1"/>
      <x:c r="X96" s="1"/>
      <x:c r="Y96" s="1"/>
      <x:c r="Z96" s="1"/>
    </x:row>
    <x:row r="97" ht="58" customHeight="1">
      <x:c r="A97" s="17" t="n">
        <x:v>93</x:v>
      </x:c>
      <x:c r="B97" s="17" t="str">
        <x:v>B</x:v>
      </x:c>
      <x:c r="C97" s="17" t="str">
        <x:v>Cleaneye Job+</x:v>
      </x:c>
      <x:c r="D97" s="17" t="str">
        <x:v>연천군청소년육성재단</x:v>
      </x:c>
      <x:c r="E97" s="17" t="str">
        <x:v>2026년 제5회 (재)연천군청소년육성재단 직원 공개채용(방과후아카데미 담임) 재공고</x:v>
      </x:c>
      <x:c r="F97" s="17" t="str">
        <x:v>신입+경력</x:v>
      </x:c>
      <x:c r="G97" s="17" t="str">
        <x:v>기간제</x:v>
      </x:c>
      <x:c r="H97" s="17" t="str">
        <x:v>경기도</x:v>
      </x:c>
      <x:c r="I97" s="17" t="str">
        <x:v>명시 없음(원문 확인)</x:v>
      </x:c>
      <x:c r="J97" s="17" t="str">
        <x:v>2026-09-10</x:v>
      </x:c>
      <x:c r="K97" s="17" t="str">
        <x:v>기간제·비정규</x:v>
      </x:c>
      <x:c r="L97" s="17" t="str">
        <x:v>검토</x:v>
      </x:c>
      <x:c r="M97" s="17" t="str">
        <x:v>제한 문구 미탐지</x:v>
      </x:c>
      <x:c r="N97" s="17" t="str">
        <x:v>포털 목록 확인</x:v>
      </x:c>
      <x:c r="O97" s="17" t="str">
        <x:v>기관 공고 원문 확인</x:v>
      </x:c>
      <x:c r="P97" s="17" t="str">
        <x:v>기관 공고 원문 확인</x:v>
      </x:c>
      <x:c r="Q97" s="17" t="str">
        <x:v>기관 공고 원문 확인</x:v>
      </x:c>
      <x:c r="R97" s="17" t="str">
        <x:v>기관 공고 원문 확인</x:v>
      </x:c>
      <x:c r="S97" s="18" t="str">
        <x:v>https://job.cleaneye.go.kr/user/ypRecruitment.do</x:v>
      </x:c>
      <x:c r="T97" s="1"/>
      <x:c r="U97" s="1"/>
      <x:c r="V97" s="1"/>
      <x:c r="W97" s="1"/>
      <x:c r="X97" s="1"/>
      <x:c r="Y97" s="1"/>
      <x:c r="Z97" s="1"/>
    </x:row>
    <x:row r="98" ht="58" customHeight="1">
      <x:c r="A98" s="17" t="n">
        <x:v>94</x:v>
      </x:c>
      <x:c r="B98" s="17" t="str">
        <x:v>B</x:v>
      </x:c>
      <x:c r="C98" s="17" t="str">
        <x:v>Cleaneye Job+</x:v>
      </x:c>
      <x:c r="D98" s="17" t="str">
        <x:v>재단법인 부산연구원</x:v>
      </x:c>
      <x:c r="E98" s="17" t="str">
        <x:v>제63회 (재)부산연구원 직원(연구직) 채용 공고</x:v>
      </x:c>
      <x:c r="F98" s="17" t="str">
        <x:v>신입+경력</x:v>
      </x:c>
      <x:c r="G98" s="17" t="str">
        <x:v>일반정규직</x:v>
      </x:c>
      <x:c r="H98" s="17" t="str">
        <x:v>부산광역시</x:v>
      </x:c>
      <x:c r="I98" s="17" t="str">
        <x:v>명시 없음(원문 확인)</x:v>
      </x:c>
      <x:c r="J98" s="17" t="str">
        <x:v>2026-09-10</x:v>
      </x:c>
      <x:c r="K98" s="17" t="str">
        <x:v>정규직(세부 확인)</x:v>
      </x:c>
      <x:c r="L98" s="17" t="str">
        <x:v>검토</x:v>
      </x:c>
      <x:c r="M98" s="17" t="str">
        <x:v>제한 문구 미탐지</x:v>
      </x:c>
      <x:c r="N98" s="17" t="str">
        <x:v>포털 목록 확인</x:v>
      </x:c>
      <x:c r="O98" s="17" t="str">
        <x:v>기관 공고 원문 확인</x:v>
      </x:c>
      <x:c r="P98" s="17" t="str">
        <x:v>기관 공고 원문 확인</x:v>
      </x:c>
      <x:c r="Q98" s="17" t="str">
        <x:v>기관 공고 원문 확인</x:v>
      </x:c>
      <x:c r="R98" s="17" t="str">
        <x:v>기관 공고 원문 확인</x:v>
      </x:c>
      <x:c r="S98" s="18" t="str">
        <x:v>https://job.cleaneye.go.kr/user/ypRecruitment.do</x:v>
      </x:c>
      <x:c r="T98" s="1"/>
      <x:c r="U98" s="1"/>
      <x:c r="V98" s="1"/>
      <x:c r="W98" s="1"/>
      <x:c r="X98" s="1"/>
      <x:c r="Y98" s="1"/>
      <x:c r="Z98" s="1"/>
    </x:row>
    <x:row r="99" ht="58" customHeight="1">
      <x:c r="A99" s="17" t="n">
        <x:v>95</x:v>
      </x:c>
      <x:c r="B99" s="17" t="str">
        <x:v>B</x:v>
      </x:c>
      <x:c r="C99" s="17" t="str">
        <x:v>Cleaneye Job+</x:v>
      </x:c>
      <x:c r="D99" s="17" t="str">
        <x:v>재단법인 용인시산업진흥원</x:v>
      </x:c>
      <x:c r="E99" s="17" t="str">
        <x:v>2026년 제7차 채용 공고</x:v>
      </x:c>
      <x:c r="F99" s="17" t="str">
        <x:v>신입</x:v>
      </x:c>
      <x:c r="G99" s="17" t="str">
        <x:v>일반계약직</x:v>
      </x:c>
      <x:c r="H99" s="17" t="str">
        <x:v>경기도</x:v>
      </x:c>
      <x:c r="I99" s="17" t="str">
        <x:v>명시 없음(원문 확인)</x:v>
      </x:c>
      <x:c r="J99" s="17" t="str">
        <x:v>2026-09-10</x:v>
      </x:c>
      <x:c r="K99" s="17" t="str">
        <x:v>기타 채용</x:v>
      </x:c>
      <x:c r="L99" s="17" t="str">
        <x:v>검토</x:v>
      </x:c>
      <x:c r="M99" s="17" t="str">
        <x:v>제한 문구 미탐지</x:v>
      </x:c>
      <x:c r="N99" s="17" t="str">
        <x:v>포털 목록 확인</x:v>
      </x:c>
      <x:c r="O99" s="17" t="str">
        <x:v>기관 공고 원문 확인</x:v>
      </x:c>
      <x:c r="P99" s="17" t="str">
        <x:v>기관 공고 원문 확인</x:v>
      </x:c>
      <x:c r="Q99" s="17" t="str">
        <x:v>기관 공고 원문 확인</x:v>
      </x:c>
      <x:c r="R99" s="17" t="str">
        <x:v>기관 공고 원문 확인</x:v>
      </x:c>
      <x:c r="S99" s="18" t="str">
        <x:v>https://job.cleaneye.go.kr/user/ypRecruitment.do</x:v>
      </x:c>
      <x:c r="T99" s="1"/>
      <x:c r="U99" s="1"/>
      <x:c r="V99" s="1"/>
      <x:c r="W99" s="1"/>
      <x:c r="X99" s="1"/>
      <x:c r="Y99" s="1"/>
      <x:c r="Z99" s="1"/>
    </x:row>
    <x:row r="100" ht="58" customHeight="1">
      <x:c r="A100" s="17" t="n">
        <x:v>96</x:v>
      </x:c>
      <x:c r="B100" s="17" t="str">
        <x:v>B</x:v>
      </x:c>
      <x:c r="C100" s="17" t="str">
        <x:v>Cleaneye Job+</x:v>
      </x:c>
      <x:c r="D100" s="17" t="str">
        <x:v>재단법인 의정부도시교육재단</x:v>
      </x:c>
      <x:c r="E100" s="17" t="str">
        <x:v>2026년 제3회 (재)의정부도시교육재단 직원공개 채용공고(육아휴직 대체인력)</x:v>
      </x:c>
      <x:c r="F100" s="17" t="str">
        <x:v>신입+경력</x:v>
      </x:c>
      <x:c r="G100" s="17" t="str">
        <x:v>기간제</x:v>
      </x:c>
      <x:c r="H100" s="17" t="str">
        <x:v>경기도</x:v>
      </x:c>
      <x:c r="I100" s="17" t="str">
        <x:v>명시 없음(원문 확인)</x:v>
      </x:c>
      <x:c r="J100" s="17" t="str">
        <x:v>2026-09-10</x:v>
      </x:c>
      <x:c r="K100" s="17" t="str">
        <x:v>기간제·비정규</x:v>
      </x:c>
      <x:c r="L100" s="17" t="str">
        <x:v>검토</x:v>
      </x:c>
      <x:c r="M100" s="17" t="str">
        <x:v>제한 문구 미탐지</x:v>
      </x:c>
      <x:c r="N100" s="17" t="str">
        <x:v>포털 목록 확인</x:v>
      </x:c>
      <x:c r="O100" s="17" t="str">
        <x:v>기관 공고 원문 확인</x:v>
      </x:c>
      <x:c r="P100" s="17" t="str">
        <x:v>기관 공고 원문 확인</x:v>
      </x:c>
      <x:c r="Q100" s="17" t="str">
        <x:v>기관 공고 원문 확인</x:v>
      </x:c>
      <x:c r="R100" s="17" t="str">
        <x:v>기관 공고 원문 확인</x:v>
      </x:c>
      <x:c r="S100" s="18" t="str">
        <x:v>https://job.cleaneye.go.kr/user/ypRecruitment.do</x:v>
      </x:c>
      <x:c r="T100" s="1"/>
      <x:c r="U100" s="1"/>
      <x:c r="V100" s="1"/>
      <x:c r="W100" s="1"/>
      <x:c r="X100" s="1"/>
      <x:c r="Y100" s="1"/>
      <x:c r="Z100" s="1"/>
    </x:row>
    <x:row r="101" ht="58" customHeight="1">
      <x:c r="A101" s="17" t="n">
        <x:v>97</x:v>
      </x:c>
      <x:c r="B101" s="17" t="str">
        <x:v>B</x:v>
      </x:c>
      <x:c r="C101" s="17" t="str">
        <x:v>Cleaneye Job+</x:v>
      </x:c>
      <x:c r="D101" s="17" t="str">
        <x:v>전남정보문화산업진흥원</x:v>
      </x:c>
      <x:c r="E101" s="17" t="str">
        <x:v>(재)전라남도정보문화산업진흥원 2026년 제5차 계약직원 채용 공고</x:v>
      </x:c>
      <x:c r="F101" s="17" t="str">
        <x:v>신입+경력</x:v>
      </x:c>
      <x:c r="G101" s="17" t="str">
        <x:v>기간제</x:v>
      </x:c>
      <x:c r="H101" s="17" t="str">
        <x:v>전남광주통합특별시</x:v>
      </x:c>
      <x:c r="I101" s="17" t="str">
        <x:v>명시 없음(원문 확인)</x:v>
      </x:c>
      <x:c r="J101" s="17" t="str">
        <x:v>2026-09-10</x:v>
      </x:c>
      <x:c r="K101" s="17" t="str">
        <x:v>기간제·비정규</x:v>
      </x:c>
      <x:c r="L101" s="17" t="str">
        <x:v>검토</x:v>
      </x:c>
      <x:c r="M101" s="17" t="str">
        <x:v>제한 문구 미탐지</x:v>
      </x:c>
      <x:c r="N101" s="17" t="str">
        <x:v>포털 목록 확인</x:v>
      </x:c>
      <x:c r="O101" s="17" t="str">
        <x:v>기관 공고 원문 확인</x:v>
      </x:c>
      <x:c r="P101" s="17" t="str">
        <x:v>기관 공고 원문 확인</x:v>
      </x:c>
      <x:c r="Q101" s="17" t="str">
        <x:v>기관 공고 원문 확인</x:v>
      </x:c>
      <x:c r="R101" s="17" t="str">
        <x:v>기관 공고 원문 확인</x:v>
      </x:c>
      <x:c r="S101" s="18" t="str">
        <x:v>https://job.cleaneye.go.kr/user/ypRecruitment.do</x:v>
      </x:c>
      <x:c r="T101" s="1"/>
      <x:c r="U101" s="1"/>
      <x:c r="V101" s="1"/>
      <x:c r="W101" s="1"/>
      <x:c r="X101" s="1"/>
      <x:c r="Y101" s="1"/>
      <x:c r="Z101" s="1"/>
    </x:row>
    <x:row r="102" ht="58" customHeight="1">
      <x:c r="A102" s="17" t="n">
        <x:v>98</x:v>
      </x:c>
      <x:c r="B102" s="17" t="str">
        <x:v>B</x:v>
      </x:c>
      <x:c r="C102" s="17" t="str">
        <x:v>Cleaneye Job+</x:v>
      </x:c>
      <x:c r="D102" s="17" t="str">
        <x:v>창원시설공단</x:v>
      </x:c>
      <x:c r="E102" s="17" t="str">
        <x:v>진해해양공원 기간제 근로자 공개경쟁 채용 공고</x:v>
      </x:c>
      <x:c r="F102" s="17" t="str">
        <x:v>신입+경력</x:v>
      </x:c>
      <x:c r="G102" s="17" t="str">
        <x:v>기간제</x:v>
      </x:c>
      <x:c r="H102" s="17" t="str">
        <x:v>경상남도</x:v>
      </x:c>
      <x:c r="I102" s="17" t="str">
        <x:v>명시 없음(원문 확인)</x:v>
      </x:c>
      <x:c r="J102" s="17" t="str">
        <x:v>2026-09-10</x:v>
      </x:c>
      <x:c r="K102" s="17" t="str">
        <x:v>기간제·비정규</x:v>
      </x:c>
      <x:c r="L102" s="17" t="str">
        <x:v>검토</x:v>
      </x:c>
      <x:c r="M102" s="17" t="str">
        <x:v>제한 문구 미탐지</x:v>
      </x:c>
      <x:c r="N102" s="17" t="str">
        <x:v>포털 목록 확인</x:v>
      </x:c>
      <x:c r="O102" s="17" t="str">
        <x:v>기관 공고 원문 확인</x:v>
      </x:c>
      <x:c r="P102" s="17" t="str">
        <x:v>기관 공고 원문 확인</x:v>
      </x:c>
      <x:c r="Q102" s="17" t="str">
        <x:v>기관 공고 원문 확인</x:v>
      </x:c>
      <x:c r="R102" s="17" t="str">
        <x:v>기관 공고 원문 확인</x:v>
      </x:c>
      <x:c r="S102" s="18" t="str">
        <x:v>https://job.cleaneye.go.kr/user/ypRecruitment.do</x:v>
      </x:c>
      <x:c r="T102" s="1"/>
      <x:c r="U102" s="1"/>
      <x:c r="V102" s="1"/>
      <x:c r="W102" s="1"/>
      <x:c r="X102" s="1"/>
      <x:c r="Y102" s="1"/>
      <x:c r="Z102" s="1"/>
    </x:row>
    <x:row r="103" ht="58" customHeight="1">
      <x:c r="A103" s="17" t="n">
        <x:v>99</x:v>
      </x:c>
      <x:c r="B103" s="17" t="str">
        <x:v>B</x:v>
      </x:c>
      <x:c r="C103" s="17" t="str">
        <x:v>Cleaneye Job+</x:v>
      </x:c>
      <x:c r="D103" s="17" t="str">
        <x:v>충남테크노파크</x:v>
      </x:c>
      <x:c r="E103" s="17" t="str">
        <x:v>2026년 충남테크노파크 제3차 직원(계약직) 채용 공고</x:v>
      </x:c>
      <x:c r="F103" s="17" t="str">
        <x:v>신입+경력</x:v>
      </x:c>
      <x:c r="G103" s="17" t="str">
        <x:v>기간제</x:v>
      </x:c>
      <x:c r="H103" s="17" t="str">
        <x:v>충청남도</x:v>
      </x:c>
      <x:c r="I103" s="17" t="str">
        <x:v>명시 없음(원문 확인)</x:v>
      </x:c>
      <x:c r="J103" s="17" t="str">
        <x:v>2026-09-10</x:v>
      </x:c>
      <x:c r="K103" s="17" t="str">
        <x:v>기간제·비정규</x:v>
      </x:c>
      <x:c r="L103" s="17" t="str">
        <x:v>검토</x:v>
      </x:c>
      <x:c r="M103" s="17" t="str">
        <x:v>제한 문구 미탐지</x:v>
      </x:c>
      <x:c r="N103" s="17" t="str">
        <x:v>포털 목록 확인</x:v>
      </x:c>
      <x:c r="O103" s="17" t="str">
        <x:v>기관 공고 원문 확인</x:v>
      </x:c>
      <x:c r="P103" s="17" t="str">
        <x:v>기관 공고 원문 확인</x:v>
      </x:c>
      <x:c r="Q103" s="17" t="str">
        <x:v>기관 공고 원문 확인</x:v>
      </x:c>
      <x:c r="R103" s="17" t="str">
        <x:v>기관 공고 원문 확인</x:v>
      </x:c>
      <x:c r="S103" s="18" t="str">
        <x:v>https://job.cleaneye.go.kr/user/ypRecruitment.do</x:v>
      </x:c>
      <x:c r="T103" s="1"/>
      <x:c r="U103" s="1"/>
      <x:c r="V103" s="1"/>
      <x:c r="W103" s="1"/>
      <x:c r="X103" s="1"/>
      <x:c r="Y103" s="1"/>
      <x:c r="Z103" s="1"/>
    </x:row>
    <x:row r="104" ht="58" customHeight="1">
      <x:c r="A104" s="17" t="n">
        <x:v>100</x:v>
      </x:c>
      <x:c r="B104" s="17" t="str">
        <x:v>B</x:v>
      </x:c>
      <x:c r="C104" s="17" t="str">
        <x:v>Cleaneye Job+</x:v>
      </x:c>
      <x:c r="D104" s="17" t="str">
        <x:v>경북행복재단</x:v>
      </x:c>
      <x:c r="E104" s="17" t="str">
        <x:v>경상북도여성장애인복지관 계약직(경북사회복지공동모금회 전담인력) 채용 재공고(제2026-34호)</x:v>
      </x:c>
      <x:c r="F104" s="17" t="str">
        <x:v>신입+경력</x:v>
      </x:c>
      <x:c r="G104" s="17" t="str">
        <x:v>일반계약직</x:v>
      </x:c>
      <x:c r="H104" s="17" t="str">
        <x:v>경상북도</x:v>
      </x:c>
      <x:c r="I104" s="17" t="str">
        <x:v>명시 없음(원문 확인)</x:v>
      </x:c>
      <x:c r="J104" s="17" t="str">
        <x:v>2026-09-11</x:v>
      </x:c>
      <x:c r="K104" s="17" t="str">
        <x:v>기타 채용</x:v>
      </x:c>
      <x:c r="L104" s="17" t="str">
        <x:v>검토</x:v>
      </x:c>
      <x:c r="M104" s="17" t="str">
        <x:v>제한 문구 미탐지</x:v>
      </x:c>
      <x:c r="N104" s="17" t="str">
        <x:v>포털 목록 확인</x:v>
      </x:c>
      <x:c r="O104" s="17" t="str">
        <x:v>기관 공고 원문 확인</x:v>
      </x:c>
      <x:c r="P104" s="17" t="str">
        <x:v>기관 공고 원문 확인</x:v>
      </x:c>
      <x:c r="Q104" s="17" t="str">
        <x:v>기관 공고 원문 확인</x:v>
      </x:c>
      <x:c r="R104" s="17" t="str">
        <x:v>기관 공고 원문 확인</x:v>
      </x:c>
      <x:c r="S104" s="18" t="str">
        <x:v>https://job.cleaneye.go.kr/user/ypRecruitment.do</x:v>
      </x:c>
      <x:c r="T104" s="1"/>
      <x:c r="U104" s="1"/>
      <x:c r="V104" s="1"/>
      <x:c r="W104" s="1"/>
      <x:c r="X104" s="1"/>
      <x:c r="Y104" s="1"/>
      <x:c r="Z104" s="1"/>
    </x:row>
    <x:row r="105" ht="58" customHeight="1">
      <x:c r="A105" s="17" t="n">
        <x:v>101</x:v>
      </x:c>
      <x:c r="B105" s="17" t="str">
        <x:v>B</x:v>
      </x:c>
      <x:c r="C105" s="17" t="str">
        <x:v>Cleaneye Job+</x:v>
      </x:c>
      <x:c r="D105" s="17" t="str">
        <x:v>고양도시관리공사</x:v>
      </x:c>
      <x:c r="E105" s="17" t="str">
        <x:v>고양어울림누리 기간제 직원 채용 공고</x:v>
      </x:c>
      <x:c r="F105" s="17" t="str">
        <x:v>신입</x:v>
      </x:c>
      <x:c r="G105" s="17" t="str">
        <x:v>기간제</x:v>
      </x:c>
      <x:c r="H105" s="17" t="str">
        <x:v>경기도</x:v>
      </x:c>
      <x:c r="I105" s="17" t="str">
        <x:v>서울시, 경기도, 인천시</x:v>
      </x:c>
      <x:c r="J105" s="17" t="str">
        <x:v>2026-09-11</x:v>
      </x:c>
      <x:c r="K105" s="17" t="str">
        <x:v>기간제·비정규</x:v>
      </x:c>
      <x:c r="L105" s="17" t="str">
        <x:v>검토</x:v>
      </x:c>
      <x:c r="M105" s="17" t="str">
        <x:v>제한 문구 미탐지</x:v>
      </x:c>
      <x:c r="N105" s="17" t="str">
        <x:v>포털 목록 확인</x:v>
      </x:c>
      <x:c r="O105" s="17" t="str">
        <x:v>기관 공고 원문 확인</x:v>
      </x:c>
      <x:c r="P105" s="17" t="str">
        <x:v>기관 공고 원문 확인</x:v>
      </x:c>
      <x:c r="Q105" s="17" t="str">
        <x:v>기관 공고 원문 확인</x:v>
      </x:c>
      <x:c r="R105" s="17" t="str">
        <x:v>기관 공고 원문 확인</x:v>
      </x:c>
      <x:c r="S105" s="18" t="str">
        <x:v>https://job.cleaneye.go.kr/user/ypRecruitment.do</x:v>
      </x:c>
      <x:c r="T105" s="1"/>
      <x:c r="U105" s="1"/>
      <x:c r="V105" s="1"/>
      <x:c r="W105" s="1"/>
      <x:c r="X105" s="1"/>
      <x:c r="Y105" s="1"/>
      <x:c r="Z105" s="1"/>
    </x:row>
    <x:row r="106" ht="58" customHeight="1">
      <x:c r="A106" s="17" t="n">
        <x:v>102</x:v>
      </x:c>
      <x:c r="B106" s="17" t="str">
        <x:v>B</x:v>
      </x:c>
      <x:c r="C106" s="17" t="str">
        <x:v>Cleaneye Job+</x:v>
      </x:c>
      <x:c r="D106" s="17" t="str">
        <x:v>고양도시관리공사</x:v>
      </x:c>
      <x:c r="E106" s="17" t="str">
        <x:v>고양바이오매스에너지시설 기간제 근로자 채용 공고</x:v>
      </x:c>
      <x:c r="F106" s="17" t="str">
        <x:v>신입+경력</x:v>
      </x:c>
      <x:c r="G106" s="17" t="str">
        <x:v>기간제</x:v>
      </x:c>
      <x:c r="H106" s="17" t="str">
        <x:v>경기도</x:v>
      </x:c>
      <x:c r="I106" s="17" t="str">
        <x:v>명시 없음(원문 확인)</x:v>
      </x:c>
      <x:c r="J106" s="17" t="str">
        <x:v>2026-09-11</x:v>
      </x:c>
      <x:c r="K106" s="17" t="str">
        <x:v>기간제·비정규</x:v>
      </x:c>
      <x:c r="L106" s="17" t="str">
        <x:v>검토</x:v>
      </x:c>
      <x:c r="M106" s="17" t="str">
        <x:v>제한 문구 미탐지</x:v>
      </x:c>
      <x:c r="N106" s="17" t="str">
        <x:v>포털 목록 확인</x:v>
      </x:c>
      <x:c r="O106" s="17" t="str">
        <x:v>기관 공고 원문 확인</x:v>
      </x:c>
      <x:c r="P106" s="17" t="str">
        <x:v>기관 공고 원문 확인</x:v>
      </x:c>
      <x:c r="Q106" s="17" t="str">
        <x:v>기관 공고 원문 확인</x:v>
      </x:c>
      <x:c r="R106" s="17" t="str">
        <x:v>기관 공고 원문 확인</x:v>
      </x:c>
      <x:c r="S106" s="18" t="str">
        <x:v>https://job.cleaneye.go.kr/user/ypRecruitment.do</x:v>
      </x:c>
      <x:c r="T106" s="1"/>
      <x:c r="U106" s="1"/>
      <x:c r="V106" s="1"/>
      <x:c r="W106" s="1"/>
      <x:c r="X106" s="1"/>
      <x:c r="Y106" s="1"/>
      <x:c r="Z106" s="1"/>
    </x:row>
    <x:row r="107" ht="58" customHeight="1">
      <x:c r="A107" s="17" t="n">
        <x:v>103</x:v>
      </x:c>
      <x:c r="B107" s="17" t="str">
        <x:v>B</x:v>
      </x:c>
      <x:c r="C107" s="17" t="str">
        <x:v>Cleaneye Job+</x:v>
      </x:c>
      <x:c r="D107" s="17" t="str">
        <x:v>대전광역시시설관리공단</x:v>
      </x:c>
      <x:c r="E107" s="17" t="str">
        <x:v>대전추모공원 일용직근로자 채용 공고</x:v>
      </x:c>
      <x:c r="F107" s="17" t="str">
        <x:v>신입</x:v>
      </x:c>
      <x:c r="G107" s="17" t="str">
        <x:v>기간제</x:v>
      </x:c>
      <x:c r="H107" s="17" t="str">
        <x:v>대전광역시</x:v>
      </x:c>
      <x:c r="I107" s="17" t="str">
        <x:v>대전광역시</x:v>
      </x:c>
      <x:c r="J107" s="17" t="str">
        <x:v>2026-09-11</x:v>
      </x:c>
      <x:c r="K107" s="17" t="str">
        <x:v>기간제·비정규</x:v>
      </x:c>
      <x:c r="L107" s="17" t="str">
        <x:v>검토</x:v>
      </x:c>
      <x:c r="M107" s="17" t="str">
        <x:v>제한 문구 미탐지</x:v>
      </x:c>
      <x:c r="N107" s="17" t="str">
        <x:v>포털 목록 확인</x:v>
      </x:c>
      <x:c r="O107" s="17" t="str">
        <x:v>기관 공고 원문 확인</x:v>
      </x:c>
      <x:c r="P107" s="17" t="str">
        <x:v>기관 공고 원문 확인</x:v>
      </x:c>
      <x:c r="Q107" s="17" t="str">
        <x:v>기관 공고 원문 확인</x:v>
      </x:c>
      <x:c r="R107" s="17" t="str">
        <x:v>기관 공고 원문 확인</x:v>
      </x:c>
      <x:c r="S107" s="18" t="str">
        <x:v>https://job.cleaneye.go.kr/user/ypRecruitment.do</x:v>
      </x:c>
      <x:c r="T107" s="1"/>
      <x:c r="U107" s="1"/>
      <x:c r="V107" s="1"/>
      <x:c r="W107" s="1"/>
      <x:c r="X107" s="1"/>
      <x:c r="Y107" s="1"/>
      <x:c r="Z107" s="1"/>
    </x:row>
    <x:row r="108" ht="58" customHeight="1">
      <x:c r="A108" s="17" t="n">
        <x:v>104</x:v>
      </x:c>
      <x:c r="B108" s="17" t="str">
        <x:v>B</x:v>
      </x:c>
      <x:c r="C108" s="17" t="str">
        <x:v>Cleaneye Job+</x:v>
      </x:c>
      <x:c r="D108" s="17" t="str">
        <x:v>대전광역시시설관리공단</x:v>
      </x:c>
      <x:c r="E108" s="17" t="str">
        <x:v>대전추모공원 기간제근로자(취사인부) 채용 공고</x:v>
      </x:c>
      <x:c r="F108" s="17" t="str">
        <x:v>신입</x:v>
      </x:c>
      <x:c r="G108" s="17" t="str">
        <x:v>기간제</x:v>
      </x:c>
      <x:c r="H108" s="17" t="str">
        <x:v>대전광역시</x:v>
      </x:c>
      <x:c r="I108" s="17" t="str">
        <x:v>대전광역시 서구 괴곡동</x:v>
      </x:c>
      <x:c r="J108" s="17" t="str">
        <x:v>2026-09-11</x:v>
      </x:c>
      <x:c r="K108" s="17" t="str">
        <x:v>기간제·비정규</x:v>
      </x:c>
      <x:c r="L108" s="17" t="str">
        <x:v>검토</x:v>
      </x:c>
      <x:c r="M108" s="17" t="str">
        <x:v>제한 문구 미탐지</x:v>
      </x:c>
      <x:c r="N108" s="17" t="str">
        <x:v>포털 목록 확인</x:v>
      </x:c>
      <x:c r="O108" s="17" t="str">
        <x:v>기관 공고 원문 확인</x:v>
      </x:c>
      <x:c r="P108" s="17" t="str">
        <x:v>기관 공고 원문 확인</x:v>
      </x:c>
      <x:c r="Q108" s="17" t="str">
        <x:v>기관 공고 원문 확인</x:v>
      </x:c>
      <x:c r="R108" s="17" t="str">
        <x:v>기관 공고 원문 확인</x:v>
      </x:c>
      <x:c r="S108" s="18" t="str">
        <x:v>https://job.cleaneye.go.kr/user/ypRecruitment.do</x:v>
      </x:c>
      <x:c r="T108" s="1"/>
      <x:c r="U108" s="1"/>
      <x:c r="V108" s="1"/>
      <x:c r="W108" s="1"/>
      <x:c r="X108" s="1"/>
      <x:c r="Y108" s="1"/>
      <x:c r="Z108" s="1"/>
    </x:row>
    <x:row r="109" ht="58" customHeight="1">
      <x:c r="A109" s="17" t="n">
        <x:v>105</x:v>
      </x:c>
      <x:c r="B109" s="17" t="str">
        <x:v>B</x:v>
      </x:c>
      <x:c r="C109" s="17" t="str">
        <x:v>Cleaneye Job+</x:v>
      </x:c>
      <x:c r="D109" s="17" t="str">
        <x:v>부산광역시기장군도시관리공단</x:v>
      </x:c>
      <x:c r="E109" s="17" t="str">
        <x:v>2026년도 제1회 기장군노인복지관 노인맞춤돌봄서비스 퇴원환자 단기집중 서비스 제공 인력 모집 공고</x:v>
      </x:c>
      <x:c r="F109" s="17" t="str">
        <x:v>신입+경력</x:v>
      </x:c>
      <x:c r="G109" s="17" t="str">
        <x:v>기간제</x:v>
      </x:c>
      <x:c r="H109" s="17" t="str">
        <x:v>부산광역시</x:v>
      </x:c>
      <x:c r="I109" s="17" t="str">
        <x:v>명시 없음(원문 확인)</x:v>
      </x:c>
      <x:c r="J109" s="17" t="str">
        <x:v>2026-09-11</x:v>
      </x:c>
      <x:c r="K109" s="17" t="str">
        <x:v>기간제·비정규</x:v>
      </x:c>
      <x:c r="L109" s="17" t="str">
        <x:v>검토</x:v>
      </x:c>
      <x:c r="M109" s="17" t="str">
        <x:v>제한 문구 미탐지</x:v>
      </x:c>
      <x:c r="N109" s="17" t="str">
        <x:v>포털 목록 확인</x:v>
      </x:c>
      <x:c r="O109" s="17" t="str">
        <x:v>기관 공고 원문 확인</x:v>
      </x:c>
      <x:c r="P109" s="17" t="str">
        <x:v>기관 공고 원문 확인</x:v>
      </x:c>
      <x:c r="Q109" s="17" t="str">
        <x:v>기관 공고 원문 확인</x:v>
      </x:c>
      <x:c r="R109" s="17" t="str">
        <x:v>기관 공고 원문 확인</x:v>
      </x:c>
      <x:c r="S109" s="18" t="str">
        <x:v>https://job.cleaneye.go.kr/user/ypRecruitment.do</x:v>
      </x:c>
      <x:c r="T109" s="1"/>
      <x:c r="U109" s="1"/>
      <x:c r="V109" s="1"/>
      <x:c r="W109" s="1"/>
      <x:c r="X109" s="1"/>
      <x:c r="Y109" s="1"/>
      <x:c r="Z109" s="1"/>
    </x:row>
    <x:row r="110" ht="58" customHeight="1">
      <x:c r="A110" s="17" t="n">
        <x:v>106</x:v>
      </x:c>
      <x:c r="B110" s="17" t="str">
        <x:v>B</x:v>
      </x:c>
      <x:c r="C110" s="17" t="str">
        <x:v>Cleaneye Job+</x:v>
      </x:c>
      <x:c r="D110" s="17" t="str">
        <x:v>부산환경공단</x:v>
      </x:c>
      <x:c r="E110" s="17" t="str">
        <x:v>부산환경공단 하수자원사업소 기간제근로자(경비종사원) 채용 재공고</x:v>
      </x:c>
      <x:c r="F110" s="17" t="str">
        <x:v>신입</x:v>
      </x:c>
      <x:c r="G110" s="17" t="str">
        <x:v>기간제</x:v>
      </x:c>
      <x:c r="H110" s="17" t="str">
        <x:v>부산광역시</x:v>
      </x:c>
      <x:c r="I110" s="17" t="str">
        <x:v>부산광역시</x:v>
      </x:c>
      <x:c r="J110" s="17" t="str">
        <x:v>2026-09-11</x:v>
      </x:c>
      <x:c r="K110" s="17" t="str">
        <x:v>기간제·비정규</x:v>
      </x:c>
      <x:c r="L110" s="17" t="str">
        <x:v>검토</x:v>
      </x:c>
      <x:c r="M110" s="17" t="str">
        <x:v>제한 문구 미탐지</x:v>
      </x:c>
      <x:c r="N110" s="17" t="str">
        <x:v>포털 목록 확인</x:v>
      </x:c>
      <x:c r="O110" s="17" t="str">
        <x:v>기관 공고 원문 확인</x:v>
      </x:c>
      <x:c r="P110" s="17" t="str">
        <x:v>기관 공고 원문 확인</x:v>
      </x:c>
      <x:c r="Q110" s="17" t="str">
        <x:v>기관 공고 원문 확인</x:v>
      </x:c>
      <x:c r="R110" s="17" t="str">
        <x:v>기관 공고 원문 확인</x:v>
      </x:c>
      <x:c r="S110" s="18" t="str">
        <x:v>https://job.cleaneye.go.kr/user/ypRecruitment.do</x:v>
      </x:c>
      <x:c r="T110" s="1"/>
      <x:c r="U110" s="1"/>
      <x:c r="V110" s="1"/>
      <x:c r="W110" s="1"/>
      <x:c r="X110" s="1"/>
      <x:c r="Y110" s="1"/>
      <x:c r="Z110" s="1"/>
    </x:row>
    <x:row r="111" ht="58" customHeight="1">
      <x:c r="A111" s="17" t="n">
        <x:v>107</x:v>
      </x:c>
      <x:c r="B111" s="17" t="str">
        <x:v>B</x:v>
      </x:c>
      <x:c r="C111" s="17" t="str">
        <x:v>Cleaneye Job+</x:v>
      </x:c>
      <x:c r="D111" s="17" t="str">
        <x:v>서울의료원</x:v>
      </x:c>
      <x:c r="E111" s="17" t="str">
        <x:v>2026년 제45회 기간제근로자 조리원(휴직대체) 직원 모집 공고</x:v>
      </x:c>
      <x:c r="F111" s="17" t="str">
        <x:v>신입</x:v>
      </x:c>
      <x:c r="G111" s="17" t="str">
        <x:v>기간제</x:v>
      </x:c>
      <x:c r="H111" s="17" t="str">
        <x:v>서울특별시</x:v>
      </x:c>
      <x:c r="I111" s="17" t="str">
        <x:v>명시 없음(원문 확인)</x:v>
      </x:c>
      <x:c r="J111" s="17" t="str">
        <x:v>2026-09-11</x:v>
      </x:c>
      <x:c r="K111" s="17" t="str">
        <x:v>기간제·비정규</x:v>
      </x:c>
      <x:c r="L111" s="17" t="str">
        <x:v>검토</x:v>
      </x:c>
      <x:c r="M111" s="17" t="str">
        <x:v>제한 문구 미탐지</x:v>
      </x:c>
      <x:c r="N111" s="17" t="str">
        <x:v>포털 목록 확인</x:v>
      </x:c>
      <x:c r="O111" s="17" t="str">
        <x:v>기관 공고 원문 확인</x:v>
      </x:c>
      <x:c r="P111" s="17" t="str">
        <x:v>기관 공고 원문 확인</x:v>
      </x:c>
      <x:c r="Q111" s="17" t="str">
        <x:v>기관 공고 원문 확인</x:v>
      </x:c>
      <x:c r="R111" s="17" t="str">
        <x:v>기관 공고 원문 확인</x:v>
      </x:c>
      <x:c r="S111" s="18" t="str">
        <x:v>https://job.cleaneye.go.kr/user/ypRecruitment.do</x:v>
      </x:c>
      <x:c r="T111" s="1"/>
      <x:c r="U111" s="1"/>
      <x:c r="V111" s="1"/>
      <x:c r="W111" s="1"/>
      <x:c r="X111" s="1"/>
      <x:c r="Y111" s="1"/>
      <x:c r="Z111" s="1"/>
    </x:row>
    <x:row r="112" ht="58" customHeight="1">
      <x:c r="A112" s="17" t="n">
        <x:v>108</x:v>
      </x:c>
      <x:c r="B112" s="17" t="str">
        <x:v>B</x:v>
      </x:c>
      <x:c r="C112" s="17" t="str">
        <x:v>Cleaneye Job+</x:v>
      </x:c>
      <x:c r="D112" s="17" t="str">
        <x:v>서울의료원</x:v>
      </x:c>
      <x:c r="E112" s="17" t="str">
        <x:v>2026년 제29회 정규직 조리원 직원 모집 공고</x:v>
      </x:c>
      <x:c r="F112" s="17" t="str">
        <x:v>신입</x:v>
      </x:c>
      <x:c r="G112" s="17" t="str">
        <x:v>일반정규직</x:v>
      </x:c>
      <x:c r="H112" s="17" t="str">
        <x:v>서울특별시</x:v>
      </x:c>
      <x:c r="I112" s="17" t="str">
        <x:v>명시 없음(원문 확인)</x:v>
      </x:c>
      <x:c r="J112" s="17" t="str">
        <x:v>2026-09-11</x:v>
      </x:c>
      <x:c r="K112" s="17" t="str">
        <x:v>정규직(세부 확인)</x:v>
      </x:c>
      <x:c r="L112" s="17" t="str">
        <x:v>검토</x:v>
      </x:c>
      <x:c r="M112" s="17" t="str">
        <x:v>제한 문구 미탐지</x:v>
      </x:c>
      <x:c r="N112" s="17" t="str">
        <x:v>포털 목록 확인</x:v>
      </x:c>
      <x:c r="O112" s="17" t="str">
        <x:v>기관 공고 원문 확인</x:v>
      </x:c>
      <x:c r="P112" s="17" t="str">
        <x:v>기관 공고 원문 확인</x:v>
      </x:c>
      <x:c r="Q112" s="17" t="str">
        <x:v>기관 공고 원문 확인</x:v>
      </x:c>
      <x:c r="R112" s="17" t="str">
        <x:v>기관 공고 원문 확인</x:v>
      </x:c>
      <x:c r="S112" s="18" t="str">
        <x:v>https://job.cleaneye.go.kr/user/ypRecruitment.do</x:v>
      </x:c>
      <x:c r="T112" s="1"/>
      <x:c r="U112" s="1"/>
      <x:c r="V112" s="1"/>
      <x:c r="W112" s="1"/>
      <x:c r="X112" s="1"/>
      <x:c r="Y112" s="1"/>
      <x:c r="Z112" s="1"/>
    </x:row>
    <x:row r="113" ht="58" customHeight="1">
      <x:c r="A113" s="17" t="n">
        <x:v>109</x:v>
      </x:c>
      <x:c r="B113" s="17" t="str">
        <x:v>B</x:v>
      </x:c>
      <x:c r="C113" s="17" t="str">
        <x:v>Cleaneye Job+</x:v>
      </x:c>
      <x:c r="D113" s="17" t="str">
        <x:v>서울의료원</x:v>
      </x:c>
      <x:c r="E113" s="17" t="str">
        <x:v>2026년 제44회 기간제근로자 연구원(공공보건의료지원단) 직원 모집 공고</x:v>
      </x:c>
      <x:c r="F113" s="17" t="str">
        <x:v>신입</x:v>
      </x:c>
      <x:c r="G113" s="17" t="str">
        <x:v>기간제</x:v>
      </x:c>
      <x:c r="H113" s="17" t="str">
        <x:v>서울특별시</x:v>
      </x:c>
      <x:c r="I113" s="17" t="str">
        <x:v>명시 없음(원문 확인)</x:v>
      </x:c>
      <x:c r="J113" s="17" t="str">
        <x:v>2026-09-11</x:v>
      </x:c>
      <x:c r="K113" s="17" t="str">
        <x:v>기간제·비정규</x:v>
      </x:c>
      <x:c r="L113" s="17" t="str">
        <x:v>검토</x:v>
      </x:c>
      <x:c r="M113" s="17" t="str">
        <x:v>제한 문구 미탐지</x:v>
      </x:c>
      <x:c r="N113" s="17" t="str">
        <x:v>포털 목록 확인</x:v>
      </x:c>
      <x:c r="O113" s="17" t="str">
        <x:v>기관 공고 원문 확인</x:v>
      </x:c>
      <x:c r="P113" s="17" t="str">
        <x:v>기관 공고 원문 확인</x:v>
      </x:c>
      <x:c r="Q113" s="17" t="str">
        <x:v>기관 공고 원문 확인</x:v>
      </x:c>
      <x:c r="R113" s="17" t="str">
        <x:v>기관 공고 원문 확인</x:v>
      </x:c>
      <x:c r="S113" s="18" t="str">
        <x:v>https://job.cleaneye.go.kr/user/ypRecruitment.do</x:v>
      </x:c>
      <x:c r="T113" s="1"/>
      <x:c r="U113" s="1"/>
      <x:c r="V113" s="1"/>
      <x:c r="W113" s="1"/>
      <x:c r="X113" s="1"/>
      <x:c r="Y113" s="1"/>
      <x:c r="Z113" s="1"/>
    </x:row>
    <x:row r="114" ht="58" customHeight="1">
      <x:c r="A114" s="17" t="n">
        <x:v>110</x:v>
      </x:c>
      <x:c r="B114" s="17" t="str">
        <x:v>B</x:v>
      </x:c>
      <x:c r="C114" s="17" t="str">
        <x:v>Cleaneye Job+</x:v>
      </x:c>
      <x:c r="D114" s="17" t="str">
        <x:v>양산시인재육성장학재단</x:v>
      </x:c>
      <x:c r="E114" s="17" t="str">
        <x:v>(재)양산시인재육성장학재단 기간제근로자 채용 공고</x:v>
      </x:c>
      <x:c r="F114" s="17" t="str">
        <x:v>신입+경력</x:v>
      </x:c>
      <x:c r="G114" s="17" t="str">
        <x:v>기간제</x:v>
      </x:c>
      <x:c r="H114" s="17" t="str">
        <x:v>경상남도</x:v>
      </x:c>
      <x:c r="I114" s="17" t="str">
        <x:v>명시 없음(원문 확인)</x:v>
      </x:c>
      <x:c r="J114" s="17" t="str">
        <x:v>2026-09-11</x:v>
      </x:c>
      <x:c r="K114" s="17" t="str">
        <x:v>기간제·비정규</x:v>
      </x:c>
      <x:c r="L114" s="17" t="str">
        <x:v>검토</x:v>
      </x:c>
      <x:c r="M114" s="17" t="str">
        <x:v>제한 문구 미탐지</x:v>
      </x:c>
      <x:c r="N114" s="17" t="str">
        <x:v>포털 목록 확인</x:v>
      </x:c>
      <x:c r="O114" s="17" t="str">
        <x:v>기관 공고 원문 확인</x:v>
      </x:c>
      <x:c r="P114" s="17" t="str">
        <x:v>기관 공고 원문 확인</x:v>
      </x:c>
      <x:c r="Q114" s="17" t="str">
        <x:v>기관 공고 원문 확인</x:v>
      </x:c>
      <x:c r="R114" s="17" t="str">
        <x:v>기관 공고 원문 확인</x:v>
      </x:c>
      <x:c r="S114" s="18" t="str">
        <x:v>https://job.cleaneye.go.kr/user/ypRecruitment.do</x:v>
      </x:c>
      <x:c r="T114" s="1"/>
      <x:c r="U114" s="1"/>
      <x:c r="V114" s="1"/>
      <x:c r="W114" s="1"/>
      <x:c r="X114" s="1"/>
      <x:c r="Y114" s="1"/>
      <x:c r="Z114" s="1"/>
    </x:row>
    <x:row r="115" ht="58" customHeight="1">
      <x:c r="A115" s="17" t="n">
        <x:v>111</x:v>
      </x:c>
      <x:c r="B115" s="17" t="str">
        <x:v>B</x:v>
      </x:c>
      <x:c r="C115" s="17" t="str">
        <x:v>Cleaneye Job+</x:v>
      </x:c>
      <x:c r="D115" s="17" t="str">
        <x:v>울산시설공단</x:v>
      </x:c>
      <x:c r="E115" s="17" t="str">
        <x:v>2026년 울산시설공단 공원운영팀 수영장안전관리 기간제(단시간)근로자 채용 공고</x:v>
      </x:c>
      <x:c r="F115" s="17" t="str">
        <x:v>신입</x:v>
      </x:c>
      <x:c r="G115" s="17" t="str">
        <x:v>기간제</x:v>
      </x:c>
      <x:c r="H115" s="17" t="str">
        <x:v>울산광역시</x:v>
      </x:c>
      <x:c r="I115" s="17" t="str">
        <x:v>울산광역시</x:v>
      </x:c>
      <x:c r="J115" s="17" t="str">
        <x:v>2026-09-11</x:v>
      </x:c>
      <x:c r="K115" s="17" t="str">
        <x:v>기간제·비정규</x:v>
      </x:c>
      <x:c r="L115" s="17" t="str">
        <x:v>검토</x:v>
      </x:c>
      <x:c r="M115" s="17" t="str">
        <x:v>제한 문구 미탐지</x:v>
      </x:c>
      <x:c r="N115" s="17" t="str">
        <x:v>포털 목록 확인</x:v>
      </x:c>
      <x:c r="O115" s="17" t="str">
        <x:v>기관 공고 원문 확인</x:v>
      </x:c>
      <x:c r="P115" s="17" t="str">
        <x:v>기관 공고 원문 확인</x:v>
      </x:c>
      <x:c r="Q115" s="17" t="str">
        <x:v>기관 공고 원문 확인</x:v>
      </x:c>
      <x:c r="R115" s="17" t="str">
        <x:v>기관 공고 원문 확인</x:v>
      </x:c>
      <x:c r="S115" s="18" t="str">
        <x:v>https://job.cleaneye.go.kr/user/ypRecruitment.do</x:v>
      </x:c>
      <x:c r="T115" s="1"/>
      <x:c r="U115" s="1"/>
      <x:c r="V115" s="1"/>
      <x:c r="W115" s="1"/>
      <x:c r="X115" s="1"/>
      <x:c r="Y115" s="1"/>
      <x:c r="Z115" s="1"/>
    </x:row>
    <x:row r="116" ht="58" customHeight="1">
      <x:c r="A116" s="17" t="n">
        <x:v>112</x:v>
      </x:c>
      <x:c r="B116" s="17" t="str">
        <x:v>B</x:v>
      </x:c>
      <x:c r="C116" s="17" t="str">
        <x:v>Cleaneye Job+</x:v>
      </x:c>
      <x:c r="D116" s="17" t="str">
        <x:v>의정부도시공사</x:v>
      </x:c>
      <x:c r="E116" s="17" t="str">
        <x:v>2026년 제10회 생활체육처 기간제근로자 채용 공고</x:v>
      </x:c>
      <x:c r="F116" s="17" t="str">
        <x:v>신입</x:v>
      </x:c>
      <x:c r="G116" s="17" t="str">
        <x:v>기간제</x:v>
      </x:c>
      <x:c r="H116" s="17" t="str">
        <x:v>경기도</x:v>
      </x:c>
      <x:c r="I116" s="17" t="str">
        <x:v>명시 없음(원문 확인)</x:v>
      </x:c>
      <x:c r="J116" s="17" t="str">
        <x:v>2026-09-11</x:v>
      </x:c>
      <x:c r="K116" s="17" t="str">
        <x:v>기간제·비정규</x:v>
      </x:c>
      <x:c r="L116" s="17" t="str">
        <x:v>검토</x:v>
      </x:c>
      <x:c r="M116" s="17" t="str">
        <x:v>제한 문구 미탐지</x:v>
      </x:c>
      <x:c r="N116" s="17" t="str">
        <x:v>포털 목록 확인</x:v>
      </x:c>
      <x:c r="O116" s="17" t="str">
        <x:v>기관 공고 원문 확인</x:v>
      </x:c>
      <x:c r="P116" s="17" t="str">
        <x:v>기관 공고 원문 확인</x:v>
      </x:c>
      <x:c r="Q116" s="17" t="str">
        <x:v>기관 공고 원문 확인</x:v>
      </x:c>
      <x:c r="R116" s="17" t="str">
        <x:v>기관 공고 원문 확인</x:v>
      </x:c>
      <x:c r="S116" s="18" t="str">
        <x:v>https://job.cleaneye.go.kr/user/ypRecruitment.do</x:v>
      </x:c>
      <x:c r="T116" s="1"/>
      <x:c r="U116" s="1"/>
      <x:c r="V116" s="1"/>
      <x:c r="W116" s="1"/>
      <x:c r="X116" s="1"/>
      <x:c r="Y116" s="1"/>
      <x:c r="Z116" s="1"/>
    </x:row>
    <x:row r="117" ht="58" customHeight="1">
      <x:c r="A117" s="17" t="n">
        <x:v>113</x:v>
      </x:c>
      <x:c r="B117" s="17" t="str">
        <x:v>B</x:v>
      </x:c>
      <x:c r="C117" s="17" t="str">
        <x:v>Cleaneye Job+</x:v>
      </x:c>
      <x:c r="D117" s="17" t="str">
        <x:v>인천광역시연수구시설안전관리공단</x:v>
      </x:c>
      <x:c r="E117" s="17" t="str">
        <x:v>2026년 제10회 체육사업팀 기간제근로자 채용 공고</x:v>
      </x:c>
      <x:c r="F117" s="17" t="str">
        <x:v>신입+경력</x:v>
      </x:c>
      <x:c r="G117" s="17" t="str">
        <x:v>기간제</x:v>
      </x:c>
      <x:c r="H117" s="17" t="str">
        <x:v>인천광역시</x:v>
      </x:c>
      <x:c r="I117" s="17" t="str">
        <x:v>명시 없음(원문 확인)</x:v>
      </x:c>
      <x:c r="J117" s="17" t="str">
        <x:v>2026-09-11</x:v>
      </x:c>
      <x:c r="K117" s="17" t="str">
        <x:v>기간제·비정규</x:v>
      </x:c>
      <x:c r="L117" s="17" t="str">
        <x:v>검토</x:v>
      </x:c>
      <x:c r="M117" s="17" t="str">
        <x:v>제한 문구 미탐지</x:v>
      </x:c>
      <x:c r="N117" s="17" t="str">
        <x:v>포털 목록 확인</x:v>
      </x:c>
      <x:c r="O117" s="17" t="str">
        <x:v>기관 공고 원문 확인</x:v>
      </x:c>
      <x:c r="P117" s="17" t="str">
        <x:v>기관 공고 원문 확인</x:v>
      </x:c>
      <x:c r="Q117" s="17" t="str">
        <x:v>기관 공고 원문 확인</x:v>
      </x:c>
      <x:c r="R117" s="17" t="str">
        <x:v>기관 공고 원문 확인</x:v>
      </x:c>
      <x:c r="S117" s="18" t="str">
        <x:v>https://job.cleaneye.go.kr/user/ypRecruitment.do</x:v>
      </x:c>
      <x:c r="T117" s="1"/>
      <x:c r="U117" s="1"/>
      <x:c r="V117" s="1"/>
      <x:c r="W117" s="1"/>
      <x:c r="X117" s="1"/>
      <x:c r="Y117" s="1"/>
      <x:c r="Z117" s="1"/>
    </x:row>
    <x:row r="118" ht="58" customHeight="1">
      <x:c r="A118" s="17" t="n">
        <x:v>114</x:v>
      </x:c>
      <x:c r="B118" s="17" t="str">
        <x:v>B</x:v>
      </x:c>
      <x:c r="C118" s="17" t="str">
        <x:v>Cleaneye Job+</x:v>
      </x:c>
      <x:c r="D118" s="17" t="str">
        <x:v>인천광역시연수구시설안전관리공단</x:v>
      </x:c>
      <x:c r="E118" s="17" t="str">
        <x:v>2026년 제11회 송도체육센터 시간 강사 채용 공고</x:v>
      </x:c>
      <x:c r="F118" s="17" t="str">
        <x:v>신입+경력</x:v>
      </x:c>
      <x:c r="G118" s="17" t="str">
        <x:v>기간제</x:v>
      </x:c>
      <x:c r="H118" s="17" t="str">
        <x:v>인천광역시</x:v>
      </x:c>
      <x:c r="I118" s="17" t="str">
        <x:v>명시 없음(원문 확인)</x:v>
      </x:c>
      <x:c r="J118" s="17" t="str">
        <x:v>2026-09-11</x:v>
      </x:c>
      <x:c r="K118" s="17" t="str">
        <x:v>기간제·비정규</x:v>
      </x:c>
      <x:c r="L118" s="17" t="str">
        <x:v>검토</x:v>
      </x:c>
      <x:c r="M118" s="17" t="str">
        <x:v>제한 문구 미탐지</x:v>
      </x:c>
      <x:c r="N118" s="17" t="str">
        <x:v>포털 목록 확인</x:v>
      </x:c>
      <x:c r="O118" s="17" t="str">
        <x:v>기관 공고 원문 확인</x:v>
      </x:c>
      <x:c r="P118" s="17" t="str">
        <x:v>기관 공고 원문 확인</x:v>
      </x:c>
      <x:c r="Q118" s="17" t="str">
        <x:v>기관 공고 원문 확인</x:v>
      </x:c>
      <x:c r="R118" s="17" t="str">
        <x:v>기관 공고 원문 확인</x:v>
      </x:c>
      <x:c r="S118" s="18" t="str">
        <x:v>https://job.cleaneye.go.kr/user/ypRecruitment.do</x:v>
      </x:c>
      <x:c r="T118" s="1"/>
      <x:c r="U118" s="1"/>
      <x:c r="V118" s="1"/>
      <x:c r="W118" s="1"/>
      <x:c r="X118" s="1"/>
      <x:c r="Y118" s="1"/>
      <x:c r="Z118" s="1"/>
    </x:row>
    <x:row r="119" ht="58" customHeight="1">
      <x:c r="A119" s="17" t="n">
        <x:v>115</x:v>
      </x:c>
      <x:c r="B119" s="17" t="str">
        <x:v>B</x:v>
      </x:c>
      <x:c r="C119" s="17" t="str">
        <x:v>Cleaneye Job+</x:v>
      </x:c>
      <x:c r="D119" s="17" t="str">
        <x:v>인천시설공단</x:v>
      </x:c>
      <x:c r="E119" s="17" t="str">
        <x:v>청사관리 기간제근로자 채용(26-03) 공고</x:v>
      </x:c>
      <x:c r="F119" s="17" t="str">
        <x:v>신입</x:v>
      </x:c>
      <x:c r="G119" s="17" t="str">
        <x:v>기간제</x:v>
      </x:c>
      <x:c r="H119" s="17" t="str">
        <x:v>인천광역시</x:v>
      </x:c>
      <x:c r="I119" s="17" t="str">
        <x:v>명시 없음(원문 확인)</x:v>
      </x:c>
      <x:c r="J119" s="17" t="str">
        <x:v>2026-09-11</x:v>
      </x:c>
      <x:c r="K119" s="17" t="str">
        <x:v>기간제·비정규</x:v>
      </x:c>
      <x:c r="L119" s="17" t="str">
        <x:v>검토</x:v>
      </x:c>
      <x:c r="M119" s="17" t="str">
        <x:v>제한 문구 미탐지</x:v>
      </x:c>
      <x:c r="N119" s="17" t="str">
        <x:v>포털 목록 확인</x:v>
      </x:c>
      <x:c r="O119" s="17" t="str">
        <x:v>기관 공고 원문 확인</x:v>
      </x:c>
      <x:c r="P119" s="17" t="str">
        <x:v>기관 공고 원문 확인</x:v>
      </x:c>
      <x:c r="Q119" s="17" t="str">
        <x:v>기관 공고 원문 확인</x:v>
      </x:c>
      <x:c r="R119" s="17" t="str">
        <x:v>기관 공고 원문 확인</x:v>
      </x:c>
      <x:c r="S119" s="18" t="str">
        <x:v>https://job.cleaneye.go.kr/user/ypRecruitment.do</x:v>
      </x:c>
      <x:c r="T119" s="1"/>
      <x:c r="U119" s="1"/>
      <x:c r="V119" s="1"/>
      <x:c r="W119" s="1"/>
      <x:c r="X119" s="1"/>
      <x:c r="Y119" s="1"/>
      <x:c r="Z119" s="1"/>
    </x:row>
    <x:row r="120" ht="58" customHeight="1">
      <x:c r="A120" s="17" t="n">
        <x:v>116</x:v>
      </x:c>
      <x:c r="B120" s="17" t="str">
        <x:v>B</x:v>
      </x:c>
      <x:c r="C120" s="17" t="str">
        <x:v>Cleaneye Job+</x:v>
      </x:c>
      <x:c r="D120" s="17" t="str">
        <x:v>인천시설공단</x:v>
      </x:c>
      <x:c r="E120" s="17" t="str">
        <x:v>2026년 청소년수련관 스포츠센터 생활체육 프로그램 강사 채용 공고(제2026-23호)</x:v>
      </x:c>
      <x:c r="F120" s="17" t="str">
        <x:v>신입</x:v>
      </x:c>
      <x:c r="G120" s="17" t="str">
        <x:v>기간제</x:v>
      </x:c>
      <x:c r="H120" s="17" t="str">
        <x:v>인천광역시</x:v>
      </x:c>
      <x:c r="I120" s="17" t="str">
        <x:v>명시 없음(원문 확인)</x:v>
      </x:c>
      <x:c r="J120" s="17" t="str">
        <x:v>2026-09-11</x:v>
      </x:c>
      <x:c r="K120" s="17" t="str">
        <x:v>기간제·비정규</x:v>
      </x:c>
      <x:c r="L120" s="17" t="str">
        <x:v>검토</x:v>
      </x:c>
      <x:c r="M120" s="17" t="str">
        <x:v>제한 문구 미탐지</x:v>
      </x:c>
      <x:c r="N120" s="17" t="str">
        <x:v>포털 목록 확인</x:v>
      </x:c>
      <x:c r="O120" s="17" t="str">
        <x:v>기관 공고 원문 확인</x:v>
      </x:c>
      <x:c r="P120" s="17" t="str">
        <x:v>기관 공고 원문 확인</x:v>
      </x:c>
      <x:c r="Q120" s="17" t="str">
        <x:v>기관 공고 원문 확인</x:v>
      </x:c>
      <x:c r="R120" s="17" t="str">
        <x:v>기관 공고 원문 확인</x:v>
      </x:c>
      <x:c r="S120" s="18" t="str">
        <x:v>https://job.cleaneye.go.kr/user/ypRecruitment.do</x:v>
      </x:c>
      <x:c r="T120" s="1"/>
      <x:c r="U120" s="1"/>
      <x:c r="V120" s="1"/>
      <x:c r="W120" s="1"/>
      <x:c r="X120" s="1"/>
      <x:c r="Y120" s="1"/>
      <x:c r="Z120" s="1"/>
    </x:row>
    <x:row r="121" ht="58" customHeight="1">
      <x:c r="A121" s="17" t="n">
        <x:v>117</x:v>
      </x:c>
      <x:c r="B121" s="17" t="str">
        <x:v>B</x:v>
      </x:c>
      <x:c r="C121" s="17" t="str">
        <x:v>Cleaneye Job+</x:v>
      </x:c>
      <x:c r="D121" s="17" t="str">
        <x:v>재단법인 경상남도 여성가족재단</x:v>
      </x:c>
      <x:c r="E121" s="17" t="str">
        <x:v>(재)경상남도 여성가족재단 대표이사 공개모집 공고</x:v>
      </x:c>
      <x:c r="F121" s="17" t="str">
        <x:v>신입+경력</x:v>
      </x:c>
      <x:c r="G121" s="17" t="str">
        <x:v>일반계약직</x:v>
      </x:c>
      <x:c r="H121" s="17" t="str">
        <x:v>경상남도</x:v>
      </x:c>
      <x:c r="I121" s="17" t="str">
        <x:v>명시 없음(원문 확인)</x:v>
      </x:c>
      <x:c r="J121" s="17" t="str">
        <x:v>2026-09-11</x:v>
      </x:c>
      <x:c r="K121" s="17" t="str">
        <x:v>기타 채용</x:v>
      </x:c>
      <x:c r="L121" s="17" t="str">
        <x:v>검토</x:v>
      </x:c>
      <x:c r="M121" s="17" t="str">
        <x:v>제한 문구 미탐지</x:v>
      </x:c>
      <x:c r="N121" s="17" t="str">
        <x:v>포털 목록 확인</x:v>
      </x:c>
      <x:c r="O121" s="17" t="str">
        <x:v>기관 공고 원문 확인</x:v>
      </x:c>
      <x:c r="P121" s="17" t="str">
        <x:v>기관 공고 원문 확인</x:v>
      </x:c>
      <x:c r="Q121" s="17" t="str">
        <x:v>기관 공고 원문 확인</x:v>
      </x:c>
      <x:c r="R121" s="17" t="str">
        <x:v>기관 공고 원문 확인</x:v>
      </x:c>
      <x:c r="S121" s="18" t="str">
        <x:v>https://job.cleaneye.go.kr/user/ypRecruitment.do</x:v>
      </x:c>
      <x:c r="T121" s="1"/>
      <x:c r="U121" s="1"/>
      <x:c r="V121" s="1"/>
      <x:c r="W121" s="1"/>
      <x:c r="X121" s="1"/>
      <x:c r="Y121" s="1"/>
      <x:c r="Z121" s="1"/>
    </x:row>
    <x:row r="122" ht="58" customHeight="1">
      <x:c r="A122" s="17" t="n">
        <x:v>118</x:v>
      </x:c>
      <x:c r="B122" s="17" t="str">
        <x:v>B</x:v>
      </x:c>
      <x:c r="C122" s="17" t="str">
        <x:v>Cleaneye Job+</x:v>
      </x:c>
      <x:c r="D122" s="17" t="str">
        <x:v>재단법인 광주광역시 사회서비스원</x:v>
      </x:c>
      <x:c r="E122" s="17" t="str">
        <x:v>2026년 제10차 소속시설 직원채용 공고</x:v>
      </x:c>
      <x:c r="F122" s="17" t="str">
        <x:v>신입+경력</x:v>
      </x:c>
      <x:c r="G122" s="17" t="str">
        <x:v>일반정규직</x:v>
      </x:c>
      <x:c r="H122" s="17" t="str"/>
      <x:c r="I122" s="17" t="str">
        <x:v>명시 없음(원문 확인)</x:v>
      </x:c>
      <x:c r="J122" s="17" t="str">
        <x:v>2026-09-11</x:v>
      </x:c>
      <x:c r="K122" s="17" t="str">
        <x:v>정규직(세부 확인)</x:v>
      </x:c>
      <x:c r="L122" s="17" t="str">
        <x:v>검토</x:v>
      </x:c>
      <x:c r="M122" s="17" t="str">
        <x:v>제한 문구 미탐지</x:v>
      </x:c>
      <x:c r="N122" s="17" t="str">
        <x:v>포털 목록 확인</x:v>
      </x:c>
      <x:c r="O122" s="17" t="str">
        <x:v>기관 공고 원문 확인</x:v>
      </x:c>
      <x:c r="P122" s="17" t="str">
        <x:v>기관 공고 원문 확인</x:v>
      </x:c>
      <x:c r="Q122" s="17" t="str">
        <x:v>기관 공고 원문 확인</x:v>
      </x:c>
      <x:c r="R122" s="17" t="str">
        <x:v>기관 공고 원문 확인</x:v>
      </x:c>
      <x:c r="S122" s="18" t="str">
        <x:v>https://job.cleaneye.go.kr/user/ypRecruitment.do</x:v>
      </x:c>
      <x:c r="T122" s="1"/>
      <x:c r="U122" s="1"/>
      <x:c r="V122" s="1"/>
      <x:c r="W122" s="1"/>
      <x:c r="X122" s="1"/>
      <x:c r="Y122" s="1"/>
      <x:c r="Z122" s="1"/>
    </x:row>
    <x:row r="123" ht="58" customHeight="1">
      <x:c r="A123" s="17" t="n">
        <x:v>119</x:v>
      </x:c>
      <x:c r="B123" s="17" t="str">
        <x:v>B</x:v>
      </x:c>
      <x:c r="C123" s="17" t="str">
        <x:v>Cleaneye Job+</x:v>
      </x:c>
      <x:c r="D123" s="17" t="str">
        <x:v>재단법인 구리시상권활성화재단</x:v>
      </x:c>
      <x:c r="E123" s="17" t="str">
        <x:v>구리시상권활성화재단 2026년 제3차 기간제(로컬테마상권 조성사업) 직원 채용 재공고</x:v>
      </x:c>
      <x:c r="F123" s="17" t="str">
        <x:v>신입+경력</x:v>
      </x:c>
      <x:c r="G123" s="17" t="str">
        <x:v>기간제</x:v>
      </x:c>
      <x:c r="H123" s="17" t="str">
        <x:v>경기도</x:v>
      </x:c>
      <x:c r="I123" s="17" t="str">
        <x:v>명시 없음(원문 확인)</x:v>
      </x:c>
      <x:c r="J123" s="17" t="str">
        <x:v>2026-09-11</x:v>
      </x:c>
      <x:c r="K123" s="17" t="str">
        <x:v>기간제·비정규</x:v>
      </x:c>
      <x:c r="L123" s="17" t="str">
        <x:v>검토</x:v>
      </x:c>
      <x:c r="M123" s="17" t="str">
        <x:v>제한 문구 미탐지</x:v>
      </x:c>
      <x:c r="N123" s="17" t="str">
        <x:v>포털 목록 확인</x:v>
      </x:c>
      <x:c r="O123" s="17" t="str">
        <x:v>기관 공고 원문 확인</x:v>
      </x:c>
      <x:c r="P123" s="17" t="str">
        <x:v>기관 공고 원문 확인</x:v>
      </x:c>
      <x:c r="Q123" s="17" t="str">
        <x:v>기관 공고 원문 확인</x:v>
      </x:c>
      <x:c r="R123" s="17" t="str">
        <x:v>기관 공고 원문 확인</x:v>
      </x:c>
      <x:c r="S123" s="18" t="str">
        <x:v>https://job.cleaneye.go.kr/user/ypRecruitment.do</x:v>
      </x:c>
      <x:c r="T123" s="1"/>
      <x:c r="U123" s="1"/>
      <x:c r="V123" s="1"/>
      <x:c r="W123" s="1"/>
      <x:c r="X123" s="1"/>
      <x:c r="Y123" s="1"/>
      <x:c r="Z123" s="1"/>
    </x:row>
    <x:row r="124" ht="58" customHeight="1">
      <x:c r="A124" s="17" t="n">
        <x:v>120</x:v>
      </x:c>
      <x:c r="B124" s="17" t="str">
        <x:v>B</x:v>
      </x:c>
      <x:c r="C124" s="17" t="str">
        <x:v>Cleaneye Job+</x:v>
      </x:c>
      <x:c r="D124" s="17" t="str">
        <x:v>재단법인 완주공공급식지원센터</x:v>
      </x:c>
      <x:c r="E124" s="17" t="str">
        <x:v>(재)완주공공급식지원센터 직원 채용 공고(제2026-11호)</x:v>
      </x:c>
      <x:c r="F124" s="17" t="str">
        <x:v>신입+경력</x:v>
      </x:c>
      <x:c r="G124" s="17" t="str">
        <x:v>기간제</x:v>
      </x:c>
      <x:c r="H124" s="17" t="str">
        <x:v>전북특별자치도</x:v>
      </x:c>
      <x:c r="I124" s="17" t="str">
        <x:v>명시 없음(원문 확인)</x:v>
      </x:c>
      <x:c r="J124" s="17" t="str">
        <x:v>2026-09-11</x:v>
      </x:c>
      <x:c r="K124" s="17" t="str">
        <x:v>기간제·비정규</x:v>
      </x:c>
      <x:c r="L124" s="17" t="str">
        <x:v>검토</x:v>
      </x:c>
      <x:c r="M124" s="17" t="str">
        <x:v>제한 문구 미탐지</x:v>
      </x:c>
      <x:c r="N124" s="17" t="str">
        <x:v>포털 목록 확인</x:v>
      </x:c>
      <x:c r="O124" s="17" t="str">
        <x:v>기관 공고 원문 확인</x:v>
      </x:c>
      <x:c r="P124" s="17" t="str">
        <x:v>기관 공고 원문 확인</x:v>
      </x:c>
      <x:c r="Q124" s="17" t="str">
        <x:v>기관 공고 원문 확인</x:v>
      </x:c>
      <x:c r="R124" s="17" t="str">
        <x:v>기관 공고 원문 확인</x:v>
      </x:c>
      <x:c r="S124" s="18" t="str">
        <x:v>https://job.cleaneye.go.kr/user/ypRecruitment.do</x:v>
      </x:c>
      <x:c r="T124" s="1"/>
      <x:c r="U124" s="1"/>
      <x:c r="V124" s="1"/>
      <x:c r="W124" s="1"/>
      <x:c r="X124" s="1"/>
      <x:c r="Y124" s="1"/>
      <x:c r="Z124" s="1"/>
    </x:row>
    <x:row r="125" ht="58" customHeight="1">
      <x:c r="A125" s="17" t="n">
        <x:v>121</x:v>
      </x:c>
      <x:c r="B125" s="17" t="str">
        <x:v>B</x:v>
      </x:c>
      <x:c r="C125" s="17" t="str">
        <x:v>Cleaneye Job+</x:v>
      </x:c>
      <x:c r="D125" s="17" t="str">
        <x:v>재단법인 이천시청소년재단</x:v>
      </x:c>
      <x:c r="E125" s="17" t="str">
        <x:v>2026년 이천시청소년재단 제3차 직원채용 공고</x:v>
      </x:c>
      <x:c r="F125" s="17" t="str">
        <x:v>신입+경력</x:v>
      </x:c>
      <x:c r="G125" s="17" t="str">
        <x:v>일반정규직</x:v>
      </x:c>
      <x:c r="H125" s="17" t="str">
        <x:v>경기도</x:v>
      </x:c>
      <x:c r="I125" s="17" t="str">
        <x:v>명시 없음(원문 확인)</x:v>
      </x:c>
      <x:c r="J125" s="17" t="str">
        <x:v>2026-09-11</x:v>
      </x:c>
      <x:c r="K125" s="17" t="str">
        <x:v>정규직(세부 확인)</x:v>
      </x:c>
      <x:c r="L125" s="17" t="str">
        <x:v>검토</x:v>
      </x:c>
      <x:c r="M125" s="17" t="str">
        <x:v>제한 문구 미탐지</x:v>
      </x:c>
      <x:c r="N125" s="17" t="str">
        <x:v>포털 목록 확인</x:v>
      </x:c>
      <x:c r="O125" s="17" t="str">
        <x:v>기관 공고 원문 확인</x:v>
      </x:c>
      <x:c r="P125" s="17" t="str">
        <x:v>기관 공고 원문 확인</x:v>
      </x:c>
      <x:c r="Q125" s="17" t="str">
        <x:v>기관 공고 원문 확인</x:v>
      </x:c>
      <x:c r="R125" s="17" t="str">
        <x:v>기관 공고 원문 확인</x:v>
      </x:c>
      <x:c r="S125" s="18" t="str">
        <x:v>https://job.cleaneye.go.kr/user/ypRecruitment.do</x:v>
      </x:c>
      <x:c r="T125" s="1"/>
      <x:c r="U125" s="1"/>
      <x:c r="V125" s="1"/>
      <x:c r="W125" s="1"/>
      <x:c r="X125" s="1"/>
      <x:c r="Y125" s="1"/>
      <x:c r="Z125" s="1"/>
    </x:row>
    <x:row r="126" ht="58" customHeight="1">
      <x:c r="A126" s="17" t="n">
        <x:v>122</x:v>
      </x:c>
      <x:c r="B126" s="17" t="str">
        <x:v>B</x:v>
      </x:c>
      <x:c r="C126" s="17" t="str">
        <x:v>Cleaneye Job+</x:v>
      </x:c>
      <x:c r="D126" s="17" t="str">
        <x:v>재단법인 천안시청소년재단</x:v>
      </x:c>
      <x:c r="E126" s="17" t="str">
        <x:v>천안시청소년재단 2026년 제5회 기간제·단시간 근로자 채용 공고</x:v>
      </x:c>
      <x:c r="F126" s="17" t="str">
        <x:v>신입+경력</x:v>
      </x:c>
      <x:c r="G126" s="17" t="str">
        <x:v>기간제</x:v>
      </x:c>
      <x:c r="H126" s="17" t="str">
        <x:v>충청남도</x:v>
      </x:c>
      <x:c r="I126" s="17" t="str">
        <x:v>명시 없음(원문 확인)</x:v>
      </x:c>
      <x:c r="J126" s="17" t="str">
        <x:v>2026-09-11</x:v>
      </x:c>
      <x:c r="K126" s="17" t="str">
        <x:v>기간제·비정규</x:v>
      </x:c>
      <x:c r="L126" s="17" t="str">
        <x:v>검토</x:v>
      </x:c>
      <x:c r="M126" s="17" t="str">
        <x:v>제한 문구 미탐지</x:v>
      </x:c>
      <x:c r="N126" s="17" t="str">
        <x:v>포털 목록 확인</x:v>
      </x:c>
      <x:c r="O126" s="17" t="str">
        <x:v>기관 공고 원문 확인</x:v>
      </x:c>
      <x:c r="P126" s="17" t="str">
        <x:v>기관 공고 원문 확인</x:v>
      </x:c>
      <x:c r="Q126" s="17" t="str">
        <x:v>기관 공고 원문 확인</x:v>
      </x:c>
      <x:c r="R126" s="17" t="str">
        <x:v>기관 공고 원문 확인</x:v>
      </x:c>
      <x:c r="S126" s="18" t="str">
        <x:v>https://job.cleaneye.go.kr/user/ypRecruitment.do</x:v>
      </x:c>
      <x:c r="T126" s="1"/>
      <x:c r="U126" s="1"/>
      <x:c r="V126" s="1"/>
      <x:c r="W126" s="1"/>
      <x:c r="X126" s="1"/>
      <x:c r="Y126" s="1"/>
      <x:c r="Z126" s="1"/>
    </x:row>
    <x:row r="127" ht="58" customHeight="1">
      <x:c r="A127" s="17" t="n">
        <x:v>123</x:v>
      </x:c>
      <x:c r="B127" s="17" t="str">
        <x:v>B</x:v>
      </x:c>
      <x:c r="C127" s="17" t="str">
        <x:v>Cleaneye Job+</x:v>
      </x:c>
      <x:c r="D127" s="17" t="str">
        <x:v>재단법인 춘천지역먹거리통합지원센터</x:v>
      </x:c>
      <x:c r="E127" s="17" t="str">
        <x:v>2026년 제8회 직원(육아휴직 대체인력/행정지원) 채용 공고</x:v>
      </x:c>
      <x:c r="F127" s="17" t="str">
        <x:v>신입</x:v>
      </x:c>
      <x:c r="G127" s="17" t="str">
        <x:v>기간제</x:v>
      </x:c>
      <x:c r="H127" s="17" t="str">
        <x:v>강원특별자치도</x:v>
      </x:c>
      <x:c r="I127" s="17" t="str">
        <x:v>명시 없음(원문 확인)</x:v>
      </x:c>
      <x:c r="J127" s="17" t="str">
        <x:v>2026-09-11</x:v>
      </x:c>
      <x:c r="K127" s="17" t="str">
        <x:v>기간제·비정규</x:v>
      </x:c>
      <x:c r="L127" s="17" t="str">
        <x:v>검토</x:v>
      </x:c>
      <x:c r="M127" s="17" t="str">
        <x:v>제한 문구 미탐지</x:v>
      </x:c>
      <x:c r="N127" s="17" t="str">
        <x:v>포털 목록 확인</x:v>
      </x:c>
      <x:c r="O127" s="17" t="str">
        <x:v>기관 공고 원문 확인</x:v>
      </x:c>
      <x:c r="P127" s="17" t="str">
        <x:v>기관 공고 원문 확인</x:v>
      </x:c>
      <x:c r="Q127" s="17" t="str">
        <x:v>기관 공고 원문 확인</x:v>
      </x:c>
      <x:c r="R127" s="17" t="str">
        <x:v>기관 공고 원문 확인</x:v>
      </x:c>
      <x:c r="S127" s="18" t="str">
        <x:v>https://job.cleaneye.go.kr/user/ypRecruitment.do</x:v>
      </x:c>
      <x:c r="T127" s="1"/>
      <x:c r="U127" s="1"/>
      <x:c r="V127" s="1"/>
      <x:c r="W127" s="1"/>
      <x:c r="X127" s="1"/>
      <x:c r="Y127" s="1"/>
      <x:c r="Z127" s="1"/>
    </x:row>
    <x:row r="128" ht="58" customHeight="1">
      <x:c r="A128" s="17" t="n">
        <x:v>124</x:v>
      </x:c>
      <x:c r="B128" s="17" t="str">
        <x:v>B</x:v>
      </x:c>
      <x:c r="C128" s="17" t="str">
        <x:v>Cleaneye Job+</x:v>
      </x:c>
      <x:c r="D128" s="17" t="str">
        <x:v>전북특별자치도 남원의료원</x:v>
      </x:c>
      <x:c r="E128" s="17" t="str">
        <x:v>전북특별자치도 남원의료원 조리운영(시설관리직 8급) 채용시험 재공고</x:v>
      </x:c>
      <x:c r="F128" s="17" t="str">
        <x:v>신입+경력</x:v>
      </x:c>
      <x:c r="G128" s="17" t="str">
        <x:v>일반정규직</x:v>
      </x:c>
      <x:c r="H128" s="17" t="str">
        <x:v>전북특별자치도</x:v>
      </x:c>
      <x:c r="I128" s="17" t="str">
        <x:v>명시 없음(원문 확인)</x:v>
      </x:c>
      <x:c r="J128" s="17" t="str">
        <x:v>2026-09-11</x:v>
      </x:c>
      <x:c r="K128" s="17" t="str">
        <x:v>정규직(세부 확인)</x:v>
      </x:c>
      <x:c r="L128" s="17" t="str">
        <x:v>검토</x:v>
      </x:c>
      <x:c r="M128" s="17" t="str">
        <x:v>제한 문구 미탐지</x:v>
      </x:c>
      <x:c r="N128" s="17" t="str">
        <x:v>포털 목록 확인</x:v>
      </x:c>
      <x:c r="O128" s="17" t="str">
        <x:v>기관 공고 원문 확인</x:v>
      </x:c>
      <x:c r="P128" s="17" t="str">
        <x:v>기관 공고 원문 확인</x:v>
      </x:c>
      <x:c r="Q128" s="17" t="str">
        <x:v>기관 공고 원문 확인</x:v>
      </x:c>
      <x:c r="R128" s="17" t="str">
        <x:v>기관 공고 원문 확인</x:v>
      </x:c>
      <x:c r="S128" s="18" t="str">
        <x:v>https://job.cleaneye.go.kr/user/ypRecruitment.do</x:v>
      </x:c>
      <x:c r="T128" s="1"/>
      <x:c r="U128" s="1"/>
      <x:c r="V128" s="1"/>
      <x:c r="W128" s="1"/>
      <x:c r="X128" s="1"/>
      <x:c r="Y128" s="1"/>
      <x:c r="Z128" s="1"/>
    </x:row>
    <x:row r="129" ht="58" customHeight="1">
      <x:c r="A129" s="17" t="n">
        <x:v>125</x:v>
      </x:c>
      <x:c r="B129" s="17" t="str">
        <x:v>B</x:v>
      </x:c>
      <x:c r="C129" s="17" t="str">
        <x:v>Cleaneye Job+</x:v>
      </x:c>
      <x:c r="D129" s="17" t="str">
        <x:v>전북특별자치도 남원의료원</x:v>
      </x:c>
      <x:c r="E129" s="17" t="str">
        <x:v>전북특별자치도 남원의료원 방사선사(기간제) 육아휴직 대체인력 채용시험 공고</x:v>
      </x:c>
      <x:c r="F129" s="17" t="str">
        <x:v>신입+경력</x:v>
      </x:c>
      <x:c r="G129" s="17" t="str">
        <x:v>기간제</x:v>
      </x:c>
      <x:c r="H129" s="17" t="str">
        <x:v>전북특별자치도</x:v>
      </x:c>
      <x:c r="I129" s="17" t="str">
        <x:v>명시 없음(원문 확인)</x:v>
      </x:c>
      <x:c r="J129" s="17" t="str">
        <x:v>2026-09-11</x:v>
      </x:c>
      <x:c r="K129" s="17" t="str">
        <x:v>기간제·비정규</x:v>
      </x:c>
      <x:c r="L129" s="17" t="str">
        <x:v>검토</x:v>
      </x:c>
      <x:c r="M129" s="17" t="str">
        <x:v>제한 문구 미탐지</x:v>
      </x:c>
      <x:c r="N129" s="17" t="str">
        <x:v>포털 목록 확인</x:v>
      </x:c>
      <x:c r="O129" s="17" t="str">
        <x:v>기관 공고 원문 확인</x:v>
      </x:c>
      <x:c r="P129" s="17" t="str">
        <x:v>기관 공고 원문 확인</x:v>
      </x:c>
      <x:c r="Q129" s="17" t="str">
        <x:v>기관 공고 원문 확인</x:v>
      </x:c>
      <x:c r="R129" s="17" t="str">
        <x:v>기관 공고 원문 확인</x:v>
      </x:c>
      <x:c r="S129" s="18" t="str">
        <x:v>https://job.cleaneye.go.kr/user/ypRecruitment.do</x:v>
      </x:c>
      <x:c r="T129" s="1"/>
      <x:c r="U129" s="1"/>
      <x:c r="V129" s="1"/>
      <x:c r="W129" s="1"/>
      <x:c r="X129" s="1"/>
      <x:c r="Y129" s="1"/>
      <x:c r="Z129" s="1"/>
    </x:row>
    <x:row r="130" ht="58" customHeight="1">
      <x:c r="A130" s="17" t="n">
        <x:v>126</x:v>
      </x:c>
      <x:c r="B130" s="17" t="str">
        <x:v>B</x:v>
      </x:c>
      <x:c r="C130" s="17" t="str">
        <x:v>Cleaneye Job+</x:v>
      </x:c>
      <x:c r="D130" s="17" t="str">
        <x:v>제주의료원</x:v>
      </x:c>
      <x:c r="E130" s="17" t="str">
        <x:v>2026년 제주의료원 제17차 직원(공기관대행사업-건강주치의제 지원센터) 채용 계획 재공고</x:v>
      </x:c>
      <x:c r="F130" s="17" t="str">
        <x:v>신입+경력</x:v>
      </x:c>
      <x:c r="G130" s="17" t="str">
        <x:v>기간제</x:v>
      </x:c>
      <x:c r="H130" s="17" t="str">
        <x:v>제주특별자치도</x:v>
      </x:c>
      <x:c r="I130" s="17" t="str">
        <x:v>명시 없음(원문 확인)</x:v>
      </x:c>
      <x:c r="J130" s="17" t="str">
        <x:v>2026-09-11</x:v>
      </x:c>
      <x:c r="K130" s="17" t="str">
        <x:v>기간제·비정규</x:v>
      </x:c>
      <x:c r="L130" s="17" t="str">
        <x:v>검토</x:v>
      </x:c>
      <x:c r="M130" s="17" t="str">
        <x:v>제한 문구 미탐지</x:v>
      </x:c>
      <x:c r="N130" s="17" t="str">
        <x:v>포털 목록 확인</x:v>
      </x:c>
      <x:c r="O130" s="17" t="str">
        <x:v>기관 공고 원문 확인</x:v>
      </x:c>
      <x:c r="P130" s="17" t="str">
        <x:v>기관 공고 원문 확인</x:v>
      </x:c>
      <x:c r="Q130" s="17" t="str">
        <x:v>기관 공고 원문 확인</x:v>
      </x:c>
      <x:c r="R130" s="17" t="str">
        <x:v>기관 공고 원문 확인</x:v>
      </x:c>
      <x:c r="S130" s="18" t="str">
        <x:v>https://job.cleaneye.go.kr/user/ypRecruitment.do</x:v>
      </x:c>
      <x:c r="T130" s="1"/>
      <x:c r="U130" s="1"/>
      <x:c r="V130" s="1"/>
      <x:c r="W130" s="1"/>
      <x:c r="X130" s="1"/>
      <x:c r="Y130" s="1"/>
      <x:c r="Z130" s="1"/>
    </x:row>
    <x:row r="131" ht="58" customHeight="1">
      <x:c r="A131" s="17" t="n">
        <x:v>127</x:v>
      </x:c>
      <x:c r="B131" s="17" t="str">
        <x:v>B</x:v>
      </x:c>
      <x:c r="C131" s="17" t="str">
        <x:v>Cleaneye Job+</x:v>
      </x:c>
      <x:c r="D131" s="17" t="str">
        <x:v>중구시설관리공단</x:v>
      </x:c>
      <x:c r="E131" s="17" t="str">
        <x:v>사회서비스시설(보육) 직원 채용 공고</x:v>
      </x:c>
      <x:c r="F131" s="17" t="str">
        <x:v>신입+경력</x:v>
      </x:c>
      <x:c r="G131" s="17" t="str">
        <x:v>기간제</x:v>
      </x:c>
      <x:c r="H131" s="17" t="str">
        <x:v>서울특별시</x:v>
      </x:c>
      <x:c r="I131" s="17" t="str">
        <x:v>명시 없음(원문 확인)</x:v>
      </x:c>
      <x:c r="J131" s="17" t="str">
        <x:v>2026-09-11</x:v>
      </x:c>
      <x:c r="K131" s="17" t="str">
        <x:v>기간제·비정규</x:v>
      </x:c>
      <x:c r="L131" s="17" t="str">
        <x:v>검토</x:v>
      </x:c>
      <x:c r="M131" s="17" t="str">
        <x:v>제한 문구 미탐지</x:v>
      </x:c>
      <x:c r="N131" s="17" t="str">
        <x:v>포털 목록 확인</x:v>
      </x:c>
      <x:c r="O131" s="17" t="str">
        <x:v>기관 공고 원문 확인</x:v>
      </x:c>
      <x:c r="P131" s="17" t="str">
        <x:v>기관 공고 원문 확인</x:v>
      </x:c>
      <x:c r="Q131" s="17" t="str">
        <x:v>기관 공고 원문 확인</x:v>
      </x:c>
      <x:c r="R131" s="17" t="str">
        <x:v>기관 공고 원문 확인</x:v>
      </x:c>
      <x:c r="S131" s="18" t="str">
        <x:v>https://job.cleaneye.go.kr/user/ypRecruitment.do</x:v>
      </x:c>
      <x:c r="T131" s="1"/>
      <x:c r="U131" s="1"/>
      <x:c r="V131" s="1"/>
      <x:c r="W131" s="1"/>
      <x:c r="X131" s="1"/>
      <x:c r="Y131" s="1"/>
      <x:c r="Z131" s="1"/>
    </x:row>
    <x:row r="132" ht="58" customHeight="1">
      <x:c r="A132" s="17" t="n">
        <x:v>128</x:v>
      </x:c>
      <x:c r="B132" s="17" t="str">
        <x:v>B</x:v>
      </x:c>
      <x:c r="C132" s="17" t="str">
        <x:v>Cleaneye Job+</x:v>
      </x:c>
      <x:c r="D132" s="17" t="str">
        <x:v>중구시설관리공단</x:v>
      </x:c>
      <x:c r="E132" s="17" t="str">
        <x:v>사회서비스시설(보육) 기간제 장애인근로자 채용 공고</x:v>
      </x:c>
      <x:c r="F132" s="17" t="str">
        <x:v>신입+경력</x:v>
      </x:c>
      <x:c r="G132" s="17" t="str">
        <x:v>기간제</x:v>
      </x:c>
      <x:c r="H132" s="17" t="str">
        <x:v>서울특별시</x:v>
      </x:c>
      <x:c r="I132" s="17" t="str">
        <x:v>명시 없음(원문 확인)</x:v>
      </x:c>
      <x:c r="J132" s="17" t="str">
        <x:v>2026-09-11</x:v>
      </x:c>
      <x:c r="K132" s="17" t="str">
        <x:v>기간제·비정규</x:v>
      </x:c>
      <x:c r="L132" s="17" t="str">
        <x:v>검토</x:v>
      </x:c>
      <x:c r="M132" s="17" t="str">
        <x:v>제한 문구 미탐지</x:v>
      </x:c>
      <x:c r="N132" s="17" t="str">
        <x:v>포털 목록 확인</x:v>
      </x:c>
      <x:c r="O132" s="17" t="str">
        <x:v>기관 공고 원문 확인</x:v>
      </x:c>
      <x:c r="P132" s="17" t="str">
        <x:v>기관 공고 원문 확인</x:v>
      </x:c>
      <x:c r="Q132" s="17" t="str">
        <x:v>기관 공고 원문 확인</x:v>
      </x:c>
      <x:c r="R132" s="17" t="str">
        <x:v>기관 공고 원문 확인</x:v>
      </x:c>
      <x:c r="S132" s="18" t="str">
        <x:v>https://job.cleaneye.go.kr/user/ypRecruitment.do</x:v>
      </x:c>
      <x:c r="T132" s="1"/>
      <x:c r="U132" s="1"/>
      <x:c r="V132" s="1"/>
      <x:c r="W132" s="1"/>
      <x:c r="X132" s="1"/>
      <x:c r="Y132" s="1"/>
      <x:c r="Z132" s="1"/>
    </x:row>
    <x:row r="133" ht="58" customHeight="1">
      <x:c r="A133" s="17" t="n">
        <x:v>129</x:v>
      </x:c>
      <x:c r="B133" s="17" t="str">
        <x:v>B</x:v>
      </x:c>
      <x:c r="C133" s="17" t="str">
        <x:v>Cleaneye Job+</x:v>
      </x:c>
      <x:c r="D133" s="17" t="str">
        <x:v>중랑구시설관리공단</x:v>
      </x:c>
      <x:c r="E133" s="17" t="str">
        <x:v>중랑구시설관리공단(중랑문화체육팀) 시간강사(셔플댄스) 채용 공고</x:v>
      </x:c>
      <x:c r="F133" s="17" t="str">
        <x:v>신입+경력</x:v>
      </x:c>
      <x:c r="G133" s="17" t="str">
        <x:v>기간제</x:v>
      </x:c>
      <x:c r="H133" s="17" t="str">
        <x:v>서울특별시</x:v>
      </x:c>
      <x:c r="I133" s="17" t="str">
        <x:v>명시 없음(원문 확인)</x:v>
      </x:c>
      <x:c r="J133" s="17" t="str">
        <x:v>2026-09-11</x:v>
      </x:c>
      <x:c r="K133" s="17" t="str">
        <x:v>기간제·비정규</x:v>
      </x:c>
      <x:c r="L133" s="17" t="str">
        <x:v>검토</x:v>
      </x:c>
      <x:c r="M133" s="17" t="str">
        <x:v>제한 문구 미탐지</x:v>
      </x:c>
      <x:c r="N133" s="17" t="str">
        <x:v>포털 목록 확인</x:v>
      </x:c>
      <x:c r="O133" s="17" t="str">
        <x:v>기관 공고 원문 확인</x:v>
      </x:c>
      <x:c r="P133" s="17" t="str">
        <x:v>기관 공고 원문 확인</x:v>
      </x:c>
      <x:c r="Q133" s="17" t="str">
        <x:v>기관 공고 원문 확인</x:v>
      </x:c>
      <x:c r="R133" s="17" t="str">
        <x:v>기관 공고 원문 확인</x:v>
      </x:c>
      <x:c r="S133" s="18" t="str">
        <x:v>https://job.cleaneye.go.kr/user/ypRecruitment.do</x:v>
      </x:c>
      <x:c r="T133" s="1"/>
      <x:c r="U133" s="1"/>
      <x:c r="V133" s="1"/>
      <x:c r="W133" s="1"/>
      <x:c r="X133" s="1"/>
      <x:c r="Y133" s="1"/>
      <x:c r="Z133" s="1"/>
    </x:row>
    <x:row r="134" ht="58" customHeight="1">
      <x:c r="A134" s="17" t="n">
        <x:v>130</x:v>
      </x:c>
      <x:c r="B134" s="17" t="str">
        <x:v>B</x:v>
      </x:c>
      <x:c r="C134" s="17" t="str">
        <x:v>Cleaneye Job+</x:v>
      </x:c>
      <x:c r="D134" s="17" t="str">
        <x:v>중랑구시설관리공단</x:v>
      </x:c>
      <x:c r="E134" s="17" t="str">
        <x:v>[중랑스포츠클라이밍경기장] 클라이밍 강습 시간강사 채용공고</x:v>
      </x:c>
      <x:c r="F134" s="17" t="str">
        <x:v>신입+경력</x:v>
      </x:c>
      <x:c r="G134" s="17" t="str">
        <x:v>기간제</x:v>
      </x:c>
      <x:c r="H134" s="17" t="str">
        <x:v>서울특별시</x:v>
      </x:c>
      <x:c r="I134" s="17" t="str">
        <x:v>명시 없음(원문 확인)</x:v>
      </x:c>
      <x:c r="J134" s="17" t="str">
        <x:v>2026-09-11</x:v>
      </x:c>
      <x:c r="K134" s="17" t="str">
        <x:v>기간제·비정규</x:v>
      </x:c>
      <x:c r="L134" s="17" t="str">
        <x:v>검토</x:v>
      </x:c>
      <x:c r="M134" s="17" t="str">
        <x:v>제한 문구 미탐지</x:v>
      </x:c>
      <x:c r="N134" s="17" t="str">
        <x:v>포털 목록 확인</x:v>
      </x:c>
      <x:c r="O134" s="17" t="str">
        <x:v>기관 공고 원문 확인</x:v>
      </x:c>
      <x:c r="P134" s="17" t="str">
        <x:v>기관 공고 원문 확인</x:v>
      </x:c>
      <x:c r="Q134" s="17" t="str">
        <x:v>기관 공고 원문 확인</x:v>
      </x:c>
      <x:c r="R134" s="17" t="str">
        <x:v>기관 공고 원문 확인</x:v>
      </x:c>
      <x:c r="S134" s="18" t="str">
        <x:v>https://job.cleaneye.go.kr/user/ypRecruitment.do</x:v>
      </x:c>
      <x:c r="T134" s="1"/>
      <x:c r="U134" s="1"/>
      <x:c r="V134" s="1"/>
      <x:c r="W134" s="1"/>
      <x:c r="X134" s="1"/>
      <x:c r="Y134" s="1"/>
      <x:c r="Z134" s="1"/>
    </x:row>
    <x:row r="135" ht="58" customHeight="1">
      <x:c r="A135" s="17" t="n">
        <x:v>131</x:v>
      </x:c>
      <x:c r="B135" s="17" t="str">
        <x:v>B</x:v>
      </x:c>
      <x:c r="C135" s="17" t="str">
        <x:v>Cleaneye Job+</x:v>
      </x:c>
      <x:c r="D135" s="17" t="str">
        <x:v>창원시설공단</x:v>
      </x:c>
      <x:c r="E135" s="17" t="str">
        <x:v>2026년 시민생활체육관 기간제(초단시간)근로자 채용공고문</x:v>
      </x:c>
      <x:c r="F135" s="17" t="str">
        <x:v>신입+경력</x:v>
      </x:c>
      <x:c r="G135" s="17" t="str">
        <x:v>기간제</x:v>
      </x:c>
      <x:c r="H135" s="17" t="str">
        <x:v>경상남도</x:v>
      </x:c>
      <x:c r="I135" s="17" t="str">
        <x:v>명시 없음(원문 확인)</x:v>
      </x:c>
      <x:c r="J135" s="17" t="str">
        <x:v>2026-09-11</x:v>
      </x:c>
      <x:c r="K135" s="17" t="str">
        <x:v>기간제·비정규</x:v>
      </x:c>
      <x:c r="L135" s="17" t="str">
        <x:v>검토</x:v>
      </x:c>
      <x:c r="M135" s="17" t="str">
        <x:v>제한 문구 미탐지</x:v>
      </x:c>
      <x:c r="N135" s="17" t="str">
        <x:v>포털 목록 확인</x:v>
      </x:c>
      <x:c r="O135" s="17" t="str">
        <x:v>기관 공고 원문 확인</x:v>
      </x:c>
      <x:c r="P135" s="17" t="str">
        <x:v>기관 공고 원문 확인</x:v>
      </x:c>
      <x:c r="Q135" s="17" t="str">
        <x:v>기관 공고 원문 확인</x:v>
      </x:c>
      <x:c r="R135" s="17" t="str">
        <x:v>기관 공고 원문 확인</x:v>
      </x:c>
      <x:c r="S135" s="18" t="str">
        <x:v>https://job.cleaneye.go.kr/user/ypRecruitment.do</x:v>
      </x:c>
      <x:c r="T135" s="1"/>
      <x:c r="U135" s="1"/>
      <x:c r="V135" s="1"/>
      <x:c r="W135" s="1"/>
      <x:c r="X135" s="1"/>
      <x:c r="Y135" s="1"/>
      <x:c r="Z135" s="1"/>
    </x:row>
    <x:row r="136" ht="58" customHeight="1">
      <x:c r="A136" s="17" t="n">
        <x:v>132</x:v>
      </x:c>
      <x:c r="B136" s="17" t="str">
        <x:v>B</x:v>
      </x:c>
      <x:c r="C136" s="17" t="str">
        <x:v>Cleaneye Job+</x:v>
      </x:c>
      <x:c r="D136" s="17" t="str">
        <x:v>창원시설공단</x:v>
      </x:c>
      <x:c r="E136" s="17" t="str">
        <x:v>시민생활체육관 탁구 프로그램 도급강사 공개모집 공고</x:v>
      </x:c>
      <x:c r="F136" s="17" t="str">
        <x:v>신입+경력</x:v>
      </x:c>
      <x:c r="G136" s="17" t="str">
        <x:v>기간제</x:v>
      </x:c>
      <x:c r="H136" s="17" t="str">
        <x:v>경상남도</x:v>
      </x:c>
      <x:c r="I136" s="17" t="str">
        <x:v>명시 없음(원문 확인)</x:v>
      </x:c>
      <x:c r="J136" s="17" t="str">
        <x:v>2026-09-11</x:v>
      </x:c>
      <x:c r="K136" s="17" t="str">
        <x:v>기간제·비정규</x:v>
      </x:c>
      <x:c r="L136" s="17" t="str">
        <x:v>검토</x:v>
      </x:c>
      <x:c r="M136" s="17" t="str">
        <x:v>제한 문구 미탐지</x:v>
      </x:c>
      <x:c r="N136" s="17" t="str">
        <x:v>포털 목록 확인</x:v>
      </x:c>
      <x:c r="O136" s="17" t="str">
        <x:v>기관 공고 원문 확인</x:v>
      </x:c>
      <x:c r="P136" s="17" t="str">
        <x:v>기관 공고 원문 확인</x:v>
      </x:c>
      <x:c r="Q136" s="17" t="str">
        <x:v>기관 공고 원문 확인</x:v>
      </x:c>
      <x:c r="R136" s="17" t="str">
        <x:v>기관 공고 원문 확인</x:v>
      </x:c>
      <x:c r="S136" s="18" t="str">
        <x:v>https://job.cleaneye.go.kr/user/ypRecruitment.do</x:v>
      </x:c>
      <x:c r="T136" s="1"/>
      <x:c r="U136" s="1"/>
      <x:c r="V136" s="1"/>
      <x:c r="W136" s="1"/>
      <x:c r="X136" s="1"/>
      <x:c r="Y136" s="1"/>
      <x:c r="Z136" s="1"/>
    </x:row>
    <x:row r="137" ht="58" customHeight="1">
      <x:c r="A137" s="17" t="n">
        <x:v>133</x:v>
      </x:c>
      <x:c r="B137" s="17" t="str">
        <x:v>B</x:v>
      </x:c>
      <x:c r="C137" s="17" t="str">
        <x:v>Cleaneye Job+</x:v>
      </x:c>
      <x:c r="D137" s="17" t="str">
        <x:v>창원시설공단</x:v>
      </x:c>
      <x:c r="E137" s="17" t="str">
        <x:v>시민생활체육관 종합안내실 기간제근로자 채용 공고문</x:v>
      </x:c>
      <x:c r="F137" s="17" t="str">
        <x:v>신입+경력</x:v>
      </x:c>
      <x:c r="G137" s="17" t="str">
        <x:v>기간제</x:v>
      </x:c>
      <x:c r="H137" s="17" t="str">
        <x:v>경상남도</x:v>
      </x:c>
      <x:c r="I137" s="17" t="str">
        <x:v>명시 없음(원문 확인)</x:v>
      </x:c>
      <x:c r="J137" s="17" t="str">
        <x:v>2026-09-11</x:v>
      </x:c>
      <x:c r="K137" s="17" t="str">
        <x:v>기간제·비정규</x:v>
      </x:c>
      <x:c r="L137" s="17" t="str">
        <x:v>검토</x:v>
      </x:c>
      <x:c r="M137" s="17" t="str">
        <x:v>제한 문구 미탐지</x:v>
      </x:c>
      <x:c r="N137" s="17" t="str">
        <x:v>포털 목록 확인</x:v>
      </x:c>
      <x:c r="O137" s="17" t="str">
        <x:v>기관 공고 원문 확인</x:v>
      </x:c>
      <x:c r="P137" s="17" t="str">
        <x:v>기관 공고 원문 확인</x:v>
      </x:c>
      <x:c r="Q137" s="17" t="str">
        <x:v>기관 공고 원문 확인</x:v>
      </x:c>
      <x:c r="R137" s="17" t="str">
        <x:v>기관 공고 원문 확인</x:v>
      </x:c>
      <x:c r="S137" s="18" t="str">
        <x:v>https://job.cleaneye.go.kr/user/ypRecruitment.do</x:v>
      </x:c>
      <x:c r="T137" s="1"/>
      <x:c r="U137" s="1"/>
      <x:c r="V137" s="1"/>
      <x:c r="W137" s="1"/>
      <x:c r="X137" s="1"/>
      <x:c r="Y137" s="1"/>
      <x:c r="Z137" s="1"/>
    </x:row>
    <x:row r="138" ht="58" customHeight="1">
      <x:c r="A138" s="17" t="n">
        <x:v>134</x:v>
      </x:c>
      <x:c r="B138" s="17" t="str">
        <x:v>B</x:v>
      </x:c>
      <x:c r="C138" s="17" t="str">
        <x:v>Cleaneye Job+</x:v>
      </x:c>
      <x:c r="D138" s="17" t="str">
        <x:v>구로문화재단</x:v>
      </x:c>
      <x:c r="E138" s="17" t="str">
        <x:v>구로문화재단 육아휴직 대체 기간제 공개경쟁채용 모집공고(재공고)</x:v>
      </x:c>
      <x:c r="F138" s="17" t="str">
        <x:v>신입</x:v>
      </x:c>
      <x:c r="G138" s="17" t="str">
        <x:v>기간제</x:v>
      </x:c>
      <x:c r="H138" s="17" t="str">
        <x:v>서울특별시</x:v>
      </x:c>
      <x:c r="I138" s="17" t="str">
        <x:v>명시 없음(원문 확인)</x:v>
      </x:c>
      <x:c r="J138" s="17" t="str">
        <x:v>2026-09-12</x:v>
      </x:c>
      <x:c r="K138" s="17" t="str">
        <x:v>기간제·비정규</x:v>
      </x:c>
      <x:c r="L138" s="17" t="str">
        <x:v>검토</x:v>
      </x:c>
      <x:c r="M138" s="17" t="str">
        <x:v>제한 문구 미탐지</x:v>
      </x:c>
      <x:c r="N138" s="17" t="str">
        <x:v>포털 목록 확인</x:v>
      </x:c>
      <x:c r="O138" s="17" t="str">
        <x:v>기관 공고 원문 확인</x:v>
      </x:c>
      <x:c r="P138" s="17" t="str">
        <x:v>기관 공고 원문 확인</x:v>
      </x:c>
      <x:c r="Q138" s="17" t="str">
        <x:v>기관 공고 원문 확인</x:v>
      </x:c>
      <x:c r="R138" s="17" t="str">
        <x:v>기관 공고 원문 확인</x:v>
      </x:c>
      <x:c r="S138" s="18" t="str">
        <x:v>https://job.cleaneye.go.kr/user/ypRecruitment.do</x:v>
      </x:c>
      <x:c r="T138" s="1"/>
      <x:c r="U138" s="1"/>
      <x:c r="V138" s="1"/>
      <x:c r="W138" s="1"/>
      <x:c r="X138" s="1"/>
      <x:c r="Y138" s="1"/>
      <x:c r="Z138" s="1"/>
    </x:row>
    <x:row r="139" ht="58" customHeight="1">
      <x:c r="A139" s="17" t="n">
        <x:v>135</x:v>
      </x:c>
      <x:c r="B139" s="17" t="str">
        <x:v>B</x:v>
      </x:c>
      <x:c r="C139" s="17" t="str">
        <x:v>Cleaneye Job+</x:v>
      </x:c>
      <x:c r="D139" s="17" t="str">
        <x:v>송파구시설관리공단</x:v>
      </x:c>
      <x:c r="E139" s="17" t="str">
        <x:v>&lt;송파구시설관리공단 공고 제2026-41호&gt; 기간제근로자 모집 공고 (26년도 4분기)</x:v>
      </x:c>
      <x:c r="F139" s="17" t="str">
        <x:v>신입</x:v>
      </x:c>
      <x:c r="G139" s="17" t="str">
        <x:v>기간제</x:v>
      </x:c>
      <x:c r="H139" s="17" t="str">
        <x:v>서울특별시</x:v>
      </x:c>
      <x:c r="I139" s="17" t="str">
        <x:v>명시 없음(원문 확인)</x:v>
      </x:c>
      <x:c r="J139" s="17" t="str">
        <x:v>2026-09-12</x:v>
      </x:c>
      <x:c r="K139" s="17" t="str">
        <x:v>기간제·비정규</x:v>
      </x:c>
      <x:c r="L139" s="17" t="str">
        <x:v>검토</x:v>
      </x:c>
      <x:c r="M139" s="17" t="str">
        <x:v>제한 문구 미탐지</x:v>
      </x:c>
      <x:c r="N139" s="17" t="str">
        <x:v>포털 목록 확인</x:v>
      </x:c>
      <x:c r="O139" s="17" t="str">
        <x:v>기관 공고 원문 확인</x:v>
      </x:c>
      <x:c r="P139" s="17" t="str">
        <x:v>기관 공고 원문 확인</x:v>
      </x:c>
      <x:c r="Q139" s="17" t="str">
        <x:v>기관 공고 원문 확인</x:v>
      </x:c>
      <x:c r="R139" s="17" t="str">
        <x:v>기관 공고 원문 확인</x:v>
      </x:c>
      <x:c r="S139" s="18" t="str">
        <x:v>https://job.cleaneye.go.kr/user/ypRecruitment.do</x:v>
      </x:c>
      <x:c r="T139" s="1"/>
      <x:c r="U139" s="1"/>
      <x:c r="V139" s="1"/>
      <x:c r="W139" s="1"/>
      <x:c r="X139" s="1"/>
      <x:c r="Y139" s="1"/>
      <x:c r="Z139" s="1"/>
    </x:row>
    <x:row r="140" ht="58" customHeight="1">
      <x:c r="A140" s="17" t="n">
        <x:v>136</x:v>
      </x:c>
      <x:c r="B140" s="17" t="str">
        <x:v>B</x:v>
      </x:c>
      <x:c r="C140" s="17" t="str">
        <x:v>Cleaneye Job+</x:v>
      </x:c>
      <x:c r="D140" s="17" t="str">
        <x:v>재단법인 연수구청소년재단</x:v>
      </x:c>
      <x:c r="E140" s="17" t="str">
        <x:v>2026년 연수구청소년센터 기간제(수영강사) 직원 채용 공고</x:v>
      </x:c>
      <x:c r="F140" s="17" t="str">
        <x:v>신입+경력</x:v>
      </x:c>
      <x:c r="G140" s="17" t="str">
        <x:v>기간제</x:v>
      </x:c>
      <x:c r="H140" s="17" t="str">
        <x:v>인천광역시</x:v>
      </x:c>
      <x:c r="I140" s="17" t="str">
        <x:v>명시 없음(원문 확인)</x:v>
      </x:c>
      <x:c r="J140" s="17" t="str">
        <x:v>2026-09-12</x:v>
      </x:c>
      <x:c r="K140" s="17" t="str">
        <x:v>기간제·비정규</x:v>
      </x:c>
      <x:c r="L140" s="17" t="str">
        <x:v>검토</x:v>
      </x:c>
      <x:c r="M140" s="17" t="str">
        <x:v>제한 문구 미탐지</x:v>
      </x:c>
      <x:c r="N140" s="17" t="str">
        <x:v>포털 목록 확인</x:v>
      </x:c>
      <x:c r="O140" s="17" t="str">
        <x:v>기관 공고 원문 확인</x:v>
      </x:c>
      <x:c r="P140" s="17" t="str">
        <x:v>기관 공고 원문 확인</x:v>
      </x:c>
      <x:c r="Q140" s="17" t="str">
        <x:v>기관 공고 원문 확인</x:v>
      </x:c>
      <x:c r="R140" s="17" t="str">
        <x:v>기관 공고 원문 확인</x:v>
      </x:c>
      <x:c r="S140" s="18" t="str">
        <x:v>https://job.cleaneye.go.kr/user/ypRecruitment.do</x:v>
      </x:c>
      <x:c r="T140" s="1"/>
      <x:c r="U140" s="1"/>
      <x:c r="V140" s="1"/>
      <x:c r="W140" s="1"/>
      <x:c r="X140" s="1"/>
      <x:c r="Y140" s="1"/>
      <x:c r="Z140" s="1"/>
    </x:row>
    <x:row r="141" ht="58" customHeight="1">
      <x:c r="A141" s="17" t="n">
        <x:v>137</x:v>
      </x:c>
      <x:c r="B141" s="17" t="str">
        <x:v>B</x:v>
      </x:c>
      <x:c r="C141" s="17" t="str">
        <x:v>Cleaneye Job+</x:v>
      </x:c>
      <x:c r="D141" s="17" t="str">
        <x:v>강릉관광개발공사</x:v>
      </x:c>
      <x:c r="E141" s="17" t="str">
        <x:v>★ 2026년 제4회 일반직 전환형 계약직 경력·공개경쟁 블라인드 채용 재공고 ★</x:v>
      </x:c>
      <x:c r="F141" s="17" t="str">
        <x:v>신입+경력</x:v>
      </x:c>
      <x:c r="G141" s="17" t="str">
        <x:v>기간제</x:v>
      </x:c>
      <x:c r="H141" s="17" t="str">
        <x:v>강원특별자치도</x:v>
      </x:c>
      <x:c r="I141" s="17" t="str">
        <x:v>명시 없음(원문 확인)</x:v>
      </x:c>
      <x:c r="J141" s="17" t="str">
        <x:v>2026-09-13</x:v>
      </x:c>
      <x:c r="K141" s="17" t="str">
        <x:v>기간제·비정규</x:v>
      </x:c>
      <x:c r="L141" s="17" t="str">
        <x:v>검토</x:v>
      </x:c>
      <x:c r="M141" s="17" t="str">
        <x:v>제한 문구 미탐지</x:v>
      </x:c>
      <x:c r="N141" s="17" t="str">
        <x:v>포털 목록 확인</x:v>
      </x:c>
      <x:c r="O141" s="17" t="str">
        <x:v>기관 공고 원문 확인</x:v>
      </x:c>
      <x:c r="P141" s="17" t="str">
        <x:v>기관 공고 원문 확인</x:v>
      </x:c>
      <x:c r="Q141" s="17" t="str">
        <x:v>기관 공고 원문 확인</x:v>
      </x:c>
      <x:c r="R141" s="17" t="str">
        <x:v>기관 공고 원문 확인</x:v>
      </x:c>
      <x:c r="S141" s="18" t="str">
        <x:v>https://job.cleaneye.go.kr/user/ypRecruitment.do</x:v>
      </x:c>
      <x:c r="T141" s="1"/>
      <x:c r="U141" s="1"/>
      <x:c r="V141" s="1"/>
      <x:c r="W141" s="1"/>
      <x:c r="X141" s="1"/>
      <x:c r="Y141" s="1"/>
      <x:c r="Z141" s="1"/>
    </x:row>
    <x:row r="142" ht="58" customHeight="1">
      <x:c r="A142" s="17" t="n">
        <x:v>138</x:v>
      </x:c>
      <x:c r="B142" s="17" t="str">
        <x:v>B</x:v>
      </x:c>
      <x:c r="C142" s="17" t="str">
        <x:v>Cleaneye Job+</x:v>
      </x:c>
      <x:c r="D142" s="17" t="str">
        <x:v>경상북도안동의료원</x:v>
      </x:c>
      <x:c r="E142" s="17" t="str">
        <x:v>관리직 시설관리사(정규직) 채용 공고</x:v>
      </x:c>
      <x:c r="F142" s="17" t="str">
        <x:v>신입+경력</x:v>
      </x:c>
      <x:c r="G142" s="17" t="str">
        <x:v>일반정규직</x:v>
      </x:c>
      <x:c r="H142" s="17" t="str">
        <x:v>경상북도</x:v>
      </x:c>
      <x:c r="I142" s="17" t="str">
        <x:v>명시 없음(원문 확인)</x:v>
      </x:c>
      <x:c r="J142" s="17" t="str">
        <x:v>2026-09-13</x:v>
      </x:c>
      <x:c r="K142" s="17" t="str">
        <x:v>정규직(세부 확인)</x:v>
      </x:c>
      <x:c r="L142" s="17" t="str">
        <x:v>검토</x:v>
      </x:c>
      <x:c r="M142" s="17" t="str">
        <x:v>제한 문구 미탐지</x:v>
      </x:c>
      <x:c r="N142" s="17" t="str">
        <x:v>포털 목록 확인</x:v>
      </x:c>
      <x:c r="O142" s="17" t="str">
        <x:v>기관 공고 원문 확인</x:v>
      </x:c>
      <x:c r="P142" s="17" t="str">
        <x:v>기관 공고 원문 확인</x:v>
      </x:c>
      <x:c r="Q142" s="17" t="str">
        <x:v>기관 공고 원문 확인</x:v>
      </x:c>
      <x:c r="R142" s="17" t="str">
        <x:v>기관 공고 원문 확인</x:v>
      </x:c>
      <x:c r="S142" s="18" t="str">
        <x:v>https://job.cleaneye.go.kr/user/ypRecruitment.do</x:v>
      </x:c>
      <x:c r="T142" s="1"/>
      <x:c r="U142" s="1"/>
      <x:c r="V142" s="1"/>
      <x:c r="W142" s="1"/>
      <x:c r="X142" s="1"/>
      <x:c r="Y142" s="1"/>
      <x:c r="Z142" s="1"/>
    </x:row>
    <x:row r="143" ht="58" customHeight="1">
      <x:c r="A143" s="17" t="n">
        <x:v>139</x:v>
      </x:c>
      <x:c r="B143" s="17" t="str">
        <x:v>B</x:v>
      </x:c>
      <x:c r="C143" s="17" t="str">
        <x:v>Cleaneye Job+</x:v>
      </x:c>
      <x:c r="D143" s="17" t="str">
        <x:v>고양시청소년재단</x:v>
      </x:c>
      <x:c r="E143" s="17" t="str">
        <x:v>고양시청소년재단 2026년 제5차 기간제근로자 채용 공고</x:v>
      </x:c>
      <x:c r="F143" s="17" t="str">
        <x:v>신입</x:v>
      </x:c>
      <x:c r="G143" s="17" t="str">
        <x:v>기간제</x:v>
      </x:c>
      <x:c r="H143" s="17" t="str">
        <x:v>경기도</x:v>
      </x:c>
      <x:c r="I143" s="17" t="str">
        <x:v>명시 없음(원문 확인)</x:v>
      </x:c>
      <x:c r="J143" s="17" t="str">
        <x:v>2026-09-13</x:v>
      </x:c>
      <x:c r="K143" s="17" t="str">
        <x:v>기간제·비정규</x:v>
      </x:c>
      <x:c r="L143" s="17" t="str">
        <x:v>검토</x:v>
      </x:c>
      <x:c r="M143" s="17" t="str">
        <x:v>제한 문구 미탐지</x:v>
      </x:c>
      <x:c r="N143" s="17" t="str">
        <x:v>포털 목록 확인</x:v>
      </x:c>
      <x:c r="O143" s="17" t="str">
        <x:v>기관 공고 원문 확인</x:v>
      </x:c>
      <x:c r="P143" s="17" t="str">
        <x:v>기관 공고 원문 확인</x:v>
      </x:c>
      <x:c r="Q143" s="17" t="str">
        <x:v>기관 공고 원문 확인</x:v>
      </x:c>
      <x:c r="R143" s="17" t="str">
        <x:v>기관 공고 원문 확인</x:v>
      </x:c>
      <x:c r="S143" s="18" t="str">
        <x:v>https://job.cleaneye.go.kr/user/ypRecruitment.do</x:v>
      </x:c>
      <x:c r="T143" s="1"/>
      <x:c r="U143" s="1"/>
      <x:c r="V143" s="1"/>
      <x:c r="W143" s="1"/>
      <x:c r="X143" s="1"/>
      <x:c r="Y143" s="1"/>
      <x:c r="Z143" s="1"/>
    </x:row>
    <x:row r="144" ht="58" customHeight="1">
      <x:c r="A144" s="17" t="n">
        <x:v>140</x:v>
      </x:c>
      <x:c r="B144" s="17" t="str">
        <x:v>B</x:v>
      </x:c>
      <x:c r="C144" s="17" t="str">
        <x:v>Cleaneye Job+</x:v>
      </x:c>
      <x:c r="D144" s="17" t="str">
        <x:v>김해문화관광재단</x:v>
      </x:c>
      <x:c r="E144" s="17" t="str">
        <x:v>(재)김해문화관광재단 김해시립김영원미술관 기간제 노동자(체험 프로그램 보조) 채용 공고</x:v>
      </x:c>
      <x:c r="F144" s="17" t="str">
        <x:v>신입+경력</x:v>
      </x:c>
      <x:c r="G144" s="17" t="str">
        <x:v>기간제</x:v>
      </x:c>
      <x:c r="H144" s="17" t="str">
        <x:v>경상남도</x:v>
      </x:c>
      <x:c r="I144" s="17" t="str">
        <x:v>명시 없음(원문 확인)</x:v>
      </x:c>
      <x:c r="J144" s="17" t="str">
        <x:v>2026-09-13</x:v>
      </x:c>
      <x:c r="K144" s="17" t="str">
        <x:v>기간제·비정규</x:v>
      </x:c>
      <x:c r="L144" s="17" t="str">
        <x:v>검토</x:v>
      </x:c>
      <x:c r="M144" s="17" t="str">
        <x:v>제한 문구 미탐지</x:v>
      </x:c>
      <x:c r="N144" s="17" t="str">
        <x:v>포털 목록 확인</x:v>
      </x:c>
      <x:c r="O144" s="17" t="str">
        <x:v>기관 공고 원문 확인</x:v>
      </x:c>
      <x:c r="P144" s="17" t="str">
        <x:v>기관 공고 원문 확인</x:v>
      </x:c>
      <x:c r="Q144" s="17" t="str">
        <x:v>기관 공고 원문 확인</x:v>
      </x:c>
      <x:c r="R144" s="17" t="str">
        <x:v>기관 공고 원문 확인</x:v>
      </x:c>
      <x:c r="S144" s="18" t="str">
        <x:v>https://job.cleaneye.go.kr/user/ypRecruitment.do</x:v>
      </x:c>
      <x:c r="T144" s="1"/>
      <x:c r="U144" s="1"/>
      <x:c r="V144" s="1"/>
      <x:c r="W144" s="1"/>
      <x:c r="X144" s="1"/>
      <x:c r="Y144" s="1"/>
      <x:c r="Z144" s="1"/>
    </x:row>
    <x:row r="145" ht="58" customHeight="1">
      <x:c r="A145" s="17" t="n">
        <x:v>141</x:v>
      </x:c>
      <x:c r="B145" s="17" t="str">
        <x:v>B</x:v>
      </x:c>
      <x:c r="C145" s="17" t="str">
        <x:v>Cleaneye Job+</x:v>
      </x:c>
      <x:c r="D145" s="17" t="str">
        <x:v>김해문화관광재단</x:v>
      </x:c>
      <x:c r="E145" s="17" t="str">
        <x:v>(재)김해문화관광재단 문화도시팀 기간제노동자(명월, 웰컴) 채용 공고</x:v>
      </x:c>
      <x:c r="F145" s="17" t="str">
        <x:v>신입+경력</x:v>
      </x:c>
      <x:c r="G145" s="17" t="str">
        <x:v>기간제</x:v>
      </x:c>
      <x:c r="H145" s="17" t="str">
        <x:v>경상남도</x:v>
      </x:c>
      <x:c r="I145" s="17" t="str">
        <x:v>명시 없음(원문 확인)</x:v>
      </x:c>
      <x:c r="J145" s="17" t="str">
        <x:v>2026-09-13</x:v>
      </x:c>
      <x:c r="K145" s="17" t="str">
        <x:v>기간제·비정규</x:v>
      </x:c>
      <x:c r="L145" s="17" t="str">
        <x:v>검토</x:v>
      </x:c>
      <x:c r="M145" s="17" t="str">
        <x:v>제한 문구 미탐지</x:v>
      </x:c>
      <x:c r="N145" s="17" t="str">
        <x:v>포털 목록 확인</x:v>
      </x:c>
      <x:c r="O145" s="17" t="str">
        <x:v>기관 공고 원문 확인</x:v>
      </x:c>
      <x:c r="P145" s="17" t="str">
        <x:v>기관 공고 원문 확인</x:v>
      </x:c>
      <x:c r="Q145" s="17" t="str">
        <x:v>기관 공고 원문 확인</x:v>
      </x:c>
      <x:c r="R145" s="17" t="str">
        <x:v>기관 공고 원문 확인</x:v>
      </x:c>
      <x:c r="S145" s="18" t="str">
        <x:v>https://job.cleaneye.go.kr/user/ypRecruitment.do</x:v>
      </x:c>
      <x:c r="T145" s="1"/>
      <x:c r="U145" s="1"/>
      <x:c r="V145" s="1"/>
      <x:c r="W145" s="1"/>
      <x:c r="X145" s="1"/>
      <x:c r="Y145" s="1"/>
      <x:c r="Z145" s="1"/>
    </x:row>
    <x:row r="146" ht="58" customHeight="1">
      <x:c r="A146" s="17" t="n">
        <x:v>142</x:v>
      </x:c>
      <x:c r="B146" s="17" t="str">
        <x:v>B</x:v>
      </x:c>
      <x:c r="C146" s="17" t="str">
        <x:v>Cleaneye Job+</x:v>
      </x:c>
      <x:c r="D146" s="17" t="str">
        <x:v>서초여성일자리주식회사</x:v>
      </x:c>
      <x:c r="E146" s="17" t="str">
        <x:v>2026년 하반기 4차 경영지원(사원), 사업관리(주임) 직원채용 공고</x:v>
      </x:c>
      <x:c r="F146" s="17" t="str">
        <x:v>신입+경력</x:v>
      </x:c>
      <x:c r="G146" s="17" t="str">
        <x:v>기간제</x:v>
      </x:c>
      <x:c r="H146" s="17" t="str">
        <x:v>서울특별시</x:v>
      </x:c>
      <x:c r="I146" s="17" t="str">
        <x:v>명시 없음(원문 확인)</x:v>
      </x:c>
      <x:c r="J146" s="17" t="str">
        <x:v>2026-09-13</x:v>
      </x:c>
      <x:c r="K146" s="17" t="str">
        <x:v>기간제·비정규</x:v>
      </x:c>
      <x:c r="L146" s="17" t="str">
        <x:v>검토</x:v>
      </x:c>
      <x:c r="M146" s="17" t="str">
        <x:v>제한 문구 미탐지</x:v>
      </x:c>
      <x:c r="N146" s="17" t="str">
        <x:v>포털 목록 확인</x:v>
      </x:c>
      <x:c r="O146" s="17" t="str">
        <x:v>기관 공고 원문 확인</x:v>
      </x:c>
      <x:c r="P146" s="17" t="str">
        <x:v>기관 공고 원문 확인</x:v>
      </x:c>
      <x:c r="Q146" s="17" t="str">
        <x:v>기관 공고 원문 확인</x:v>
      </x:c>
      <x:c r="R146" s="17" t="str">
        <x:v>기관 공고 원문 확인</x:v>
      </x:c>
      <x:c r="S146" s="18" t="str">
        <x:v>https://job.cleaneye.go.kr/user/ypRecruitment.do</x:v>
      </x:c>
      <x:c r="T146" s="1"/>
      <x:c r="U146" s="1"/>
      <x:c r="V146" s="1"/>
      <x:c r="W146" s="1"/>
      <x:c r="X146" s="1"/>
      <x:c r="Y146" s="1"/>
      <x:c r="Z146" s="1"/>
    </x:row>
    <x:row r="147" ht="58" customHeight="1">
      <x:c r="A147" s="17" t="n">
        <x:v>143</x:v>
      </x:c>
      <x:c r="B147" s="17" t="str">
        <x:v>B</x:v>
      </x:c>
      <x:c r="C147" s="17" t="str">
        <x:v>Cleaneye Job+</x:v>
      </x:c>
      <x:c r="D147" s="17" t="str">
        <x:v>성남시의료원</x:v>
      </x:c>
      <x:c r="E147" s="17" t="str">
        <x:v>2026년 제11회 성남시의료원 직원채용 모집 공고</x:v>
      </x:c>
      <x:c r="F147" s="17" t="str">
        <x:v>신입+경력</x:v>
      </x:c>
      <x:c r="G147" s="17" t="str">
        <x:v>일반계약직</x:v>
      </x:c>
      <x:c r="H147" s="17" t="str">
        <x:v>경기도</x:v>
      </x:c>
      <x:c r="I147" s="17" t="str">
        <x:v>명시 없음(원문 확인)</x:v>
      </x:c>
      <x:c r="J147" s="17" t="str">
        <x:v>2026-09-13</x:v>
      </x:c>
      <x:c r="K147" s="17" t="str">
        <x:v>기타 채용</x:v>
      </x:c>
      <x:c r="L147" s="17" t="str">
        <x:v>검토</x:v>
      </x:c>
      <x:c r="M147" s="17" t="str">
        <x:v>제한 문구 미탐지</x:v>
      </x:c>
      <x:c r="N147" s="17" t="str">
        <x:v>포털 목록 확인</x:v>
      </x:c>
      <x:c r="O147" s="17" t="str">
        <x:v>기관 공고 원문 확인</x:v>
      </x:c>
      <x:c r="P147" s="17" t="str">
        <x:v>기관 공고 원문 확인</x:v>
      </x:c>
      <x:c r="Q147" s="17" t="str">
        <x:v>기관 공고 원문 확인</x:v>
      </x:c>
      <x:c r="R147" s="17" t="str">
        <x:v>기관 공고 원문 확인</x:v>
      </x:c>
      <x:c r="S147" s="18" t="str">
        <x:v>https://job.cleaneye.go.kr/user/ypRecruitment.do</x:v>
      </x:c>
      <x:c r="T147" s="1"/>
      <x:c r="U147" s="1"/>
      <x:c r="V147" s="1"/>
      <x:c r="W147" s="1"/>
      <x:c r="X147" s="1"/>
      <x:c r="Y147" s="1"/>
      <x:c r="Z147" s="1"/>
    </x:row>
    <x:row r="148" ht="58" customHeight="1">
      <x:c r="A148" s="17" t="n">
        <x:v>144</x:v>
      </x:c>
      <x:c r="B148" s="17" t="str">
        <x:v>B</x:v>
      </x:c>
      <x:c r="C148" s="17" t="str">
        <x:v>Cleaneye Job+</x:v>
      </x:c>
      <x:c r="D148" s="17" t="str">
        <x:v>수성문화재단</x:v>
      </x:c>
      <x:c r="E148" s="17" t="str">
        <x:v>2026년 (재)수성문화재단 문화도시본부 관광진흥센터 고모역 복합문화공간 기간제 근로자 공개채용 재공고</x:v>
      </x:c>
      <x:c r="F148" s="17" t="str">
        <x:v>신입+경력</x:v>
      </x:c>
      <x:c r="G148" s="17" t="str">
        <x:v>기간제</x:v>
      </x:c>
      <x:c r="H148" s="17" t="str">
        <x:v>대구광역시</x:v>
      </x:c>
      <x:c r="I148" s="17" t="str">
        <x:v>명시 없음(원문 확인)</x:v>
      </x:c>
      <x:c r="J148" s="17" t="str">
        <x:v>2026-09-13</x:v>
      </x:c>
      <x:c r="K148" s="17" t="str">
        <x:v>기간제·비정규</x:v>
      </x:c>
      <x:c r="L148" s="17" t="str">
        <x:v>검토</x:v>
      </x:c>
      <x:c r="M148" s="17" t="str">
        <x:v>제한 문구 미탐지</x:v>
      </x:c>
      <x:c r="N148" s="17" t="str">
        <x:v>포털 목록 확인</x:v>
      </x:c>
      <x:c r="O148" s="17" t="str">
        <x:v>기관 공고 원문 확인</x:v>
      </x:c>
      <x:c r="P148" s="17" t="str">
        <x:v>기관 공고 원문 확인</x:v>
      </x:c>
      <x:c r="Q148" s="17" t="str">
        <x:v>기관 공고 원문 확인</x:v>
      </x:c>
      <x:c r="R148" s="17" t="str">
        <x:v>기관 공고 원문 확인</x:v>
      </x:c>
      <x:c r="S148" s="18" t="str">
        <x:v>https://job.cleaneye.go.kr/user/ypRecruitment.do</x:v>
      </x:c>
      <x:c r="T148" s="1"/>
      <x:c r="U148" s="1"/>
      <x:c r="V148" s="1"/>
      <x:c r="W148" s="1"/>
      <x:c r="X148" s="1"/>
      <x:c r="Y148" s="1"/>
      <x:c r="Z148" s="1"/>
    </x:row>
    <x:row r="149" ht="58" customHeight="1">
      <x:c r="A149" s="17" t="n">
        <x:v>145</x:v>
      </x:c>
      <x:c r="B149" s="17" t="str">
        <x:v>B</x:v>
      </x:c>
      <x:c r="C149" s="17" t="str">
        <x:v>Cleaneye Job+</x:v>
      </x:c>
      <x:c r="D149" s="17" t="str">
        <x:v>재단법인 성북복지재단</x:v>
      </x:c>
      <x:c r="E149" s="17" t="str">
        <x:v>재단법인 성북복지재단 직원 채용 공고(기간제)</x:v>
      </x:c>
      <x:c r="F149" s="17" t="str">
        <x:v>신입+경력</x:v>
      </x:c>
      <x:c r="G149" s="17" t="str">
        <x:v>기간제</x:v>
      </x:c>
      <x:c r="H149" s="17" t="str">
        <x:v>서울특별시</x:v>
      </x:c>
      <x:c r="I149" s="17" t="str">
        <x:v>명시 없음(원문 확인)</x:v>
      </x:c>
      <x:c r="J149" s="17" t="str">
        <x:v>2026-09-13</x:v>
      </x:c>
      <x:c r="K149" s="17" t="str">
        <x:v>기간제·비정규</x:v>
      </x:c>
      <x:c r="L149" s="17" t="str">
        <x:v>검토</x:v>
      </x:c>
      <x:c r="M149" s="17" t="str">
        <x:v>제한 문구 미탐지</x:v>
      </x:c>
      <x:c r="N149" s="17" t="str">
        <x:v>포털 목록 확인</x:v>
      </x:c>
      <x:c r="O149" s="17" t="str">
        <x:v>기관 공고 원문 확인</x:v>
      </x:c>
      <x:c r="P149" s="17" t="str">
        <x:v>기관 공고 원문 확인</x:v>
      </x:c>
      <x:c r="Q149" s="17" t="str">
        <x:v>기관 공고 원문 확인</x:v>
      </x:c>
      <x:c r="R149" s="17" t="str">
        <x:v>기관 공고 원문 확인</x:v>
      </x:c>
      <x:c r="S149" s="18" t="str">
        <x:v>https://job.cleaneye.go.kr/user/ypRecruitment.do</x:v>
      </x:c>
      <x:c r="T149" s="1"/>
      <x:c r="U149" s="1"/>
      <x:c r="V149" s="1"/>
      <x:c r="W149" s="1"/>
      <x:c r="X149" s="1"/>
      <x:c r="Y149" s="1"/>
      <x:c r="Z149" s="1"/>
    </x:row>
    <x:row r="150" ht="58" customHeight="1">
      <x:c r="A150" s="17" t="n">
        <x:v>146</x:v>
      </x:c>
      <x:c r="B150" s="17" t="str">
        <x:v>B</x:v>
      </x:c>
      <x:c r="C150" s="17" t="str">
        <x:v>Cleaneye Job+</x:v>
      </x:c>
      <x:c r="D150" s="17" t="str">
        <x:v>재단법인 중랑문화재단</x:v>
      </x:c>
      <x:c r="E150" s="17" t="str">
        <x:v>(재)중랑문화재단 중랑숲어린이도서관 시간제근로자 채용 공고</x:v>
      </x:c>
      <x:c r="F150" s="17" t="str">
        <x:v>신입+경력</x:v>
      </x:c>
      <x:c r="G150" s="17" t="str">
        <x:v>기간제</x:v>
      </x:c>
      <x:c r="H150" s="17" t="str">
        <x:v>서울특별시</x:v>
      </x:c>
      <x:c r="I150" s="17" t="str">
        <x:v>명시 없음(원문 확인)</x:v>
      </x:c>
      <x:c r="J150" s="17" t="str">
        <x:v>2026-09-13</x:v>
      </x:c>
      <x:c r="K150" s="17" t="str">
        <x:v>기간제·비정규</x:v>
      </x:c>
      <x:c r="L150" s="17" t="str">
        <x:v>검토</x:v>
      </x:c>
      <x:c r="M150" s="17" t="str">
        <x:v>제한 문구 미탐지</x:v>
      </x:c>
      <x:c r="N150" s="17" t="str">
        <x:v>포털 목록 확인</x:v>
      </x:c>
      <x:c r="O150" s="17" t="str">
        <x:v>기관 공고 원문 확인</x:v>
      </x:c>
      <x:c r="P150" s="17" t="str">
        <x:v>기관 공고 원문 확인</x:v>
      </x:c>
      <x:c r="Q150" s="17" t="str">
        <x:v>기관 공고 원문 확인</x:v>
      </x:c>
      <x:c r="R150" s="17" t="str">
        <x:v>기관 공고 원문 확인</x:v>
      </x:c>
      <x:c r="S150" s="18" t="str">
        <x:v>https://job.cleaneye.go.kr/user/ypRecruitment.do</x:v>
      </x:c>
      <x:c r="T150" s="1"/>
      <x:c r="U150" s="1"/>
      <x:c r="V150" s="1"/>
      <x:c r="W150" s="1"/>
      <x:c r="X150" s="1"/>
      <x:c r="Y150" s="1"/>
      <x:c r="Z150" s="1"/>
    </x:row>
    <x:row r="151" ht="58" customHeight="1">
      <x:c r="A151" s="17" t="n">
        <x:v>147</x:v>
      </x:c>
      <x:c r="B151" s="17" t="str">
        <x:v>B</x:v>
      </x:c>
      <x:c r="C151" s="17" t="str">
        <x:v>Cleaneye Job+</x:v>
      </x:c>
      <x:c r="D151" s="17" t="str">
        <x:v>창원레포츠파크</x:v>
      </x:c>
      <x:c r="E151" s="17" t="str">
        <x:v>2026년 창원레포츠파크 제5회 기간제근로자 공개채용 공고</x:v>
      </x:c>
      <x:c r="F151" s="17" t="str">
        <x:v>신입</x:v>
      </x:c>
      <x:c r="G151" s="17" t="str">
        <x:v>기간제</x:v>
      </x:c>
      <x:c r="H151" s="17" t="str">
        <x:v>경상남도</x:v>
      </x:c>
      <x:c r="I151" s="17" t="str">
        <x:v>경상남도 창원시</x:v>
      </x:c>
      <x:c r="J151" s="17" t="str">
        <x:v>2026-09-13</x:v>
      </x:c>
      <x:c r="K151" s="17" t="str">
        <x:v>기간제·비정규</x:v>
      </x:c>
      <x:c r="L151" s="17" t="str">
        <x:v>검토</x:v>
      </x:c>
      <x:c r="M151" s="17" t="str">
        <x:v>제한 문구 미탐지</x:v>
      </x:c>
      <x:c r="N151" s="17" t="str">
        <x:v>포털 목록 확인</x:v>
      </x:c>
      <x:c r="O151" s="17" t="str">
        <x:v>기관 공고 원문 확인</x:v>
      </x:c>
      <x:c r="P151" s="17" t="str">
        <x:v>기관 공고 원문 확인</x:v>
      </x:c>
      <x:c r="Q151" s="17" t="str">
        <x:v>기관 공고 원문 확인</x:v>
      </x:c>
      <x:c r="R151" s="17" t="str">
        <x:v>기관 공고 원문 확인</x:v>
      </x:c>
      <x:c r="S151" s="18" t="str">
        <x:v>https://job.cleaneye.go.kr/user/ypRecruitment.do</x:v>
      </x:c>
      <x:c r="T151" s="1"/>
      <x:c r="U151" s="1"/>
      <x:c r="V151" s="1"/>
      <x:c r="W151" s="1"/>
      <x:c r="X151" s="1"/>
      <x:c r="Y151" s="1"/>
      <x:c r="Z151" s="1"/>
    </x:row>
    <x:row r="152" ht="58" customHeight="1">
      <x:c r="A152" s="17" t="n">
        <x:v>148</x:v>
      </x:c>
      <x:c r="B152" s="17" t="str">
        <x:v>B</x:v>
      </x:c>
      <x:c r="C152" s="17" t="str">
        <x:v>Cleaneye Job+</x:v>
      </x:c>
      <x:c r="D152" s="17" t="str">
        <x:v>강남구도시관리공단</x:v>
      </x:c>
      <x:c r="E152" s="17" t="str">
        <x:v>강남구립 야외체육시설 법정공휴일 비정규 대체직원 채용 공고</x:v>
      </x:c>
      <x:c r="F152" s="17" t="str">
        <x:v>신입+경력</x:v>
      </x:c>
      <x:c r="G152" s="17" t="str">
        <x:v>기간제</x:v>
      </x:c>
      <x:c r="H152" s="17" t="str">
        <x:v>서울특별시</x:v>
      </x:c>
      <x:c r="I152" s="17" t="str">
        <x:v>명시 없음(원문 확인)</x:v>
      </x:c>
      <x:c r="J152" s="17" t="str">
        <x:v>2026-09-14</x:v>
      </x:c>
      <x:c r="K152" s="17" t="str">
        <x:v>기간제·비정규</x:v>
      </x:c>
      <x:c r="L152" s="17" t="str">
        <x:v>검토</x:v>
      </x:c>
      <x:c r="M152" s="17" t="str">
        <x:v>제한 문구 미탐지</x:v>
      </x:c>
      <x:c r="N152" s="17" t="str">
        <x:v>포털 목록 확인</x:v>
      </x:c>
      <x:c r="O152" s="17" t="str">
        <x:v>기관 공고 원문 확인</x:v>
      </x:c>
      <x:c r="P152" s="17" t="str">
        <x:v>기관 공고 원문 확인</x:v>
      </x:c>
      <x:c r="Q152" s="17" t="str">
        <x:v>기관 공고 원문 확인</x:v>
      </x:c>
      <x:c r="R152" s="17" t="str">
        <x:v>기관 공고 원문 확인</x:v>
      </x:c>
      <x:c r="S152" s="18" t="str">
        <x:v>https://job.cleaneye.go.kr/user/ypRecruitment.do</x:v>
      </x:c>
      <x:c r="T152" s="1"/>
      <x:c r="U152" s="1"/>
      <x:c r="V152" s="1"/>
      <x:c r="W152" s="1"/>
      <x:c r="X152" s="1"/>
      <x:c r="Y152" s="1"/>
      <x:c r="Z152" s="1"/>
    </x:row>
    <x:row r="153" ht="58" customHeight="1">
      <x:c r="A153" s="17" t="n">
        <x:v>149</x:v>
      </x:c>
      <x:c r="B153" s="17" t="str">
        <x:v>B</x:v>
      </x:c>
      <x:c r="C153" s="17" t="str">
        <x:v>Cleaneye Job+</x:v>
      </x:c>
      <x:c r="D153" s="17" t="str">
        <x:v>강원연구원</x:v>
      </x:c>
      <x:c r="E153" s="17" t="str">
        <x:v>강원연구원 제7차 부설센터 연구원 공개채용 재공고</x:v>
      </x:c>
      <x:c r="F153" s="17" t="str">
        <x:v>신입+경력</x:v>
      </x:c>
      <x:c r="G153" s="17" t="str">
        <x:v>기간제</x:v>
      </x:c>
      <x:c r="H153" s="17" t="str">
        <x:v>강원특별자치도</x:v>
      </x:c>
      <x:c r="I153" s="17" t="str">
        <x:v>명시 없음(원문 확인)</x:v>
      </x:c>
      <x:c r="J153" s="17" t="str">
        <x:v>2026-09-14</x:v>
      </x:c>
      <x:c r="K153" s="17" t="str">
        <x:v>기간제·비정규</x:v>
      </x:c>
      <x:c r="L153" s="17" t="str">
        <x:v>검토</x:v>
      </x:c>
      <x:c r="M153" s="17" t="str">
        <x:v>제한 문구 미탐지</x:v>
      </x:c>
      <x:c r="N153" s="17" t="str">
        <x:v>포털 목록 확인</x:v>
      </x:c>
      <x:c r="O153" s="17" t="str">
        <x:v>기관 공고 원문 확인</x:v>
      </x:c>
      <x:c r="P153" s="17" t="str">
        <x:v>기관 공고 원문 확인</x:v>
      </x:c>
      <x:c r="Q153" s="17" t="str">
        <x:v>기관 공고 원문 확인</x:v>
      </x:c>
      <x:c r="R153" s="17" t="str">
        <x:v>기관 공고 원문 확인</x:v>
      </x:c>
      <x:c r="S153" s="18" t="str">
        <x:v>https://job.cleaneye.go.kr/user/ypRecruitment.do</x:v>
      </x:c>
      <x:c r="T153" s="1"/>
      <x:c r="U153" s="1"/>
      <x:c r="V153" s="1"/>
      <x:c r="W153" s="1"/>
      <x:c r="X153" s="1"/>
      <x:c r="Y153" s="1"/>
      <x:c r="Z153" s="1"/>
    </x:row>
    <x:row r="154" ht="58" customHeight="1">
      <x:c r="A154" s="17" t="n">
        <x:v>150</x:v>
      </x:c>
      <x:c r="B154" s="17" t="str">
        <x:v>B</x:v>
      </x:c>
      <x:c r="C154" s="17" t="str">
        <x:v>Cleaneye Job+</x:v>
      </x:c>
      <x:c r="D154" s="17" t="str">
        <x:v>강원연구원</x:v>
      </x:c>
      <x:c r="E154" s="17" t="str">
        <x:v>강원연구원 제4차 장기 연구지원 연구원 공개채용 재공고</x:v>
      </x:c>
      <x:c r="F154" s="17" t="str">
        <x:v>신입+경력</x:v>
      </x:c>
      <x:c r="G154" s="17" t="str">
        <x:v>기간제</x:v>
      </x:c>
      <x:c r="H154" s="17" t="str">
        <x:v>강원특별자치도</x:v>
      </x:c>
      <x:c r="I154" s="17" t="str">
        <x:v>명시 없음(원문 확인)</x:v>
      </x:c>
      <x:c r="J154" s="17" t="str">
        <x:v>2026-09-14</x:v>
      </x:c>
      <x:c r="K154" s="17" t="str">
        <x:v>기간제·비정규</x:v>
      </x:c>
      <x:c r="L154" s="17" t="str">
        <x:v>검토</x:v>
      </x:c>
      <x:c r="M154" s="17" t="str">
        <x:v>제한 문구 미탐지</x:v>
      </x:c>
      <x:c r="N154" s="17" t="str">
        <x:v>포털 목록 확인</x:v>
      </x:c>
      <x:c r="O154" s="17" t="str">
        <x:v>기관 공고 원문 확인</x:v>
      </x:c>
      <x:c r="P154" s="17" t="str">
        <x:v>기관 공고 원문 확인</x:v>
      </x:c>
      <x:c r="Q154" s="17" t="str">
        <x:v>기관 공고 원문 확인</x:v>
      </x:c>
      <x:c r="R154" s="17" t="str">
        <x:v>기관 공고 원문 확인</x:v>
      </x:c>
      <x:c r="S154" s="18" t="str">
        <x:v>https://job.cleaneye.go.kr/user/ypRecruitment.do</x:v>
      </x:c>
      <x:c r="T154" s="1"/>
      <x:c r="U154" s="1"/>
      <x:c r="V154" s="1"/>
      <x:c r="W154" s="1"/>
      <x:c r="X154" s="1"/>
      <x:c r="Y154" s="1"/>
      <x:c r="Z154" s="1"/>
    </x:row>
    <x:row r="155" ht="58" customHeight="1">
      <x:c r="A155" s="17" t="n">
        <x:v>151</x:v>
      </x:c>
      <x:c r="B155" s="17" t="str">
        <x:v>B</x:v>
      </x:c>
      <x:c r="C155" s="17" t="str">
        <x:v>Cleaneye Job+</x:v>
      </x:c>
      <x:c r="D155" s="17" t="str">
        <x:v>강원연구원</x:v>
      </x:c>
      <x:c r="E155" s="17" t="str">
        <x:v>강원연구원 제7차 프로젝트 계약직 연구원 공개채용 공고</x:v>
      </x:c>
      <x:c r="F155" s="17" t="str">
        <x:v>신입+경력</x:v>
      </x:c>
      <x:c r="G155" s="17" t="str">
        <x:v>기간제</x:v>
      </x:c>
      <x:c r="H155" s="17" t="str">
        <x:v>강원특별자치도</x:v>
      </x:c>
      <x:c r="I155" s="17" t="str">
        <x:v>명시 없음(원문 확인)</x:v>
      </x:c>
      <x:c r="J155" s="17" t="str">
        <x:v>2026-09-14</x:v>
      </x:c>
      <x:c r="K155" s="17" t="str">
        <x:v>기간제·비정규</x:v>
      </x:c>
      <x:c r="L155" s="17" t="str">
        <x:v>검토</x:v>
      </x:c>
      <x:c r="M155" s="17" t="str">
        <x:v>제한 문구 미탐지</x:v>
      </x:c>
      <x:c r="N155" s="17" t="str">
        <x:v>포털 목록 확인</x:v>
      </x:c>
      <x:c r="O155" s="17" t="str">
        <x:v>기관 공고 원문 확인</x:v>
      </x:c>
      <x:c r="P155" s="17" t="str">
        <x:v>기관 공고 원문 확인</x:v>
      </x:c>
      <x:c r="Q155" s="17" t="str">
        <x:v>기관 공고 원문 확인</x:v>
      </x:c>
      <x:c r="R155" s="17" t="str">
        <x:v>기관 공고 원문 확인</x:v>
      </x:c>
      <x:c r="S155" s="18" t="str">
        <x:v>https://job.cleaneye.go.kr/user/ypRecruitment.do</x:v>
      </x:c>
      <x:c r="T155" s="1"/>
      <x:c r="U155" s="1"/>
      <x:c r="V155" s="1"/>
      <x:c r="W155" s="1"/>
      <x:c r="X155" s="1"/>
      <x:c r="Y155" s="1"/>
      <x:c r="Z155" s="1"/>
    </x:row>
    <x:row r="156" ht="58" customHeight="1">
      <x:c r="A156" s="17" t="n">
        <x:v>152</x:v>
      </x:c>
      <x:c r="B156" s="17" t="str">
        <x:v>B</x:v>
      </x:c>
      <x:c r="C156" s="17" t="str">
        <x:v>Cleaneye Job+</x:v>
      </x:c>
      <x:c r="D156" s="17" t="str">
        <x:v>강원연구원</x:v>
      </x:c>
      <x:c r="E156" s="17" t="str">
        <x:v>강원연구원 제5차 장기 연구지원 연구원 공개채용 공고</x:v>
      </x:c>
      <x:c r="F156" s="17" t="str">
        <x:v>신입+경력</x:v>
      </x:c>
      <x:c r="G156" s="17" t="str">
        <x:v>기간제</x:v>
      </x:c>
      <x:c r="H156" s="17" t="str">
        <x:v>강원특별자치도</x:v>
      </x:c>
      <x:c r="I156" s="17" t="str">
        <x:v>명시 없음(원문 확인)</x:v>
      </x:c>
      <x:c r="J156" s="17" t="str">
        <x:v>2026-09-14</x:v>
      </x:c>
      <x:c r="K156" s="17" t="str">
        <x:v>기간제·비정규</x:v>
      </x:c>
      <x:c r="L156" s="17" t="str">
        <x:v>검토</x:v>
      </x:c>
      <x:c r="M156" s="17" t="str">
        <x:v>제한 문구 미탐지</x:v>
      </x:c>
      <x:c r="N156" s="17" t="str">
        <x:v>포털 목록 확인</x:v>
      </x:c>
      <x:c r="O156" s="17" t="str">
        <x:v>기관 공고 원문 확인</x:v>
      </x:c>
      <x:c r="P156" s="17" t="str">
        <x:v>기관 공고 원문 확인</x:v>
      </x:c>
      <x:c r="Q156" s="17" t="str">
        <x:v>기관 공고 원문 확인</x:v>
      </x:c>
      <x:c r="R156" s="17" t="str">
        <x:v>기관 공고 원문 확인</x:v>
      </x:c>
      <x:c r="S156" s="18" t="str">
        <x:v>https://job.cleaneye.go.kr/user/ypRecruitment.do</x:v>
      </x:c>
      <x:c r="T156" s="1"/>
      <x:c r="U156" s="1"/>
      <x:c r="V156" s="1"/>
      <x:c r="W156" s="1"/>
      <x:c r="X156" s="1"/>
      <x:c r="Y156" s="1"/>
      <x:c r="Z156" s="1"/>
    </x:row>
    <x:row r="157" ht="58" customHeight="1">
      <x:c r="A157" s="17" t="n">
        <x:v>153</x:v>
      </x:c>
      <x:c r="B157" s="17" t="str">
        <x:v>B</x:v>
      </x:c>
      <x:c r="C157" s="17" t="str">
        <x:v>Cleaneye Job+</x:v>
      </x:c>
      <x:c r="D157" s="17" t="str">
        <x:v>강원연구원</x:v>
      </x:c>
      <x:c r="E157" s="17" t="str">
        <x:v>강원연구원 제6차 프로젝트 계약직 연구원 공개채용 재공고</x:v>
      </x:c>
      <x:c r="F157" s="17" t="str">
        <x:v>신입+경력</x:v>
      </x:c>
      <x:c r="G157" s="17" t="str">
        <x:v>기간제</x:v>
      </x:c>
      <x:c r="H157" s="17" t="str">
        <x:v>강원특별자치도</x:v>
      </x:c>
      <x:c r="I157" s="17" t="str">
        <x:v>명시 없음(원문 확인)</x:v>
      </x:c>
      <x:c r="J157" s="17" t="str">
        <x:v>2026-09-14</x:v>
      </x:c>
      <x:c r="K157" s="17" t="str">
        <x:v>기간제·비정규</x:v>
      </x:c>
      <x:c r="L157" s="17" t="str">
        <x:v>검토</x:v>
      </x:c>
      <x:c r="M157" s="17" t="str">
        <x:v>제한 문구 미탐지</x:v>
      </x:c>
      <x:c r="N157" s="17" t="str">
        <x:v>포털 목록 확인</x:v>
      </x:c>
      <x:c r="O157" s="17" t="str">
        <x:v>기관 공고 원문 확인</x:v>
      </x:c>
      <x:c r="P157" s="17" t="str">
        <x:v>기관 공고 원문 확인</x:v>
      </x:c>
      <x:c r="Q157" s="17" t="str">
        <x:v>기관 공고 원문 확인</x:v>
      </x:c>
      <x:c r="R157" s="17" t="str">
        <x:v>기관 공고 원문 확인</x:v>
      </x:c>
      <x:c r="S157" s="18" t="str">
        <x:v>https://job.cleaneye.go.kr/user/ypRecruitment.do</x:v>
      </x:c>
      <x:c r="T157" s="1"/>
      <x:c r="U157" s="1"/>
      <x:c r="V157" s="1"/>
      <x:c r="W157" s="1"/>
      <x:c r="X157" s="1"/>
      <x:c r="Y157" s="1"/>
      <x:c r="Z157" s="1"/>
    </x:row>
    <x:row r="158" ht="58" customHeight="1">
      <x:c r="A158" s="17" t="n">
        <x:v>154</x:v>
      </x:c>
      <x:c r="B158" s="17" t="str">
        <x:v>B</x:v>
      </x:c>
      <x:c r="C158" s="17" t="str">
        <x:v>Cleaneye Job+</x:v>
      </x:c>
      <x:c r="D158" s="17" t="str">
        <x:v>강원특별자치도강릉의료원</x:v>
      </x:c>
      <x:c r="E158" s="17" t="str">
        <x:v>공고2026-66호 기간제 물리치료사(육아휴직대체)</x:v>
      </x:c>
      <x:c r="F158" s="17" t="str">
        <x:v>신입+경력</x:v>
      </x:c>
      <x:c r="G158" s="17" t="str">
        <x:v>기간제</x:v>
      </x:c>
      <x:c r="H158" s="17" t="str">
        <x:v>강원특별자치도</x:v>
      </x:c>
      <x:c r="I158" s="17" t="str">
        <x:v>명시 없음(원문 확인)</x:v>
      </x:c>
      <x:c r="J158" s="17" t="str">
        <x:v>2026-09-14</x:v>
      </x:c>
      <x:c r="K158" s="17" t="str">
        <x:v>기간제·비정규</x:v>
      </x:c>
      <x:c r="L158" s="17" t="str">
        <x:v>검토</x:v>
      </x:c>
      <x:c r="M158" s="17" t="str">
        <x:v>제한 문구 미탐지</x:v>
      </x:c>
      <x:c r="N158" s="17" t="str">
        <x:v>포털 목록 확인</x:v>
      </x:c>
      <x:c r="O158" s="17" t="str">
        <x:v>기관 공고 원문 확인</x:v>
      </x:c>
      <x:c r="P158" s="17" t="str">
        <x:v>기관 공고 원문 확인</x:v>
      </x:c>
      <x:c r="Q158" s="17" t="str">
        <x:v>기관 공고 원문 확인</x:v>
      </x:c>
      <x:c r="R158" s="17" t="str">
        <x:v>기관 공고 원문 확인</x:v>
      </x:c>
      <x:c r="S158" s="18" t="str">
        <x:v>https://job.cleaneye.go.kr/user/ypRecruitment.do</x:v>
      </x:c>
      <x:c r="T158" s="1"/>
      <x:c r="U158" s="1"/>
      <x:c r="V158" s="1"/>
      <x:c r="W158" s="1"/>
      <x:c r="X158" s="1"/>
      <x:c r="Y158" s="1"/>
      <x:c r="Z158" s="1"/>
    </x:row>
    <x:row r="159" ht="58" customHeight="1">
      <x:c r="A159" s="17" t="n">
        <x:v>155</x:v>
      </x:c>
      <x:c r="B159" s="17" t="str">
        <x:v>B</x:v>
      </x:c>
      <x:c r="C159" s="17" t="str">
        <x:v>Cleaneye Job+</x:v>
      </x:c>
      <x:c r="D159" s="17" t="str">
        <x:v>강원특별자치도강릉의료원</x:v>
      </x:c>
      <x:c r="E159" s="17" t="str">
        <x:v>공고2026-66호 기간제 의료보조원(장애인 등록증 소지자)</x:v>
      </x:c>
      <x:c r="F159" s="17" t="str">
        <x:v>신입+경력</x:v>
      </x:c>
      <x:c r="G159" s="17" t="str">
        <x:v>기간제</x:v>
      </x:c>
      <x:c r="H159" s="17" t="str">
        <x:v>강원특별자치도</x:v>
      </x:c>
      <x:c r="I159" s="17" t="str">
        <x:v>명시 없음(원문 확인)</x:v>
      </x:c>
      <x:c r="J159" s="17" t="str">
        <x:v>2026-09-14</x:v>
      </x:c>
      <x:c r="K159" s="17" t="str">
        <x:v>기간제·비정규</x:v>
      </x:c>
      <x:c r="L159" s="17" t="str">
        <x:v>검토</x:v>
      </x:c>
      <x:c r="M159" s="17" t="str">
        <x:v>제한 문구 미탐지</x:v>
      </x:c>
      <x:c r="N159" s="17" t="str">
        <x:v>포털 목록 확인</x:v>
      </x:c>
      <x:c r="O159" s="17" t="str">
        <x:v>기관 공고 원문 확인</x:v>
      </x:c>
      <x:c r="P159" s="17" t="str">
        <x:v>기관 공고 원문 확인</x:v>
      </x:c>
      <x:c r="Q159" s="17" t="str">
        <x:v>기관 공고 원문 확인</x:v>
      </x:c>
      <x:c r="R159" s="17" t="str">
        <x:v>기관 공고 원문 확인</x:v>
      </x:c>
      <x:c r="S159" s="18" t="str">
        <x:v>https://job.cleaneye.go.kr/user/ypRecruitment.do</x:v>
      </x:c>
      <x:c r="T159" s="1"/>
      <x:c r="U159" s="1"/>
      <x:c r="V159" s="1"/>
      <x:c r="W159" s="1"/>
      <x:c r="X159" s="1"/>
      <x:c r="Y159" s="1"/>
      <x:c r="Z159" s="1"/>
    </x:row>
    <x:row r="160" ht="58" customHeight="1">
      <x:c r="A160" s="17" t="n">
        <x:v>156</x:v>
      </x:c>
      <x:c r="B160" s="17" t="str">
        <x:v>B</x:v>
      </x:c>
      <x:c r="C160" s="17" t="str">
        <x:v>Cleaneye Job+</x:v>
      </x:c>
      <x:c r="D160" s="17" t="str">
        <x:v>강원특별자치도강릉의료원</x:v>
      </x:c>
      <x:c r="E160" s="17" t="str">
        <x:v>공고2026-65호 응급실 전담의 채용공고</x:v>
      </x:c>
      <x:c r="F160" s="17" t="str">
        <x:v>신입+경력</x:v>
      </x:c>
      <x:c r="G160" s="17" t="str">
        <x:v>일반정규직</x:v>
      </x:c>
      <x:c r="H160" s="17" t="str">
        <x:v>강원특별자치도</x:v>
      </x:c>
      <x:c r="I160" s="17" t="str">
        <x:v>명시 없음(원문 확인)</x:v>
      </x:c>
      <x:c r="J160" s="17" t="str">
        <x:v>2026-09-14</x:v>
      </x:c>
      <x:c r="K160" s="17" t="str">
        <x:v>정규직(세부 확인)</x:v>
      </x:c>
      <x:c r="L160" s="17" t="str">
        <x:v>검토</x:v>
      </x:c>
      <x:c r="M160" s="17" t="str">
        <x:v>제한 문구 미탐지</x:v>
      </x:c>
      <x:c r="N160" s="17" t="str">
        <x:v>포털 목록 확인</x:v>
      </x:c>
      <x:c r="O160" s="17" t="str">
        <x:v>기관 공고 원문 확인</x:v>
      </x:c>
      <x:c r="P160" s="17" t="str">
        <x:v>기관 공고 원문 확인</x:v>
      </x:c>
      <x:c r="Q160" s="17" t="str">
        <x:v>기관 공고 원문 확인</x:v>
      </x:c>
      <x:c r="R160" s="17" t="str">
        <x:v>기관 공고 원문 확인</x:v>
      </x:c>
      <x:c r="S160" s="18" t="str">
        <x:v>https://job.cleaneye.go.kr/user/ypRecruitment.do</x:v>
      </x:c>
      <x:c r="T160" s="1"/>
      <x:c r="U160" s="1"/>
      <x:c r="V160" s="1"/>
      <x:c r="W160" s="1"/>
      <x:c r="X160" s="1"/>
      <x:c r="Y160" s="1"/>
      <x:c r="Z160" s="1"/>
    </x:row>
    <x:row r="161" ht="58" customHeight="1">
      <x:c r="A161" s="17" t="n">
        <x:v>157</x:v>
      </x:c>
      <x:c r="B161" s="17" t="str">
        <x:v>B</x:v>
      </x:c>
      <x:c r="C161" s="17" t="str">
        <x:v>Cleaneye Job+</x:v>
      </x:c>
      <x:c r="D161" s="17" t="str">
        <x:v>강원특별자치도영월의료원</x:v>
      </x:c>
      <x:c r="E161" s="17" t="str">
        <x:v>장례식장 조리원 공개경쟁 채용 재공고(계약직)</x:v>
      </x:c>
      <x:c r="F161" s="17" t="str">
        <x:v>신입+경력</x:v>
      </x:c>
      <x:c r="G161" s="17" t="str">
        <x:v>기간제</x:v>
      </x:c>
      <x:c r="H161" s="17" t="str">
        <x:v>강원특별자치도</x:v>
      </x:c>
      <x:c r="I161" s="17" t="str">
        <x:v>명시 없음(원문 확인)</x:v>
      </x:c>
      <x:c r="J161" s="17" t="str">
        <x:v>2026-09-14</x:v>
      </x:c>
      <x:c r="K161" s="17" t="str">
        <x:v>기간제·비정규</x:v>
      </x:c>
      <x:c r="L161" s="17" t="str">
        <x:v>검토</x:v>
      </x:c>
      <x:c r="M161" s="17" t="str">
        <x:v>제한 문구 미탐지</x:v>
      </x:c>
      <x:c r="N161" s="17" t="str">
        <x:v>포털 목록 확인</x:v>
      </x:c>
      <x:c r="O161" s="17" t="str">
        <x:v>기관 공고 원문 확인</x:v>
      </x:c>
      <x:c r="P161" s="17" t="str">
        <x:v>기관 공고 원문 확인</x:v>
      </x:c>
      <x:c r="Q161" s="17" t="str">
        <x:v>기관 공고 원문 확인</x:v>
      </x:c>
      <x:c r="R161" s="17" t="str">
        <x:v>기관 공고 원문 확인</x:v>
      </x:c>
      <x:c r="S161" s="18" t="str">
        <x:v>https://job.cleaneye.go.kr/user/ypRecruitment.do</x:v>
      </x:c>
      <x:c r="T161" s="1"/>
      <x:c r="U161" s="1"/>
      <x:c r="V161" s="1"/>
      <x:c r="W161" s="1"/>
      <x:c r="X161" s="1"/>
      <x:c r="Y161" s="1"/>
      <x:c r="Z161" s="1"/>
    </x:row>
    <x:row r="162" ht="58" customHeight="1">
      <x:c r="A162" s="17" t="n">
        <x:v>158</x:v>
      </x:c>
      <x:c r="B162" s="17" t="str">
        <x:v>B</x:v>
      </x:c>
      <x:c r="C162" s="17" t="str">
        <x:v>Cleaneye Job+</x:v>
      </x:c>
      <x:c r="D162" s="17" t="str">
        <x:v>강원특별자치도영월의료원</x:v>
      </x:c>
      <x:c r="E162" s="17" t="str">
        <x:v>업무지원인력 공개경쟁 채용 재공고(계약직_약제과)</x:v>
      </x:c>
      <x:c r="F162" s="17" t="str">
        <x:v>신입+경력</x:v>
      </x:c>
      <x:c r="G162" s="17" t="str">
        <x:v>기간제</x:v>
      </x:c>
      <x:c r="H162" s="17" t="str">
        <x:v>강원특별자치도</x:v>
      </x:c>
      <x:c r="I162" s="17" t="str">
        <x:v>명시 없음(원문 확인)</x:v>
      </x:c>
      <x:c r="J162" s="17" t="str">
        <x:v>2026-09-14</x:v>
      </x:c>
      <x:c r="K162" s="17" t="str">
        <x:v>기간제·비정규</x:v>
      </x:c>
      <x:c r="L162" s="17" t="str">
        <x:v>검토</x:v>
      </x:c>
      <x:c r="M162" s="17" t="str">
        <x:v>제한 문구 미탐지</x:v>
      </x:c>
      <x:c r="N162" s="17" t="str">
        <x:v>포털 목록 확인</x:v>
      </x:c>
      <x:c r="O162" s="17" t="str">
        <x:v>기관 공고 원문 확인</x:v>
      </x:c>
      <x:c r="P162" s="17" t="str">
        <x:v>기관 공고 원문 확인</x:v>
      </x:c>
      <x:c r="Q162" s="17" t="str">
        <x:v>기관 공고 원문 확인</x:v>
      </x:c>
      <x:c r="R162" s="17" t="str">
        <x:v>기관 공고 원문 확인</x:v>
      </x:c>
      <x:c r="S162" s="18" t="str">
        <x:v>https://job.cleaneye.go.kr/user/ypRecruitment.do</x:v>
      </x:c>
      <x:c r="T162" s="1"/>
      <x:c r="U162" s="1"/>
      <x:c r="V162" s="1"/>
      <x:c r="W162" s="1"/>
      <x:c r="X162" s="1"/>
      <x:c r="Y162" s="1"/>
      <x:c r="Z162" s="1"/>
    </x:row>
    <x:row r="163" ht="58" customHeight="1">
      <x:c r="A163" s="17" t="n">
        <x:v>159</x:v>
      </x:c>
      <x:c r="B163" s="17" t="str">
        <x:v>B</x:v>
      </x:c>
      <x:c r="C163" s="17" t="str">
        <x:v>Cleaneye Job+</x:v>
      </x:c>
      <x:c r="D163" s="17" t="str">
        <x:v>강원특별자치도영월의료원</x:v>
      </x:c>
      <x:c r="E163" s="17" t="str">
        <x:v>간호조무사 공개경쟁 채용 재공고(기능직)</x:v>
      </x:c>
      <x:c r="F163" s="17" t="str">
        <x:v>신입+경력</x:v>
      </x:c>
      <x:c r="G163" s="17" t="str">
        <x:v>일반정규직</x:v>
      </x:c>
      <x:c r="H163" s="17" t="str">
        <x:v>강원특별자치도</x:v>
      </x:c>
      <x:c r="I163" s="17" t="str">
        <x:v>명시 없음(원문 확인)</x:v>
      </x:c>
      <x:c r="J163" s="17" t="str">
        <x:v>2026-09-14</x:v>
      </x:c>
      <x:c r="K163" s="17" t="str">
        <x:v>정규직(세부 확인)</x:v>
      </x:c>
      <x:c r="L163" s="17" t="str">
        <x:v>검토</x:v>
      </x:c>
      <x:c r="M163" s="17" t="str">
        <x:v>제한 문구 미탐지</x:v>
      </x:c>
      <x:c r="N163" s="17" t="str">
        <x:v>포털 목록 확인</x:v>
      </x:c>
      <x:c r="O163" s="17" t="str">
        <x:v>기관 공고 원문 확인</x:v>
      </x:c>
      <x:c r="P163" s="17" t="str">
        <x:v>기관 공고 원문 확인</x:v>
      </x:c>
      <x:c r="Q163" s="17" t="str">
        <x:v>기관 공고 원문 확인</x:v>
      </x:c>
      <x:c r="R163" s="17" t="str">
        <x:v>기관 공고 원문 확인</x:v>
      </x:c>
      <x:c r="S163" s="18" t="str">
        <x:v>https://job.cleaneye.go.kr/user/ypRecruitment.do</x:v>
      </x:c>
      <x:c r="T163" s="1"/>
      <x:c r="U163" s="1"/>
      <x:c r="V163" s="1"/>
      <x:c r="W163" s="1"/>
      <x:c r="X163" s="1"/>
      <x:c r="Y163" s="1"/>
      <x:c r="Z163" s="1"/>
    </x:row>
    <x:row r="164" ht="58" customHeight="1">
      <x:c r="A164" s="17" t="n">
        <x:v>160</x:v>
      </x:c>
      <x:c r="B164" s="17" t="str">
        <x:v>B</x:v>
      </x:c>
      <x:c r="C164" s="17" t="str">
        <x:v>Cleaneye Job+</x:v>
      </x:c>
      <x:c r="D164" s="17" t="str">
        <x:v>강원특별자치도영월의료원</x:v>
      </x:c>
      <x:c r="E164" s="17" t="str">
        <x:v>사회복지사 공개경쟁 채용 재공고(계약직_공공의료과)</x:v>
      </x:c>
      <x:c r="F164" s="17" t="str">
        <x:v>신입+경력</x:v>
      </x:c>
      <x:c r="G164" s="17" t="str">
        <x:v>기간제</x:v>
      </x:c>
      <x:c r="H164" s="17" t="str">
        <x:v>강원특별자치도</x:v>
      </x:c>
      <x:c r="I164" s="17" t="str">
        <x:v>명시 없음(원문 확인)</x:v>
      </x:c>
      <x:c r="J164" s="17" t="str">
        <x:v>2026-09-14</x:v>
      </x:c>
      <x:c r="K164" s="17" t="str">
        <x:v>기간제·비정규</x:v>
      </x:c>
      <x:c r="L164" s="17" t="str">
        <x:v>검토</x:v>
      </x:c>
      <x:c r="M164" s="17" t="str">
        <x:v>제한 문구 미탐지</x:v>
      </x:c>
      <x:c r="N164" s="17" t="str">
        <x:v>포털 목록 확인</x:v>
      </x:c>
      <x:c r="O164" s="17" t="str">
        <x:v>기관 공고 원문 확인</x:v>
      </x:c>
      <x:c r="P164" s="17" t="str">
        <x:v>기관 공고 원문 확인</x:v>
      </x:c>
      <x:c r="Q164" s="17" t="str">
        <x:v>기관 공고 원문 확인</x:v>
      </x:c>
      <x:c r="R164" s="17" t="str">
        <x:v>기관 공고 원문 확인</x:v>
      </x:c>
      <x:c r="S164" s="18" t="str">
        <x:v>https://job.cleaneye.go.kr/user/ypRecruitment.do</x:v>
      </x:c>
      <x:c r="T164" s="1"/>
      <x:c r="U164" s="1"/>
      <x:c r="V164" s="1"/>
      <x:c r="W164" s="1"/>
      <x:c r="X164" s="1"/>
      <x:c r="Y164" s="1"/>
      <x:c r="Z164" s="1"/>
    </x:row>
    <x:row r="165" ht="58" customHeight="1">
      <x:c r="A165" s="17" t="n">
        <x:v>161</x:v>
      </x:c>
      <x:c r="B165" s="17" t="str">
        <x:v>B</x:v>
      </x:c>
      <x:c r="C165" s="17" t="str">
        <x:v>Cleaneye Job+</x:v>
      </x:c>
      <x:c r="D165" s="17" t="str">
        <x:v>강원특별자치도영월의료원</x:v>
      </x:c>
      <x:c r="E165" s="17" t="str">
        <x:v>조리원 공개경쟁 채용 재공고(공무직)</x:v>
      </x:c>
      <x:c r="F165" s="17" t="str">
        <x:v>신입+경력</x:v>
      </x:c>
      <x:c r="G165" s="17" t="str">
        <x:v>일반정규직</x:v>
      </x:c>
      <x:c r="H165" s="17" t="str">
        <x:v>강원특별자치도</x:v>
      </x:c>
      <x:c r="I165" s="17" t="str">
        <x:v>명시 없음(원문 확인)</x:v>
      </x:c>
      <x:c r="J165" s="17" t="str">
        <x:v>2026-09-14</x:v>
      </x:c>
      <x:c r="K165" s="17" t="str">
        <x:v>정규직(세부 확인)</x:v>
      </x:c>
      <x:c r="L165" s="17" t="str">
        <x:v>검토</x:v>
      </x:c>
      <x:c r="M165" s="17" t="str">
        <x:v>제한 문구 미탐지</x:v>
      </x:c>
      <x:c r="N165" s="17" t="str">
        <x:v>포털 목록 확인</x:v>
      </x:c>
      <x:c r="O165" s="17" t="str">
        <x:v>기관 공고 원문 확인</x:v>
      </x:c>
      <x:c r="P165" s="17" t="str">
        <x:v>기관 공고 원문 확인</x:v>
      </x:c>
      <x:c r="Q165" s="17" t="str">
        <x:v>기관 공고 원문 확인</x:v>
      </x:c>
      <x:c r="R165" s="17" t="str">
        <x:v>기관 공고 원문 확인</x:v>
      </x:c>
      <x:c r="S165" s="18" t="str">
        <x:v>https://job.cleaneye.go.kr/user/ypRecruitment.do</x:v>
      </x:c>
      <x:c r="T165" s="1"/>
      <x:c r="U165" s="1"/>
      <x:c r="V165" s="1"/>
      <x:c r="W165" s="1"/>
      <x:c r="X165" s="1"/>
      <x:c r="Y165" s="1"/>
      <x:c r="Z165" s="1"/>
    </x:row>
    <x:row r="166" ht="58" customHeight="1">
      <x:c r="A166" s="17" t="n">
        <x:v>162</x:v>
      </x:c>
      <x:c r="B166" s="17" t="str">
        <x:v>B</x:v>
      </x:c>
      <x:c r="C166" s="17" t="str">
        <x:v>Cleaneye Job+</x:v>
      </x:c>
      <x:c r="D166" s="17" t="str">
        <x:v>강원특별자치도영월의료원</x:v>
      </x:c>
      <x:c r="E166" s="17" t="str">
        <x:v>응급실 전담의 공개경쟁 채용 재공고</x:v>
      </x:c>
      <x:c r="F166" s="17" t="str">
        <x:v>신입+경력</x:v>
      </x:c>
      <x:c r="G166" s="17" t="str">
        <x:v>일반정규직</x:v>
      </x:c>
      <x:c r="H166" s="17" t="str">
        <x:v>강원특별자치도</x:v>
      </x:c>
      <x:c r="I166" s="17" t="str">
        <x:v>명시 없음(원문 확인)</x:v>
      </x:c>
      <x:c r="J166" s="17" t="str">
        <x:v>2026-09-14</x:v>
      </x:c>
      <x:c r="K166" s="17" t="str">
        <x:v>정규직(세부 확인)</x:v>
      </x:c>
      <x:c r="L166" s="17" t="str">
        <x:v>검토</x:v>
      </x:c>
      <x:c r="M166" s="17" t="str">
        <x:v>제한 문구 미탐지</x:v>
      </x:c>
      <x:c r="N166" s="17" t="str">
        <x:v>포털 목록 확인</x:v>
      </x:c>
      <x:c r="O166" s="17" t="str">
        <x:v>기관 공고 원문 확인</x:v>
      </x:c>
      <x:c r="P166" s="17" t="str">
        <x:v>기관 공고 원문 확인</x:v>
      </x:c>
      <x:c r="Q166" s="17" t="str">
        <x:v>기관 공고 원문 확인</x:v>
      </x:c>
      <x:c r="R166" s="17" t="str">
        <x:v>기관 공고 원문 확인</x:v>
      </x:c>
      <x:c r="S166" s="18" t="str">
        <x:v>https://job.cleaneye.go.kr/user/ypRecruitment.do</x:v>
      </x:c>
      <x:c r="T166" s="1"/>
      <x:c r="U166" s="1"/>
      <x:c r="V166" s="1"/>
      <x:c r="W166" s="1"/>
      <x:c r="X166" s="1"/>
      <x:c r="Y166" s="1"/>
      <x:c r="Z166" s="1"/>
    </x:row>
    <x:row r="167" ht="58" customHeight="1">
      <x:c r="A167" s="17" t="n">
        <x:v>163</x:v>
      </x:c>
      <x:c r="B167" s="17" t="str">
        <x:v>B</x:v>
      </x:c>
      <x:c r="C167" s="17" t="str">
        <x:v>Cleaneye Job+</x:v>
      </x:c>
      <x:c r="D167" s="17" t="str">
        <x:v>강원특별자치도원주의료원</x:v>
      </x:c>
      <x:c r="E167" s="17" t="str">
        <x:v>원주의료원 신규직원(기간제근로자_사무보조원) 채용공고</x:v>
      </x:c>
      <x:c r="F167" s="17" t="str">
        <x:v>신입+경력</x:v>
      </x:c>
      <x:c r="G167" s="17" t="str">
        <x:v>기간제</x:v>
      </x:c>
      <x:c r="H167" s="17" t="str">
        <x:v>강원특별자치도</x:v>
      </x:c>
      <x:c r="I167" s="17" t="str">
        <x:v>명시 없음(원문 확인)</x:v>
      </x:c>
      <x:c r="J167" s="17" t="str">
        <x:v>2026-09-14</x:v>
      </x:c>
      <x:c r="K167" s="17" t="str">
        <x:v>기간제·비정규</x:v>
      </x:c>
      <x:c r="L167" s="17" t="str">
        <x:v>검토</x:v>
      </x:c>
      <x:c r="M167" s="17" t="str">
        <x:v>제한 문구 미탐지</x:v>
      </x:c>
      <x:c r="N167" s="17" t="str">
        <x:v>포털 목록 확인</x:v>
      </x:c>
      <x:c r="O167" s="17" t="str">
        <x:v>기관 공고 원문 확인</x:v>
      </x:c>
      <x:c r="P167" s="17" t="str">
        <x:v>기관 공고 원문 확인</x:v>
      </x:c>
      <x:c r="Q167" s="17" t="str">
        <x:v>기관 공고 원문 확인</x:v>
      </x:c>
      <x:c r="R167" s="17" t="str">
        <x:v>기관 공고 원문 확인</x:v>
      </x:c>
      <x:c r="S167" s="18" t="str">
        <x:v>https://job.cleaneye.go.kr/user/ypRecruitment.do</x:v>
      </x:c>
      <x:c r="T167" s="1"/>
      <x:c r="U167" s="1"/>
      <x:c r="V167" s="1"/>
      <x:c r="W167" s="1"/>
      <x:c r="X167" s="1"/>
      <x:c r="Y167" s="1"/>
      <x:c r="Z167" s="1"/>
    </x:row>
    <x:row r="168" ht="58" customHeight="1">
      <x:c r="A168" s="17" t="n">
        <x:v>164</x:v>
      </x:c>
      <x:c r="B168" s="17" t="str">
        <x:v>B</x:v>
      </x:c>
      <x:c r="C168" s="17" t="str">
        <x:v>Cleaneye Job+</x:v>
      </x:c>
      <x:c r="D168" s="17" t="str">
        <x:v>경기도의료원</x:v>
      </x:c>
      <x:c r="E168" s="17" t="str">
        <x:v>경기도의료원 파주병원 가정의학과 의사(계약직) 초빙 공고</x:v>
      </x:c>
      <x:c r="F168" s="17" t="str">
        <x:v>신입</x:v>
      </x:c>
      <x:c r="G168" s="17" t="str">
        <x:v>전문계약직</x:v>
      </x:c>
      <x:c r="H168" s="17" t="str">
        <x:v>경기도</x:v>
      </x:c>
      <x:c r="I168" s="17" t="str">
        <x:v>명시 없음(원문 확인)</x:v>
      </x:c>
      <x:c r="J168" s="17" t="str">
        <x:v>2026-09-14</x:v>
      </x:c>
      <x:c r="K168" s="17" t="str">
        <x:v>기타 채용</x:v>
      </x:c>
      <x:c r="L168" s="17" t="str">
        <x:v>검토</x:v>
      </x:c>
      <x:c r="M168" s="17" t="str">
        <x:v>제한 문구 미탐지</x:v>
      </x:c>
      <x:c r="N168" s="17" t="str">
        <x:v>포털 목록 확인</x:v>
      </x:c>
      <x:c r="O168" s="17" t="str">
        <x:v>기관 공고 원문 확인</x:v>
      </x:c>
      <x:c r="P168" s="17" t="str">
        <x:v>기관 공고 원문 확인</x:v>
      </x:c>
      <x:c r="Q168" s="17" t="str">
        <x:v>기관 공고 원문 확인</x:v>
      </x:c>
      <x:c r="R168" s="17" t="str">
        <x:v>기관 공고 원문 확인</x:v>
      </x:c>
      <x:c r="S168" s="18" t="str">
        <x:v>https://job.cleaneye.go.kr/user/ypRecruitment.do</x:v>
      </x:c>
      <x:c r="T168" s="1"/>
      <x:c r="U168" s="1"/>
      <x:c r="V168" s="1"/>
      <x:c r="W168" s="1"/>
      <x:c r="X168" s="1"/>
      <x:c r="Y168" s="1"/>
      <x:c r="Z168" s="1"/>
    </x:row>
    <x:row r="169" ht="58" customHeight="1">
      <x:c r="A169" s="17" t="n">
        <x:v>165</x:v>
      </x:c>
      <x:c r="B169" s="17" t="str">
        <x:v>B</x:v>
      </x:c>
      <x:c r="C169" s="17" t="str">
        <x:v>Cleaneye Job+</x:v>
      </x:c>
      <x:c r="D169" s="17" t="str">
        <x:v>경기문화재단</x:v>
      </x:c>
      <x:c r="E169" s="17" t="str">
        <x:v>2026년 경기문화재단 제10차 기간제 근로자 채용</x:v>
      </x:c>
      <x:c r="F169" s="17" t="str">
        <x:v>신입</x:v>
      </x:c>
      <x:c r="G169" s="17" t="str">
        <x:v>기간제</x:v>
      </x:c>
      <x:c r="H169" s="17" t="str">
        <x:v>경기도</x:v>
      </x:c>
      <x:c r="I169" s="17" t="str">
        <x:v>명시 없음(원문 확인)</x:v>
      </x:c>
      <x:c r="J169" s="17" t="str">
        <x:v>2026-09-14</x:v>
      </x:c>
      <x:c r="K169" s="17" t="str">
        <x:v>기간제·비정규</x:v>
      </x:c>
      <x:c r="L169" s="17" t="str">
        <x:v>검토</x:v>
      </x:c>
      <x:c r="M169" s="17" t="str">
        <x:v>제한 문구 미탐지</x:v>
      </x:c>
      <x:c r="N169" s="17" t="str">
        <x:v>포털 목록 확인</x:v>
      </x:c>
      <x:c r="O169" s="17" t="str">
        <x:v>기관 공고 원문 확인</x:v>
      </x:c>
      <x:c r="P169" s="17" t="str">
        <x:v>기관 공고 원문 확인</x:v>
      </x:c>
      <x:c r="Q169" s="17" t="str">
        <x:v>기관 공고 원문 확인</x:v>
      </x:c>
      <x:c r="R169" s="17" t="str">
        <x:v>기관 공고 원문 확인</x:v>
      </x:c>
      <x:c r="S169" s="18" t="str">
        <x:v>https://job.cleaneye.go.kr/user/ypRecruitment.do</x:v>
      </x:c>
      <x:c r="T169" s="1"/>
      <x:c r="U169" s="1"/>
      <x:c r="V169" s="1"/>
      <x:c r="W169" s="1"/>
      <x:c r="X169" s="1"/>
      <x:c r="Y169" s="1"/>
      <x:c r="Z169" s="1"/>
    </x:row>
    <x:row r="170" ht="58" customHeight="1">
      <x:c r="A170" s="17" t="n">
        <x:v>166</x:v>
      </x:c>
      <x:c r="B170" s="17" t="str">
        <x:v>B</x:v>
      </x:c>
      <x:c r="C170" s="17" t="str">
        <x:v>Cleaneye Job+</x:v>
      </x:c>
      <x:c r="D170" s="17" t="str">
        <x:v>경북바이오산업연구원</x:v>
      </x:c>
      <x:c r="E170" s="17" t="str">
        <x:v>2026년 제4차 직원채용</x:v>
      </x:c>
      <x:c r="F170" s="17" t="str">
        <x:v>신입+경력</x:v>
      </x:c>
      <x:c r="G170" s="17" t="str">
        <x:v>일반정규직</x:v>
      </x:c>
      <x:c r="H170" s="17" t="str">
        <x:v>경상북도</x:v>
      </x:c>
      <x:c r="I170" s="17" t="str">
        <x:v>명시 없음(원문 확인)</x:v>
      </x:c>
      <x:c r="J170" s="17" t="str">
        <x:v>2026-09-14</x:v>
      </x:c>
      <x:c r="K170" s="17" t="str">
        <x:v>정규직(세부 확인)</x:v>
      </x:c>
      <x:c r="L170" s="17" t="str">
        <x:v>검토</x:v>
      </x:c>
      <x:c r="M170" s="17" t="str">
        <x:v>제한 문구 미탐지</x:v>
      </x:c>
      <x:c r="N170" s="17" t="str">
        <x:v>포털 목록 확인</x:v>
      </x:c>
      <x:c r="O170" s="17" t="str">
        <x:v>기관 공고 원문 확인</x:v>
      </x:c>
      <x:c r="P170" s="17" t="str">
        <x:v>기관 공고 원문 확인</x:v>
      </x:c>
      <x:c r="Q170" s="17" t="str">
        <x:v>기관 공고 원문 확인</x:v>
      </x:c>
      <x:c r="R170" s="17" t="str">
        <x:v>기관 공고 원문 확인</x:v>
      </x:c>
      <x:c r="S170" s="18" t="str">
        <x:v>https://job.cleaneye.go.kr/user/ypRecruitment.do</x:v>
      </x:c>
      <x:c r="T170" s="1"/>
      <x:c r="U170" s="1"/>
      <x:c r="V170" s="1"/>
      <x:c r="W170" s="1"/>
      <x:c r="X170" s="1"/>
      <x:c r="Y170" s="1"/>
      <x:c r="Z170" s="1"/>
    </x:row>
    <x:row r="171" ht="58" customHeight="1">
      <x:c r="A171" s="17" t="n">
        <x:v>167</x:v>
      </x:c>
      <x:c r="B171" s="17" t="str">
        <x:v>B</x:v>
      </x:c>
      <x:c r="C171" s="17" t="str">
        <x:v>Cleaneye Job+</x:v>
      </x:c>
      <x:c r="D171" s="17" t="str">
        <x:v>경상북도안동의료원</x:v>
      </x:c>
      <x:c r="E171" s="17" t="str">
        <x:v>경북권 공공어린이재활의료센터 직원 채용 재공고(행정, 작업치료사)</x:v>
      </x:c>
      <x:c r="F171" s="17" t="str">
        <x:v>신입+경력</x:v>
      </x:c>
      <x:c r="G171" s="17" t="str">
        <x:v>기간제</x:v>
      </x:c>
      <x:c r="H171" s="17" t="str">
        <x:v>경상북도</x:v>
      </x:c>
      <x:c r="I171" s="17" t="str">
        <x:v>명시 없음(원문 확인)</x:v>
      </x:c>
      <x:c r="J171" s="17" t="str">
        <x:v>2026-09-14</x:v>
      </x:c>
      <x:c r="K171" s="17" t="str">
        <x:v>기간제·비정규</x:v>
      </x:c>
      <x:c r="L171" s="17" t="str">
        <x:v>검토</x:v>
      </x:c>
      <x:c r="M171" s="17" t="str">
        <x:v>제한 문구 미탐지</x:v>
      </x:c>
      <x:c r="N171" s="17" t="str">
        <x:v>포털 목록 확인</x:v>
      </x:c>
      <x:c r="O171" s="17" t="str">
        <x:v>기관 공고 원문 확인</x:v>
      </x:c>
      <x:c r="P171" s="17" t="str">
        <x:v>기관 공고 원문 확인</x:v>
      </x:c>
      <x:c r="Q171" s="17" t="str">
        <x:v>기관 공고 원문 확인</x:v>
      </x:c>
      <x:c r="R171" s="17" t="str">
        <x:v>기관 공고 원문 확인</x:v>
      </x:c>
      <x:c r="S171" s="18" t="str">
        <x:v>https://job.cleaneye.go.kr/user/ypRecruitment.do</x:v>
      </x:c>
      <x:c r="T171" s="1"/>
      <x:c r="U171" s="1"/>
      <x:c r="V171" s="1"/>
      <x:c r="W171" s="1"/>
      <x:c r="X171" s="1"/>
      <x:c r="Y171" s="1"/>
      <x:c r="Z171" s="1"/>
    </x:row>
    <x:row r="172" ht="58" customHeight="1">
      <x:c r="A172" s="17" t="n">
        <x:v>168</x:v>
      </x:c>
      <x:c r="B172" s="17" t="str">
        <x:v>B</x:v>
      </x:c>
      <x:c r="C172" s="17" t="str">
        <x:v>Cleaneye Job+</x:v>
      </x:c>
      <x:c r="D172" s="17" t="str">
        <x:v>구로문화재단</x:v>
      </x:c>
      <x:c r="E172" s="17" t="str">
        <x:v>구로문화재단 대표이사 공개채용 모집(변경)공고</x:v>
      </x:c>
      <x:c r="F172" s="17" t="str">
        <x:v>신입+경력</x:v>
      </x:c>
      <x:c r="G172" s="17" t="str">
        <x:v>기간제</x:v>
      </x:c>
      <x:c r="H172" s="17" t="str">
        <x:v>서울특별시</x:v>
      </x:c>
      <x:c r="I172" s="17" t="str">
        <x:v>명시 없음(원문 확인)</x:v>
      </x:c>
      <x:c r="J172" s="17" t="str">
        <x:v>2026-09-14</x:v>
      </x:c>
      <x:c r="K172" s="17" t="str">
        <x:v>기간제·비정규</x:v>
      </x:c>
      <x:c r="L172" s="17" t="str">
        <x:v>검토</x:v>
      </x:c>
      <x:c r="M172" s="17" t="str">
        <x:v>제한 문구 미탐지</x:v>
      </x:c>
      <x:c r="N172" s="17" t="str">
        <x:v>포털 목록 확인</x:v>
      </x:c>
      <x:c r="O172" s="17" t="str">
        <x:v>기관 공고 원문 확인</x:v>
      </x:c>
      <x:c r="P172" s="17" t="str">
        <x:v>기관 공고 원문 확인</x:v>
      </x:c>
      <x:c r="Q172" s="17" t="str">
        <x:v>기관 공고 원문 확인</x:v>
      </x:c>
      <x:c r="R172" s="17" t="str">
        <x:v>기관 공고 원문 확인</x:v>
      </x:c>
      <x:c r="S172" s="18" t="str">
        <x:v>https://job.cleaneye.go.kr/user/ypRecruitment.do</x:v>
      </x:c>
      <x:c r="T172" s="1"/>
      <x:c r="U172" s="1"/>
      <x:c r="V172" s="1"/>
      <x:c r="W172" s="1"/>
      <x:c r="X172" s="1"/>
      <x:c r="Y172" s="1"/>
      <x:c r="Z172" s="1"/>
    </x:row>
    <x:row r="173" ht="58" customHeight="1">
      <x:c r="A173" s="17" t="n">
        <x:v>169</x:v>
      </x:c>
      <x:c r="B173" s="17" t="str">
        <x:v>B</x:v>
      </x:c>
      <x:c r="C173" s="17" t="str">
        <x:v>Cleaneye Job+</x:v>
      </x:c>
      <x:c r="D173" s="17" t="str">
        <x:v>구미전자정보기술원</x:v>
      </x:c>
      <x:c r="E173" s="17" t="str">
        <x:v>구미전자정보기술원 구미과학관 직원채용공고(2026-250호)</x:v>
      </x:c>
      <x:c r="F173" s="17" t="str">
        <x:v>신입+경력</x:v>
      </x:c>
      <x:c r="G173" s="17" t="str">
        <x:v>기간제</x:v>
      </x:c>
      <x:c r="H173" s="17" t="str">
        <x:v>경상북도</x:v>
      </x:c>
      <x:c r="I173" s="17" t="str">
        <x:v>명시 없음(원문 확인)</x:v>
      </x:c>
      <x:c r="J173" s="17" t="str">
        <x:v>2026-09-14</x:v>
      </x:c>
      <x:c r="K173" s="17" t="str">
        <x:v>기간제·비정규</x:v>
      </x:c>
      <x:c r="L173" s="17" t="str">
        <x:v>검토</x:v>
      </x:c>
      <x:c r="M173" s="17" t="str">
        <x:v>제한 문구 미탐지</x:v>
      </x:c>
      <x:c r="N173" s="17" t="str">
        <x:v>포털 목록 확인</x:v>
      </x:c>
      <x:c r="O173" s="17" t="str">
        <x:v>기관 공고 원문 확인</x:v>
      </x:c>
      <x:c r="P173" s="17" t="str">
        <x:v>기관 공고 원문 확인</x:v>
      </x:c>
      <x:c r="Q173" s="17" t="str">
        <x:v>기관 공고 원문 확인</x:v>
      </x:c>
      <x:c r="R173" s="17" t="str">
        <x:v>기관 공고 원문 확인</x:v>
      </x:c>
      <x:c r="S173" s="18" t="str">
        <x:v>https://job.cleaneye.go.kr/user/ypRecruitment.do</x:v>
      </x:c>
      <x:c r="T173" s="1"/>
      <x:c r="U173" s="1"/>
      <x:c r="V173" s="1"/>
      <x:c r="W173" s="1"/>
      <x:c r="X173" s="1"/>
      <x:c r="Y173" s="1"/>
      <x:c r="Z173" s="1"/>
    </x:row>
    <x:row r="174" ht="58" customHeight="1">
      <x:c r="A174" s="17" t="n">
        <x:v>170</x:v>
      </x:c>
      <x:c r="B174" s="17" t="str">
        <x:v>B</x:v>
      </x:c>
      <x:c r="C174" s="17" t="str">
        <x:v>Cleaneye Job+</x:v>
      </x:c>
      <x:c r="D174" s="17" t="str">
        <x:v>구미전자정보기술원</x:v>
      </x:c>
      <x:c r="E174" s="17" t="str">
        <x:v>구미전자정보기술원 3차 계약직 직원채용공고(2026-248호)</x:v>
      </x:c>
      <x:c r="F174" s="17" t="str">
        <x:v>신입+경력</x:v>
      </x:c>
      <x:c r="G174" s="17" t="str">
        <x:v>기간제</x:v>
      </x:c>
      <x:c r="H174" s="17" t="str">
        <x:v>경상북도</x:v>
      </x:c>
      <x:c r="I174" s="17" t="str">
        <x:v>명시 없음(원문 확인)</x:v>
      </x:c>
      <x:c r="J174" s="17" t="str">
        <x:v>2026-09-14</x:v>
      </x:c>
      <x:c r="K174" s="17" t="str">
        <x:v>기간제·비정규</x:v>
      </x:c>
      <x:c r="L174" s="17" t="str">
        <x:v>검토</x:v>
      </x:c>
      <x:c r="M174" s="17" t="str">
        <x:v>제한 문구 미탐지</x:v>
      </x:c>
      <x:c r="N174" s="17" t="str">
        <x:v>포털 목록 확인</x:v>
      </x:c>
      <x:c r="O174" s="17" t="str">
        <x:v>기관 공고 원문 확인</x:v>
      </x:c>
      <x:c r="P174" s="17" t="str">
        <x:v>기관 공고 원문 확인</x:v>
      </x:c>
      <x:c r="Q174" s="17" t="str">
        <x:v>기관 공고 원문 확인</x:v>
      </x:c>
      <x:c r="R174" s="17" t="str">
        <x:v>기관 공고 원문 확인</x:v>
      </x:c>
      <x:c r="S174" s="18" t="str">
        <x:v>https://job.cleaneye.go.kr/user/ypRecruitment.do</x:v>
      </x:c>
      <x:c r="T174" s="1"/>
      <x:c r="U174" s="1"/>
      <x:c r="V174" s="1"/>
      <x:c r="W174" s="1"/>
      <x:c r="X174" s="1"/>
      <x:c r="Y174" s="1"/>
      <x:c r="Z174" s="1"/>
    </x:row>
    <x:row r="175" ht="58" customHeight="1">
      <x:c r="A175" s="17" t="n">
        <x:v>171</x:v>
      </x:c>
      <x:c r="B175" s="17" t="str">
        <x:v>B</x:v>
      </x:c>
      <x:c r="C175" s="17" t="str">
        <x:v>Cleaneye Job+</x:v>
      </x:c>
      <x:c r="D175" s="17" t="str">
        <x:v>구미전자정보기술원</x:v>
      </x:c>
      <x:c r="E175" s="17" t="str">
        <x:v>구미전자정보기술원 장애인 계약직 직원채용공고(2026-249호)</x:v>
      </x:c>
      <x:c r="F175" s="17" t="str">
        <x:v>신입+경력</x:v>
      </x:c>
      <x:c r="G175" s="17" t="str">
        <x:v>기간제</x:v>
      </x:c>
      <x:c r="H175" s="17" t="str">
        <x:v>경상북도</x:v>
      </x:c>
      <x:c r="I175" s="17" t="str">
        <x:v>명시 없음(원문 확인)</x:v>
      </x:c>
      <x:c r="J175" s="17" t="str">
        <x:v>2026-09-14</x:v>
      </x:c>
      <x:c r="K175" s="17" t="str">
        <x:v>기간제·비정규</x:v>
      </x:c>
      <x:c r="L175" s="17" t="str">
        <x:v>검토</x:v>
      </x:c>
      <x:c r="M175" s="17" t="str">
        <x:v>제한 문구 미탐지</x:v>
      </x:c>
      <x:c r="N175" s="17" t="str">
        <x:v>포털 목록 확인</x:v>
      </x:c>
      <x:c r="O175" s="17" t="str">
        <x:v>기관 공고 원문 확인</x:v>
      </x:c>
      <x:c r="P175" s="17" t="str">
        <x:v>기관 공고 원문 확인</x:v>
      </x:c>
      <x:c r="Q175" s="17" t="str">
        <x:v>기관 공고 원문 확인</x:v>
      </x:c>
      <x:c r="R175" s="17" t="str">
        <x:v>기관 공고 원문 확인</x:v>
      </x:c>
      <x:c r="S175" s="18" t="str">
        <x:v>https://job.cleaneye.go.kr/user/ypRecruitment.do</x:v>
      </x:c>
      <x:c r="T175" s="1"/>
      <x:c r="U175" s="1"/>
      <x:c r="V175" s="1"/>
      <x:c r="W175" s="1"/>
      <x:c r="X175" s="1"/>
      <x:c r="Y175" s="1"/>
      <x:c r="Z175" s="1"/>
    </x:row>
    <x:row r="176" ht="58" customHeight="1">
      <x:c r="A176" s="17" t="n">
        <x:v>172</x:v>
      </x:c>
      <x:c r="B176" s="17" t="str">
        <x:v>B</x:v>
      </x:c>
      <x:c r="C176" s="17" t="str">
        <x:v>Cleaneye Job+</x:v>
      </x:c>
      <x:c r="D176" s="17" t="str">
        <x:v>김해인재양성재단</x:v>
      </x:c>
      <x:c r="E176" s="17" t="str">
        <x:v>재단법인 김해인재양성재단 대표이사 모집 공고</x:v>
      </x:c>
      <x:c r="F176" s="17" t="str">
        <x:v>신입+경력</x:v>
      </x:c>
      <x:c r="G176" s="17" t="str">
        <x:v>전문계약직</x:v>
      </x:c>
      <x:c r="H176" s="17" t="str">
        <x:v>경상남도</x:v>
      </x:c>
      <x:c r="I176" s="17" t="str">
        <x:v>명시 없음(원문 확인)</x:v>
      </x:c>
      <x:c r="J176" s="17" t="str">
        <x:v>2026-09-14</x:v>
      </x:c>
      <x:c r="K176" s="17" t="str">
        <x:v>기타 채용</x:v>
      </x:c>
      <x:c r="L176" s="17" t="str">
        <x:v>검토</x:v>
      </x:c>
      <x:c r="M176" s="17" t="str">
        <x:v>제한 문구 미탐지</x:v>
      </x:c>
      <x:c r="N176" s="17" t="str">
        <x:v>포털 목록 확인</x:v>
      </x:c>
      <x:c r="O176" s="17" t="str">
        <x:v>기관 공고 원문 확인</x:v>
      </x:c>
      <x:c r="P176" s="17" t="str">
        <x:v>기관 공고 원문 확인</x:v>
      </x:c>
      <x:c r="Q176" s="17" t="str">
        <x:v>기관 공고 원문 확인</x:v>
      </x:c>
      <x:c r="R176" s="17" t="str">
        <x:v>기관 공고 원문 확인</x:v>
      </x:c>
      <x:c r="S176" s="18" t="str">
        <x:v>https://job.cleaneye.go.kr/user/ypRecruitment.do</x:v>
      </x:c>
      <x:c r="T176" s="1"/>
      <x:c r="U176" s="1"/>
      <x:c r="V176" s="1"/>
      <x:c r="W176" s="1"/>
      <x:c r="X176" s="1"/>
      <x:c r="Y176" s="1"/>
      <x:c r="Z176" s="1"/>
    </x:row>
    <x:row r="177" ht="58" customHeight="1">
      <x:c r="A177" s="17" t="n">
        <x:v>173</x:v>
      </x:c>
      <x:c r="B177" s="17" t="str">
        <x:v>B</x:v>
      </x:c>
      <x:c r="C177" s="17" t="str">
        <x:v>Cleaneye Job+</x:v>
      </x:c>
      <x:c r="D177" s="17" t="str">
        <x:v>나주시농업농촌융복합산업진흥재단</x:v>
      </x:c>
      <x:c r="E177" s="17" t="str">
        <x:v>나주농업진흥재단 로컬푸드지원센터 기간제근로자 채용(결원 충원) 공고</x:v>
      </x:c>
      <x:c r="F177" s="17" t="str">
        <x:v>신입</x:v>
      </x:c>
      <x:c r="G177" s="17" t="str">
        <x:v>기간제</x:v>
      </x:c>
      <x:c r="H177" s="17" t="str">
        <x:v>전남광주통합특별시</x:v>
      </x:c>
      <x:c r="I177" s="17" t="str">
        <x:v>명시 없음(원문 확인)</x:v>
      </x:c>
      <x:c r="J177" s="17" t="str">
        <x:v>2026-09-14</x:v>
      </x:c>
      <x:c r="K177" s="17" t="str">
        <x:v>기간제·비정규</x:v>
      </x:c>
      <x:c r="L177" s="17" t="str">
        <x:v>검토</x:v>
      </x:c>
      <x:c r="M177" s="17" t="str">
        <x:v>제한 문구 미탐지</x:v>
      </x:c>
      <x:c r="N177" s="17" t="str">
        <x:v>포털 목록 확인</x:v>
      </x:c>
      <x:c r="O177" s="17" t="str">
        <x:v>기관 공고 원문 확인</x:v>
      </x:c>
      <x:c r="P177" s="17" t="str">
        <x:v>기관 공고 원문 확인</x:v>
      </x:c>
      <x:c r="Q177" s="17" t="str">
        <x:v>기관 공고 원문 확인</x:v>
      </x:c>
      <x:c r="R177" s="17" t="str">
        <x:v>기관 공고 원문 확인</x:v>
      </x:c>
      <x:c r="S177" s="18" t="str">
        <x:v>https://job.cleaneye.go.kr/user/ypRecruitment.do</x:v>
      </x:c>
      <x:c r="T177" s="1"/>
      <x:c r="U177" s="1"/>
      <x:c r="V177" s="1"/>
      <x:c r="W177" s="1"/>
      <x:c r="X177" s="1"/>
      <x:c r="Y177" s="1"/>
      <x:c r="Z177" s="1"/>
    </x:row>
    <x:row r="178" ht="58" customHeight="1">
      <x:c r="A178" s="17" t="n">
        <x:v>174</x:v>
      </x:c>
      <x:c r="B178" s="17" t="str">
        <x:v>B</x:v>
      </x:c>
      <x:c r="C178" s="17" t="str">
        <x:v>Cleaneye Job+</x:v>
      </x:c>
      <x:c r="D178" s="17" t="str">
        <x:v>남양주도시공사</x:v>
      </x:c>
      <x:c r="E178" s="17" t="str">
        <x:v>남양주도시공사 기간제근로자（환경락카, 육아휴직대체） 공개경쟁채용 재공고</x:v>
      </x:c>
      <x:c r="F178" s="17" t="str">
        <x:v>신입+경력</x:v>
      </x:c>
      <x:c r="G178" s="17" t="str">
        <x:v>기간제</x:v>
      </x:c>
      <x:c r="H178" s="17" t="str">
        <x:v>경기도</x:v>
      </x:c>
      <x:c r="I178" s="17" t="str">
        <x:v>명시 없음(원문 확인)</x:v>
      </x:c>
      <x:c r="J178" s="17" t="str">
        <x:v>2026-09-14</x:v>
      </x:c>
      <x:c r="K178" s="17" t="str">
        <x:v>기간제·비정규</x:v>
      </x:c>
      <x:c r="L178" s="17" t="str">
        <x:v>검토</x:v>
      </x:c>
      <x:c r="M178" s="17" t="str">
        <x:v>제한 문구 미탐지</x:v>
      </x:c>
      <x:c r="N178" s="17" t="str">
        <x:v>포털 목록 확인</x:v>
      </x:c>
      <x:c r="O178" s="17" t="str">
        <x:v>기관 공고 원문 확인</x:v>
      </x:c>
      <x:c r="P178" s="17" t="str">
        <x:v>기관 공고 원문 확인</x:v>
      </x:c>
      <x:c r="Q178" s="17" t="str">
        <x:v>기관 공고 원문 확인</x:v>
      </x:c>
      <x:c r="R178" s="17" t="str">
        <x:v>기관 공고 원문 확인</x:v>
      </x:c>
      <x:c r="S178" s="18" t="str">
        <x:v>https://job.cleaneye.go.kr/user/ypRecruitment.do</x:v>
      </x:c>
      <x:c r="T178" s="1"/>
      <x:c r="U178" s="1"/>
      <x:c r="V178" s="1"/>
      <x:c r="W178" s="1"/>
      <x:c r="X178" s="1"/>
      <x:c r="Y178" s="1"/>
      <x:c r="Z178" s="1"/>
    </x:row>
    <x:row r="179" ht="58" customHeight="1">
      <x:c r="A179" s="17" t="n">
        <x:v>175</x:v>
      </x:c>
      <x:c r="B179" s="17" t="str">
        <x:v>B</x:v>
      </x:c>
      <x:c r="C179" s="17" t="str">
        <x:v>Cleaneye Job+</x:v>
      </x:c>
      <x:c r="D179" s="17" t="str">
        <x:v>남양주도시공사</x:v>
      </x:c>
      <x:c r="E179" s="17" t="str">
        <x:v>남양주도시공사 기간제근로자（시간강사） 공개경쟁채용 재공고</x:v>
      </x:c>
      <x:c r="F179" s="17" t="str">
        <x:v>신입+경력</x:v>
      </x:c>
      <x:c r="G179" s="17" t="str">
        <x:v>기간제</x:v>
      </x:c>
      <x:c r="H179" s="17" t="str">
        <x:v>경기도</x:v>
      </x:c>
      <x:c r="I179" s="17" t="str">
        <x:v>명시 없음(원문 확인)</x:v>
      </x:c>
      <x:c r="J179" s="17" t="str">
        <x:v>2026-09-14</x:v>
      </x:c>
      <x:c r="K179" s="17" t="str">
        <x:v>기간제·비정규</x:v>
      </x:c>
      <x:c r="L179" s="17" t="str">
        <x:v>검토</x:v>
      </x:c>
      <x:c r="M179" s="17" t="str">
        <x:v>제한 문구 미탐지</x:v>
      </x:c>
      <x:c r="N179" s="17" t="str">
        <x:v>포털 목록 확인</x:v>
      </x:c>
      <x:c r="O179" s="17" t="str">
        <x:v>기관 공고 원문 확인</x:v>
      </x:c>
      <x:c r="P179" s="17" t="str">
        <x:v>기관 공고 원문 확인</x:v>
      </x:c>
      <x:c r="Q179" s="17" t="str">
        <x:v>기관 공고 원문 확인</x:v>
      </x:c>
      <x:c r="R179" s="17" t="str">
        <x:v>기관 공고 원문 확인</x:v>
      </x:c>
      <x:c r="S179" s="18" t="str">
        <x:v>https://job.cleaneye.go.kr/user/ypRecruitment.do</x:v>
      </x:c>
      <x:c r="T179" s="1"/>
      <x:c r="U179" s="1"/>
      <x:c r="V179" s="1"/>
      <x:c r="W179" s="1"/>
      <x:c r="X179" s="1"/>
      <x:c r="Y179" s="1"/>
      <x:c r="Z179" s="1"/>
    </x:row>
    <x:row r="180" ht="58" customHeight="1">
      <x:c r="A180" s="17" t="n">
        <x:v>176</x:v>
      </x:c>
      <x:c r="B180" s="17" t="str">
        <x:v>B</x:v>
      </x:c>
      <x:c r="C180" s="17" t="str">
        <x:v>Cleaneye Job+</x:v>
      </x:c>
      <x:c r="D180" s="17" t="str">
        <x:v>남양주도시공사</x:v>
      </x:c>
      <x:c r="E180" s="17" t="str">
        <x:v>남양주도시공사 2026년도 제22회 기간제근로자 공개경쟁채용 공고</x:v>
      </x:c>
      <x:c r="F180" s="17" t="str">
        <x:v>신입+경력</x:v>
      </x:c>
      <x:c r="G180" s="17" t="str">
        <x:v>기간제</x:v>
      </x:c>
      <x:c r="H180" s="17" t="str">
        <x:v>경기도</x:v>
      </x:c>
      <x:c r="I180" s="17" t="str">
        <x:v>명시 없음(원문 확인)</x:v>
      </x:c>
      <x:c r="J180" s="17" t="str">
        <x:v>2026-09-14</x:v>
      </x:c>
      <x:c r="K180" s="17" t="str">
        <x:v>기간제·비정규</x:v>
      </x:c>
      <x:c r="L180" s="17" t="str">
        <x:v>검토</x:v>
      </x:c>
      <x:c r="M180" s="17" t="str">
        <x:v>제한 문구 미탐지</x:v>
      </x:c>
      <x:c r="N180" s="17" t="str">
        <x:v>포털 목록 확인</x:v>
      </x:c>
      <x:c r="O180" s="17" t="str">
        <x:v>기관 공고 원문 확인</x:v>
      </x:c>
      <x:c r="P180" s="17" t="str">
        <x:v>기관 공고 원문 확인</x:v>
      </x:c>
      <x:c r="Q180" s="17" t="str">
        <x:v>기관 공고 원문 확인</x:v>
      </x:c>
      <x:c r="R180" s="17" t="str">
        <x:v>기관 공고 원문 확인</x:v>
      </x:c>
      <x:c r="S180" s="18" t="str">
        <x:v>https://job.cleaneye.go.kr/user/ypRecruitment.do</x:v>
      </x:c>
      <x:c r="T180" s="1"/>
      <x:c r="U180" s="1"/>
      <x:c r="V180" s="1"/>
      <x:c r="W180" s="1"/>
      <x:c r="X180" s="1"/>
      <x:c r="Y180" s="1"/>
      <x:c r="Z180" s="1"/>
    </x:row>
    <x:row r="181" ht="58" customHeight="1">
      <x:c r="A181" s="17" t="n">
        <x:v>177</x:v>
      </x:c>
      <x:c r="B181" s="17" t="str">
        <x:v>B</x:v>
      </x:c>
      <x:c r="C181" s="17" t="str">
        <x:v>Cleaneye Job+</x:v>
      </x:c>
      <x:c r="D181" s="17" t="str">
        <x:v>노원구시설관리공단</x:v>
      </x:c>
      <x:c r="E181" s="17" t="str">
        <x:v>노원구시설관리공단]기간제근로자(육아휴직 대체) 공개경쟁 채용 공고</x:v>
      </x:c>
      <x:c r="F181" s="17" t="str">
        <x:v>신입</x:v>
      </x:c>
      <x:c r="G181" s="17" t="str">
        <x:v>기간제</x:v>
      </x:c>
      <x:c r="H181" s="17" t="str">
        <x:v>서울특별시</x:v>
      </x:c>
      <x:c r="I181" s="17" t="str">
        <x:v>명시 없음(원문 확인)</x:v>
      </x:c>
      <x:c r="J181" s="17" t="str">
        <x:v>2026-09-14</x:v>
      </x:c>
      <x:c r="K181" s="17" t="str">
        <x:v>기간제·비정규</x:v>
      </x:c>
      <x:c r="L181" s="17" t="str">
        <x:v>검토</x:v>
      </x:c>
      <x:c r="M181" s="17" t="str">
        <x:v>제한 문구 미탐지</x:v>
      </x:c>
      <x:c r="N181" s="17" t="str">
        <x:v>포털 목록 확인</x:v>
      </x:c>
      <x:c r="O181" s="17" t="str">
        <x:v>기관 공고 원문 확인</x:v>
      </x:c>
      <x:c r="P181" s="17" t="str">
        <x:v>기관 공고 원문 확인</x:v>
      </x:c>
      <x:c r="Q181" s="17" t="str">
        <x:v>기관 공고 원문 확인</x:v>
      </x:c>
      <x:c r="R181" s="17" t="str">
        <x:v>기관 공고 원문 확인</x:v>
      </x:c>
      <x:c r="S181" s="18" t="str">
        <x:v>https://job.cleaneye.go.kr/user/ypRecruitment.do</x:v>
      </x:c>
      <x:c r="T181" s="1"/>
      <x:c r="U181" s="1"/>
      <x:c r="V181" s="1"/>
      <x:c r="W181" s="1"/>
      <x:c r="X181" s="1"/>
      <x:c r="Y181" s="1"/>
      <x:c r="Z181" s="1"/>
    </x:row>
    <x:row r="182" ht="58" customHeight="1">
      <x:c r="A182" s="17" t="n">
        <x:v>178</x:v>
      </x:c>
      <x:c r="B182" s="17" t="str">
        <x:v>B</x:v>
      </x:c>
      <x:c r="C182" s="17" t="str">
        <x:v>Cleaneye Job+</x:v>
      </x:c>
      <x:c r="D182" s="17" t="str">
        <x:v>노원구시설관리공단</x:v>
      </x:c>
      <x:c r="E182" s="17" t="str">
        <x:v>[노원구시설관리공단]기간제근로자 공개경쟁 채용 공고</x:v>
      </x:c>
      <x:c r="F182" s="17" t="str">
        <x:v>신입</x:v>
      </x:c>
      <x:c r="G182" s="17" t="str">
        <x:v>기간제</x:v>
      </x:c>
      <x:c r="H182" s="17" t="str">
        <x:v>서울특별시</x:v>
      </x:c>
      <x:c r="I182" s="17" t="str">
        <x:v>명시 없음(원문 확인)</x:v>
      </x:c>
      <x:c r="J182" s="17" t="str">
        <x:v>2026-09-14</x:v>
      </x:c>
      <x:c r="K182" s="17" t="str">
        <x:v>기간제·비정규</x:v>
      </x:c>
      <x:c r="L182" s="17" t="str">
        <x:v>검토</x:v>
      </x:c>
      <x:c r="M182" s="17" t="str">
        <x:v>제한 문구 미탐지</x:v>
      </x:c>
      <x:c r="N182" s="17" t="str">
        <x:v>포털 목록 확인</x:v>
      </x:c>
      <x:c r="O182" s="17" t="str">
        <x:v>기관 공고 원문 확인</x:v>
      </x:c>
      <x:c r="P182" s="17" t="str">
        <x:v>기관 공고 원문 확인</x:v>
      </x:c>
      <x:c r="Q182" s="17" t="str">
        <x:v>기관 공고 원문 확인</x:v>
      </x:c>
      <x:c r="R182" s="17" t="str">
        <x:v>기관 공고 원문 확인</x:v>
      </x:c>
      <x:c r="S182" s="18" t="str">
        <x:v>https://job.cleaneye.go.kr/user/ypRecruitment.do</x:v>
      </x:c>
      <x:c r="T182" s="1"/>
      <x:c r="U182" s="1"/>
      <x:c r="V182" s="1"/>
      <x:c r="W182" s="1"/>
      <x:c r="X182" s="1"/>
      <x:c r="Y182" s="1"/>
      <x:c r="Z182" s="1"/>
    </x:row>
    <x:row r="183" ht="58" customHeight="1">
      <x:c r="A183" s="17" t="n">
        <x:v>179</x:v>
      </x:c>
      <x:c r="B183" s="17" t="str">
        <x:v>B</x:v>
      </x:c>
      <x:c r="C183" s="17" t="str">
        <x:v>Cleaneye Job+</x:v>
      </x:c>
      <x:c r="D183" s="17" t="str">
        <x:v>대전광역시시설관리공단</x:v>
      </x:c>
      <x:c r="E183" s="17" t="str">
        <x:v>무지개복지공장 기간제근로자(환경관리) 공개경쟁채용 공고</x:v>
      </x:c>
      <x:c r="F183" s="17" t="str">
        <x:v>신입</x:v>
      </x:c>
      <x:c r="G183" s="17" t="str">
        <x:v>기간제</x:v>
      </x:c>
      <x:c r="H183" s="17" t="str">
        <x:v>대전광역시</x:v>
      </x:c>
      <x:c r="I183" s="17" t="str">
        <x:v>명시 없음(원문 확인)</x:v>
      </x:c>
      <x:c r="J183" s="17" t="str">
        <x:v>2026-09-14</x:v>
      </x:c>
      <x:c r="K183" s="17" t="str">
        <x:v>기간제·비정규</x:v>
      </x:c>
      <x:c r="L183" s="17" t="str">
        <x:v>검토</x:v>
      </x:c>
      <x:c r="M183" s="17" t="str">
        <x:v>제한 문구 미탐지</x:v>
      </x:c>
      <x:c r="N183" s="17" t="str">
        <x:v>포털 목록 확인</x:v>
      </x:c>
      <x:c r="O183" s="17" t="str">
        <x:v>기관 공고 원문 확인</x:v>
      </x:c>
      <x:c r="P183" s="17" t="str">
        <x:v>기관 공고 원문 확인</x:v>
      </x:c>
      <x:c r="Q183" s="17" t="str">
        <x:v>기관 공고 원문 확인</x:v>
      </x:c>
      <x:c r="R183" s="17" t="str">
        <x:v>기관 공고 원문 확인</x:v>
      </x:c>
      <x:c r="S183" s="18" t="str">
        <x:v>https://job.cleaneye.go.kr/user/ypRecruitment.do</x:v>
      </x:c>
      <x:c r="T183" s="1"/>
      <x:c r="U183" s="1"/>
      <x:c r="V183" s="1"/>
      <x:c r="W183" s="1"/>
      <x:c r="X183" s="1"/>
      <x:c r="Y183" s="1"/>
      <x:c r="Z183" s="1"/>
    </x:row>
    <x:row r="184" ht="58" customHeight="1">
      <x:c r="A184" s="17" t="n">
        <x:v>180</x:v>
      </x:c>
      <x:c r="B184" s="17" t="str">
        <x:v>B</x:v>
      </x:c>
      <x:c r="C184" s="17" t="str">
        <x:v>Cleaneye Job+</x:v>
      </x:c>
      <x:c r="D184" s="17" t="str">
        <x:v>부산경제진흥원</x:v>
      </x:c>
      <x:c r="E184" s="17" t="str">
        <x:v>부산경제진흥원 2026년 5차 수탁사업 전담인력 채용 공고</x:v>
      </x:c>
      <x:c r="F184" s="17" t="str">
        <x:v>신입</x:v>
      </x:c>
      <x:c r="G184" s="17" t="str">
        <x:v>일반계약직</x:v>
      </x:c>
      <x:c r="H184" s="17" t="str">
        <x:v>부산광역시</x:v>
      </x:c>
      <x:c r="I184" s="17" t="str">
        <x:v>명시 없음(원문 확인)</x:v>
      </x:c>
      <x:c r="J184" s="17" t="str">
        <x:v>2026-09-14</x:v>
      </x:c>
      <x:c r="K184" s="17" t="str">
        <x:v>기타 채용</x:v>
      </x:c>
      <x:c r="L184" s="17" t="str">
        <x:v>검토</x:v>
      </x:c>
      <x:c r="M184" s="17" t="str">
        <x:v>제한 문구 미탐지</x:v>
      </x:c>
      <x:c r="N184" s="17" t="str">
        <x:v>포털 목록 확인</x:v>
      </x:c>
      <x:c r="O184" s="17" t="str">
        <x:v>기관 공고 원문 확인</x:v>
      </x:c>
      <x:c r="P184" s="17" t="str">
        <x:v>기관 공고 원문 확인</x:v>
      </x:c>
      <x:c r="Q184" s="17" t="str">
        <x:v>기관 공고 원문 확인</x:v>
      </x:c>
      <x:c r="R184" s="17" t="str">
        <x:v>기관 공고 원문 확인</x:v>
      </x:c>
      <x:c r="S184" s="18" t="str">
        <x:v>https://job.cleaneye.go.kr/user/ypRecruitment.do</x:v>
      </x:c>
      <x:c r="T184" s="1"/>
      <x:c r="U184" s="1"/>
      <x:c r="V184" s="1"/>
      <x:c r="W184" s="1"/>
      <x:c r="X184" s="1"/>
      <x:c r="Y184" s="1"/>
      <x:c r="Z184" s="1"/>
    </x:row>
    <x:row r="185" ht="58" customHeight="1">
      <x:c r="A185" s="17" t="n">
        <x:v>181</x:v>
      </x:c>
      <x:c r="B185" s="17" t="str">
        <x:v>B</x:v>
      </x:c>
      <x:c r="C185" s="17" t="str">
        <x:v>Cleaneye Job+</x:v>
      </x:c>
      <x:c r="D185" s="17" t="str">
        <x:v>부산정보산업진흥원</x:v>
      </x:c>
      <x:c r="E185" s="17" t="str">
        <x:v>재)부산정보산업진흥원 2026년 4차 계약직(일반(5급 육휴대체)) 채용 공고</x:v>
      </x:c>
      <x:c r="F185" s="17" t="str">
        <x:v>신입+경력</x:v>
      </x:c>
      <x:c r="G185" s="17" t="str">
        <x:v>일반계약직</x:v>
      </x:c>
      <x:c r="H185" s="17" t="str">
        <x:v>부산광역시</x:v>
      </x:c>
      <x:c r="I185" s="17" t="str">
        <x:v>명시 없음(원문 확인)</x:v>
      </x:c>
      <x:c r="J185" s="17" t="str">
        <x:v>2026-09-14</x:v>
      </x:c>
      <x:c r="K185" s="17" t="str">
        <x:v>기타 채용</x:v>
      </x:c>
      <x:c r="L185" s="17" t="str">
        <x:v>검토</x:v>
      </x:c>
      <x:c r="M185" s="17" t="str">
        <x:v>제한 문구 미탐지</x:v>
      </x:c>
      <x:c r="N185" s="17" t="str">
        <x:v>포털 목록 확인</x:v>
      </x:c>
      <x:c r="O185" s="17" t="str">
        <x:v>기관 공고 원문 확인</x:v>
      </x:c>
      <x:c r="P185" s="17" t="str">
        <x:v>기관 공고 원문 확인</x:v>
      </x:c>
      <x:c r="Q185" s="17" t="str">
        <x:v>기관 공고 원문 확인</x:v>
      </x:c>
      <x:c r="R185" s="17" t="str">
        <x:v>기관 공고 원문 확인</x:v>
      </x:c>
      <x:c r="S185" s="18" t="str">
        <x:v>https://job.cleaneye.go.kr/user/ypRecruitment.do</x:v>
      </x:c>
      <x:c r="T185" s="1"/>
      <x:c r="U185" s="1"/>
      <x:c r="V185" s="1"/>
      <x:c r="W185" s="1"/>
      <x:c r="X185" s="1"/>
      <x:c r="Y185" s="1"/>
      <x:c r="Z185" s="1"/>
    </x:row>
    <x:row r="186" ht="58" customHeight="1">
      <x:c r="A186" s="17" t="n">
        <x:v>182</x:v>
      </x:c>
      <x:c r="B186" s="17" t="str">
        <x:v>B</x:v>
      </x:c>
      <x:c r="C186" s="17" t="str">
        <x:v>Cleaneye Job+</x:v>
      </x:c>
      <x:c r="D186" s="17" t="str">
        <x:v>부산정보산업진흥원</x:v>
      </x:c>
      <x:c r="E186" s="17" t="str">
        <x:v>(재)부산정보산업진흥원 2026년 4차 계약직(일반(4급,5급)) 공고</x:v>
      </x:c>
      <x:c r="F186" s="17" t="str">
        <x:v>신입+경력</x:v>
      </x:c>
      <x:c r="G186" s="17" t="str">
        <x:v>일반계약직</x:v>
      </x:c>
      <x:c r="H186" s="17" t="str">
        <x:v>부산광역시</x:v>
      </x:c>
      <x:c r="I186" s="17" t="str">
        <x:v>명시 없음(원문 확인)</x:v>
      </x:c>
      <x:c r="J186" s="17" t="str">
        <x:v>2026-09-14</x:v>
      </x:c>
      <x:c r="K186" s="17" t="str">
        <x:v>기타 채용</x:v>
      </x:c>
      <x:c r="L186" s="17" t="str">
        <x:v>검토</x:v>
      </x:c>
      <x:c r="M186" s="17" t="str">
        <x:v>제한 문구 미탐지</x:v>
      </x:c>
      <x:c r="N186" s="17" t="str">
        <x:v>포털 목록 확인</x:v>
      </x:c>
      <x:c r="O186" s="17" t="str">
        <x:v>기관 공고 원문 확인</x:v>
      </x:c>
      <x:c r="P186" s="17" t="str">
        <x:v>기관 공고 원문 확인</x:v>
      </x:c>
      <x:c r="Q186" s="17" t="str">
        <x:v>기관 공고 원문 확인</x:v>
      </x:c>
      <x:c r="R186" s="17" t="str">
        <x:v>기관 공고 원문 확인</x:v>
      </x:c>
      <x:c r="S186" s="18" t="str">
        <x:v>https://job.cleaneye.go.kr/user/ypRecruitment.do</x:v>
      </x:c>
      <x:c r="T186" s="1"/>
      <x:c r="U186" s="1"/>
      <x:c r="V186" s="1"/>
      <x:c r="W186" s="1"/>
      <x:c r="X186" s="1"/>
      <x:c r="Y186" s="1"/>
      <x:c r="Z186" s="1"/>
    </x:row>
    <x:row r="187" ht="58" customHeight="1">
      <x:c r="A187" s="17" t="n">
        <x:v>183</x:v>
      </x:c>
      <x:c r="B187" s="17" t="str">
        <x:v>B</x:v>
      </x:c>
      <x:c r="C187" s="17" t="str">
        <x:v>Cleaneye Job+</x:v>
      </x:c>
      <x:c r="D187" s="17" t="str">
        <x:v>부천아트센터</x:v>
      </x:c>
      <x:c r="E187" s="17" t="str">
        <x:v>2026년 제4차 부천아트센터 계약직 근로자 채용 공고</x:v>
      </x:c>
      <x:c r="F187" s="17" t="str">
        <x:v>신입</x:v>
      </x:c>
      <x:c r="G187" s="17" t="str">
        <x:v>기간제</x:v>
      </x:c>
      <x:c r="H187" s="17" t="str">
        <x:v>경기도</x:v>
      </x:c>
      <x:c r="I187" s="17" t="str">
        <x:v>명시 없음(원문 확인)</x:v>
      </x:c>
      <x:c r="J187" s="17" t="str">
        <x:v>2026-09-14</x:v>
      </x:c>
      <x:c r="K187" s="17" t="str">
        <x:v>기간제·비정규</x:v>
      </x:c>
      <x:c r="L187" s="17" t="str">
        <x:v>검토</x:v>
      </x:c>
      <x:c r="M187" s="17" t="str">
        <x:v>제한 문구 미탐지</x:v>
      </x:c>
      <x:c r="N187" s="17" t="str">
        <x:v>포털 목록 확인</x:v>
      </x:c>
      <x:c r="O187" s="17" t="str">
        <x:v>기관 공고 원문 확인</x:v>
      </x:c>
      <x:c r="P187" s="17" t="str">
        <x:v>기관 공고 원문 확인</x:v>
      </x:c>
      <x:c r="Q187" s="17" t="str">
        <x:v>기관 공고 원문 확인</x:v>
      </x:c>
      <x:c r="R187" s="17" t="str">
        <x:v>기관 공고 원문 확인</x:v>
      </x:c>
      <x:c r="S187" s="18" t="str">
        <x:v>https://job.cleaneye.go.kr/user/ypRecruitment.do</x:v>
      </x:c>
      <x:c r="T187" s="1"/>
      <x:c r="U187" s="1"/>
      <x:c r="V187" s="1"/>
      <x:c r="W187" s="1"/>
      <x:c r="X187" s="1"/>
      <x:c r="Y187" s="1"/>
      <x:c r="Z187" s="1"/>
    </x:row>
    <x:row r="188" ht="58" customHeight="1">
      <x:c r="A188" s="17" t="n">
        <x:v>184</x:v>
      </x:c>
      <x:c r="B188" s="17" t="str">
        <x:v>B</x:v>
      </x:c>
      <x:c r="C188" s="17" t="str">
        <x:v>Cleaneye Job+</x:v>
      </x:c>
      <x:c r="D188" s="17" t="str">
        <x:v>안양시청소년재단</x:v>
      </x:c>
      <x:c r="E188" s="17" t="str">
        <x:v>[공고]2026년 제4회 안양시일시청소년쉼터 직원 공개경쟁채용 공고</x:v>
      </x:c>
      <x:c r="F188" s="17" t="str">
        <x:v>신입+경력</x:v>
      </x:c>
      <x:c r="G188" s="17" t="str">
        <x:v>일반계약직</x:v>
      </x:c>
      <x:c r="H188" s="17" t="str">
        <x:v>경기도</x:v>
      </x:c>
      <x:c r="I188" s="17" t="str">
        <x:v>명시 없음(원문 확인)</x:v>
      </x:c>
      <x:c r="J188" s="17" t="str">
        <x:v>2026-09-14</x:v>
      </x:c>
      <x:c r="K188" s="17" t="str">
        <x:v>기타 채용</x:v>
      </x:c>
      <x:c r="L188" s="17" t="str">
        <x:v>검토</x:v>
      </x:c>
      <x:c r="M188" s="17" t="str">
        <x:v>제한 문구 미탐지</x:v>
      </x:c>
      <x:c r="N188" s="17" t="str">
        <x:v>포털 목록 확인</x:v>
      </x:c>
      <x:c r="O188" s="17" t="str">
        <x:v>기관 공고 원문 확인</x:v>
      </x:c>
      <x:c r="P188" s="17" t="str">
        <x:v>기관 공고 원문 확인</x:v>
      </x:c>
      <x:c r="Q188" s="17" t="str">
        <x:v>기관 공고 원문 확인</x:v>
      </x:c>
      <x:c r="R188" s="17" t="str">
        <x:v>기관 공고 원문 확인</x:v>
      </x:c>
      <x:c r="S188" s="18" t="str">
        <x:v>https://job.cleaneye.go.kr/user/ypRecruitment.do</x:v>
      </x:c>
      <x:c r="T188" s="1"/>
      <x:c r="U188" s="1"/>
      <x:c r="V188" s="1"/>
      <x:c r="W188" s="1"/>
      <x:c r="X188" s="1"/>
      <x:c r="Y188" s="1"/>
      <x:c r="Z188" s="1"/>
    </x:row>
    <x:row r="189" ht="58" customHeight="1">
      <x:c r="A189" s="17" t="n">
        <x:v>185</x:v>
      </x:c>
      <x:c r="B189" s="17" t="str">
        <x:v>B</x:v>
      </x:c>
      <x:c r="C189" s="17" t="str">
        <x:v>Cleaneye Job+</x:v>
      </x:c>
      <x:c r="D189" s="17" t="str">
        <x:v>용인시정연구원</x:v>
      </x:c>
      <x:c r="E189" s="17" t="str">
        <x:v>2026년 제4회 용인시정연구원 공개채용(연구직) 재공고</x:v>
      </x:c>
      <x:c r="F189" s="17" t="str">
        <x:v>신입+경력</x:v>
      </x:c>
      <x:c r="G189" s="17" t="str">
        <x:v>일반정규직</x:v>
      </x:c>
      <x:c r="H189" s="17" t="str">
        <x:v>경기도</x:v>
      </x:c>
      <x:c r="I189" s="17" t="str">
        <x:v>명시 없음(원문 확인)</x:v>
      </x:c>
      <x:c r="J189" s="17" t="str">
        <x:v>2026-09-14</x:v>
      </x:c>
      <x:c r="K189" s="17" t="str">
        <x:v>정규직(세부 확인)</x:v>
      </x:c>
      <x:c r="L189" s="17" t="str">
        <x:v>검토</x:v>
      </x:c>
      <x:c r="M189" s="17" t="str">
        <x:v>제한 문구 미탐지</x:v>
      </x:c>
      <x:c r="N189" s="17" t="str">
        <x:v>포털 목록 확인</x:v>
      </x:c>
      <x:c r="O189" s="17" t="str">
        <x:v>기관 공고 원문 확인</x:v>
      </x:c>
      <x:c r="P189" s="17" t="str">
        <x:v>기관 공고 원문 확인</x:v>
      </x:c>
      <x:c r="Q189" s="17" t="str">
        <x:v>기관 공고 원문 확인</x:v>
      </x:c>
      <x:c r="R189" s="17" t="str">
        <x:v>기관 공고 원문 확인</x:v>
      </x:c>
      <x:c r="S189" s="18" t="str">
        <x:v>https://job.cleaneye.go.kr/user/ypRecruitment.do</x:v>
      </x:c>
      <x:c r="T189" s="1"/>
      <x:c r="U189" s="1"/>
      <x:c r="V189" s="1"/>
      <x:c r="W189" s="1"/>
      <x:c r="X189" s="1"/>
      <x:c r="Y189" s="1"/>
      <x:c r="Z189" s="1"/>
    </x:row>
    <x:row r="190" ht="58" customHeight="1">
      <x:c r="A190" s="17" t="n">
        <x:v>186</x:v>
      </x:c>
      <x:c r="B190" s="17" t="str">
        <x:v>B</x:v>
      </x:c>
      <x:c r="C190" s="17" t="str">
        <x:v>Cleaneye Job+</x:v>
      </x:c>
      <x:c r="D190" s="17" t="str">
        <x:v>울산광역시중구도시관리공단</x:v>
      </x:c>
      <x:c r="E190" s="17" t="str">
        <x:v>2026년 제9회 기간제근로자 공개채용 공고</x:v>
      </x:c>
      <x:c r="F190" s="17" t="str">
        <x:v>신입</x:v>
      </x:c>
      <x:c r="G190" s="17" t="str">
        <x:v>기간제</x:v>
      </x:c>
      <x:c r="H190" s="17" t="str">
        <x:v>울산광역시</x:v>
      </x:c>
      <x:c r="I190" s="17" t="str">
        <x:v>명시 없음(원문 확인)</x:v>
      </x:c>
      <x:c r="J190" s="17" t="str">
        <x:v>2026-09-14</x:v>
      </x:c>
      <x:c r="K190" s="17" t="str">
        <x:v>기간제·비정규</x:v>
      </x:c>
      <x:c r="L190" s="17" t="str">
        <x:v>검토</x:v>
      </x:c>
      <x:c r="M190" s="17" t="str">
        <x:v>제한 문구 미탐지</x:v>
      </x:c>
      <x:c r="N190" s="17" t="str">
        <x:v>포털 목록 확인</x:v>
      </x:c>
      <x:c r="O190" s="17" t="str">
        <x:v>기관 공고 원문 확인</x:v>
      </x:c>
      <x:c r="P190" s="17" t="str">
        <x:v>기관 공고 원문 확인</x:v>
      </x:c>
      <x:c r="Q190" s="17" t="str">
        <x:v>기관 공고 원문 확인</x:v>
      </x:c>
      <x:c r="R190" s="17" t="str">
        <x:v>기관 공고 원문 확인</x:v>
      </x:c>
      <x:c r="S190" s="18" t="str">
        <x:v>https://job.cleaneye.go.kr/user/ypRecruitment.do</x:v>
      </x:c>
      <x:c r="T190" s="1"/>
      <x:c r="U190" s="1"/>
      <x:c r="V190" s="1"/>
      <x:c r="W190" s="1"/>
      <x:c r="X190" s="1"/>
      <x:c r="Y190" s="1"/>
      <x:c r="Z190" s="1"/>
    </x:row>
    <x:row r="191" ht="58" customHeight="1">
      <x:c r="A191" s="17" t="n">
        <x:v>187</x:v>
      </x:c>
      <x:c r="B191" s="17" t="str">
        <x:v>B</x:v>
      </x:c>
      <x:c r="C191" s="17" t="str">
        <x:v>Cleaneye Job+</x:v>
      </x:c>
      <x:c r="D191" s="17" t="str">
        <x:v>울진군의료원</x:v>
      </x:c>
      <x:c r="E191" s="17" t="str">
        <x:v>울진군의료원 직원채용공고(간병인)</x:v>
      </x:c>
      <x:c r="F191" s="17" t="str">
        <x:v>신입+경력</x:v>
      </x:c>
      <x:c r="G191" s="17" t="str">
        <x:v>기간제</x:v>
      </x:c>
      <x:c r="H191" s="17" t="str">
        <x:v>경상북도</x:v>
      </x:c>
      <x:c r="I191" s="17" t="str">
        <x:v>명시 없음(원문 확인)</x:v>
      </x:c>
      <x:c r="J191" s="17" t="str">
        <x:v>2026-09-14</x:v>
      </x:c>
      <x:c r="K191" s="17" t="str">
        <x:v>기간제·비정규</x:v>
      </x:c>
      <x:c r="L191" s="17" t="str">
        <x:v>검토</x:v>
      </x:c>
      <x:c r="M191" s="17" t="str">
        <x:v>제한 문구 미탐지</x:v>
      </x:c>
      <x:c r="N191" s="17" t="str">
        <x:v>포털 목록 확인</x:v>
      </x:c>
      <x:c r="O191" s="17" t="str">
        <x:v>기관 공고 원문 확인</x:v>
      </x:c>
      <x:c r="P191" s="17" t="str">
        <x:v>기관 공고 원문 확인</x:v>
      </x:c>
      <x:c r="Q191" s="17" t="str">
        <x:v>기관 공고 원문 확인</x:v>
      </x:c>
      <x:c r="R191" s="17" t="str">
        <x:v>기관 공고 원문 확인</x:v>
      </x:c>
      <x:c r="S191" s="18" t="str">
        <x:v>https://job.cleaneye.go.kr/user/ypRecruitment.do</x:v>
      </x:c>
      <x:c r="T191" s="1"/>
      <x:c r="U191" s="1"/>
      <x:c r="V191" s="1"/>
      <x:c r="W191" s="1"/>
      <x:c r="X191" s="1"/>
      <x:c r="Y191" s="1"/>
      <x:c r="Z191" s="1"/>
    </x:row>
    <x:row r="192" ht="58" customHeight="1">
      <x:c r="A192" s="17" t="n">
        <x:v>188</x:v>
      </x:c>
      <x:c r="B192" s="17" t="str">
        <x:v>B</x:v>
      </x:c>
      <x:c r="C192" s="17" t="str">
        <x:v>Cleaneye Job+</x:v>
      </x:c>
      <x:c r="D192" s="17" t="str">
        <x:v>울진군의료원</x:v>
      </x:c>
      <x:c r="E192" s="17" t="str">
        <x:v>울진군의료원 직원채용 공고(임상병리사 간호조무사, 진료보조, 사회복지사)</x:v>
      </x:c>
      <x:c r="F192" s="17" t="str">
        <x:v>신입+경력</x:v>
      </x:c>
      <x:c r="G192" s="17" t="str">
        <x:v>일반정규직</x:v>
      </x:c>
      <x:c r="H192" s="17" t="str">
        <x:v>경상북도</x:v>
      </x:c>
      <x:c r="I192" s="17" t="str">
        <x:v>명시 없음(원문 확인)</x:v>
      </x:c>
      <x:c r="J192" s="17" t="str">
        <x:v>2026-09-14</x:v>
      </x:c>
      <x:c r="K192" s="17" t="str">
        <x:v>정규직(세부 확인)</x:v>
      </x:c>
      <x:c r="L192" s="17" t="str">
        <x:v>검토</x:v>
      </x:c>
      <x:c r="M192" s="17" t="str">
        <x:v>제한 문구 미탐지</x:v>
      </x:c>
      <x:c r="N192" s="17" t="str">
        <x:v>포털 목록 확인</x:v>
      </x:c>
      <x:c r="O192" s="17" t="str">
        <x:v>기관 공고 원문 확인</x:v>
      </x:c>
      <x:c r="P192" s="17" t="str">
        <x:v>기관 공고 원문 확인</x:v>
      </x:c>
      <x:c r="Q192" s="17" t="str">
        <x:v>기관 공고 원문 확인</x:v>
      </x:c>
      <x:c r="R192" s="17" t="str">
        <x:v>기관 공고 원문 확인</x:v>
      </x:c>
      <x:c r="S192" s="18" t="str">
        <x:v>https://job.cleaneye.go.kr/user/ypRecruitment.do</x:v>
      </x:c>
      <x:c r="T192" s="1"/>
      <x:c r="U192" s="1"/>
      <x:c r="V192" s="1"/>
      <x:c r="W192" s="1"/>
      <x:c r="X192" s="1"/>
      <x:c r="Y192" s="1"/>
      <x:c r="Z192" s="1"/>
    </x:row>
    <x:row r="193" ht="58" customHeight="1">
      <x:c r="A193" s="17" t="n">
        <x:v>189</x:v>
      </x:c>
      <x:c r="B193" s="17" t="str">
        <x:v>B</x:v>
      </x:c>
      <x:c r="C193" s="17" t="str">
        <x:v>Cleaneye Job+</x:v>
      </x:c>
      <x:c r="D193" s="17" t="str">
        <x:v>이천시시설관리공단</x:v>
      </x:c>
      <x:c r="E193" s="17" t="str">
        <x:v>이천시시설관리공단 2026년 제5회 블라인드 직원(기간제근로자) 공개채용 공고(환경미화, 여)</x:v>
      </x:c>
      <x:c r="F193" s="17" t="str">
        <x:v>신입+경력</x:v>
      </x:c>
      <x:c r="G193" s="17" t="str">
        <x:v>기간제</x:v>
      </x:c>
      <x:c r="H193" s="17" t="str">
        <x:v>경기도</x:v>
      </x:c>
      <x:c r="I193" s="17" t="str">
        <x:v>명시 없음(원문 확인)</x:v>
      </x:c>
      <x:c r="J193" s="17" t="str">
        <x:v>2026-09-14</x:v>
      </x:c>
      <x:c r="K193" s="17" t="str">
        <x:v>기간제·비정규</x:v>
      </x:c>
      <x:c r="L193" s="17" t="str">
        <x:v>검토</x:v>
      </x:c>
      <x:c r="M193" s="17" t="str">
        <x:v>제한 문구 미탐지</x:v>
      </x:c>
      <x:c r="N193" s="17" t="str">
        <x:v>포털 목록 확인</x:v>
      </x:c>
      <x:c r="O193" s="17" t="str">
        <x:v>기관 공고 원문 확인</x:v>
      </x:c>
      <x:c r="P193" s="17" t="str">
        <x:v>기관 공고 원문 확인</x:v>
      </x:c>
      <x:c r="Q193" s="17" t="str">
        <x:v>기관 공고 원문 확인</x:v>
      </x:c>
      <x:c r="R193" s="17" t="str">
        <x:v>기관 공고 원문 확인</x:v>
      </x:c>
      <x:c r="S193" s="18" t="str">
        <x:v>https://job.cleaneye.go.kr/user/ypRecruitment.do</x:v>
      </x:c>
      <x:c r="T193" s="1"/>
      <x:c r="U193" s="1"/>
      <x:c r="V193" s="1"/>
      <x:c r="W193" s="1"/>
      <x:c r="X193" s="1"/>
      <x:c r="Y193" s="1"/>
      <x:c r="Z193" s="1"/>
    </x:row>
    <x:row r="194" ht="58" customHeight="1">
      <x:c r="A194" s="17" t="n">
        <x:v>190</x:v>
      </x:c>
      <x:c r="B194" s="17" t="str">
        <x:v>B</x:v>
      </x:c>
      <x:c r="C194" s="17" t="str">
        <x:v>Cleaneye Job+</x:v>
      </x:c>
      <x:c r="D194" s="17" t="str">
        <x:v>이천시시설관리공단</x:v>
      </x:c>
      <x:c r="E194" s="17" t="str">
        <x:v>이천시시설관리공단 2026년 제5회 블라인드 직원(기간제근로자) 공개채용 공고(휴직대체자)</x:v>
      </x:c>
      <x:c r="F194" s="17" t="str">
        <x:v>신입+경력</x:v>
      </x:c>
      <x:c r="G194" s="17" t="str">
        <x:v>기간제</x:v>
      </x:c>
      <x:c r="H194" s="17" t="str">
        <x:v>경기도</x:v>
      </x:c>
      <x:c r="I194" s="17" t="str">
        <x:v>명시 없음(원문 확인)</x:v>
      </x:c>
      <x:c r="J194" s="17" t="str">
        <x:v>2026-09-14</x:v>
      </x:c>
      <x:c r="K194" s="17" t="str">
        <x:v>기간제·비정규</x:v>
      </x:c>
      <x:c r="L194" s="17" t="str">
        <x:v>검토</x:v>
      </x:c>
      <x:c r="M194" s="17" t="str">
        <x:v>제한 문구 미탐지</x:v>
      </x:c>
      <x:c r="N194" s="17" t="str">
        <x:v>포털 목록 확인</x:v>
      </x:c>
      <x:c r="O194" s="17" t="str">
        <x:v>기관 공고 원문 확인</x:v>
      </x:c>
      <x:c r="P194" s="17" t="str">
        <x:v>기관 공고 원문 확인</x:v>
      </x:c>
      <x:c r="Q194" s="17" t="str">
        <x:v>기관 공고 원문 확인</x:v>
      </x:c>
      <x:c r="R194" s="17" t="str">
        <x:v>기관 공고 원문 확인</x:v>
      </x:c>
      <x:c r="S194" s="18" t="str">
        <x:v>https://job.cleaneye.go.kr/user/ypRecruitment.do</x:v>
      </x:c>
      <x:c r="T194" s="1"/>
      <x:c r="U194" s="1"/>
      <x:c r="V194" s="1"/>
      <x:c r="W194" s="1"/>
      <x:c r="X194" s="1"/>
      <x:c r="Y194" s="1"/>
      <x:c r="Z194" s="1"/>
    </x:row>
    <x:row r="195" ht="58" customHeight="1">
      <x:c r="A195" s="17" t="n">
        <x:v>191</x:v>
      </x:c>
      <x:c r="B195" s="17" t="str">
        <x:v>B</x:v>
      </x:c>
      <x:c r="C195" s="17" t="str">
        <x:v>Cleaneye Job+</x:v>
      </x:c>
      <x:c r="D195" s="17" t="str">
        <x:v>이천시시설관리공단</x:v>
      </x:c>
      <x:c r="E195" s="17" t="str">
        <x:v>이천시시설관리공단 2026년 제5회 블라인드 직원(기간제근로자) 공개채용 공고(수상안전요원)</x:v>
      </x:c>
      <x:c r="F195" s="17" t="str">
        <x:v>신입+경력</x:v>
      </x:c>
      <x:c r="G195" s="17" t="str">
        <x:v>기간제</x:v>
      </x:c>
      <x:c r="H195" s="17" t="str">
        <x:v>경기도</x:v>
      </x:c>
      <x:c r="I195" s="17" t="str">
        <x:v>명시 없음(원문 확인)</x:v>
      </x:c>
      <x:c r="J195" s="17" t="str">
        <x:v>2026-09-14</x:v>
      </x:c>
      <x:c r="K195" s="17" t="str">
        <x:v>기간제·비정규</x:v>
      </x:c>
      <x:c r="L195" s="17" t="str">
        <x:v>검토</x:v>
      </x:c>
      <x:c r="M195" s="17" t="str">
        <x:v>제한 문구 미탐지</x:v>
      </x:c>
      <x:c r="N195" s="17" t="str">
        <x:v>포털 목록 확인</x:v>
      </x:c>
      <x:c r="O195" s="17" t="str">
        <x:v>기관 공고 원문 확인</x:v>
      </x:c>
      <x:c r="P195" s="17" t="str">
        <x:v>기관 공고 원문 확인</x:v>
      </x:c>
      <x:c r="Q195" s="17" t="str">
        <x:v>기관 공고 원문 확인</x:v>
      </x:c>
      <x:c r="R195" s="17" t="str">
        <x:v>기관 공고 원문 확인</x:v>
      </x:c>
      <x:c r="S195" s="18" t="str">
        <x:v>https://job.cleaneye.go.kr/user/ypRecruitment.do</x:v>
      </x:c>
      <x:c r="T195" s="1"/>
      <x:c r="U195" s="1"/>
      <x:c r="V195" s="1"/>
      <x:c r="W195" s="1"/>
      <x:c r="X195" s="1"/>
      <x:c r="Y195" s="1"/>
      <x:c r="Z195" s="1"/>
    </x:row>
    <x:row r="196" ht="58" customHeight="1">
      <x:c r="A196" s="17" t="n">
        <x:v>192</x:v>
      </x:c>
      <x:c r="B196" s="17" t="str">
        <x:v>B</x:v>
      </x:c>
      <x:c r="C196" s="17" t="str">
        <x:v>Cleaneye Job+</x:v>
      </x:c>
      <x:c r="D196" s="17" t="str">
        <x:v>이천시시설관리공단</x:v>
      </x:c>
      <x:c r="E196" s="17" t="str">
        <x:v>이천시시설관리공단 2026년 제5회 블라인드 직원(기간제근로자) 공개채용 공고(주차관리원)</x:v>
      </x:c>
      <x:c r="F196" s="17" t="str">
        <x:v>신입+경력</x:v>
      </x:c>
      <x:c r="G196" s="17" t="str">
        <x:v>기간제</x:v>
      </x:c>
      <x:c r="H196" s="17" t="str">
        <x:v>경기도</x:v>
      </x:c>
      <x:c r="I196" s="17" t="str">
        <x:v>명시 없음(원문 확인)</x:v>
      </x:c>
      <x:c r="J196" s="17" t="str">
        <x:v>2026-09-14</x:v>
      </x:c>
      <x:c r="K196" s="17" t="str">
        <x:v>기간제·비정규</x:v>
      </x:c>
      <x:c r="L196" s="17" t="str">
        <x:v>검토</x:v>
      </x:c>
      <x:c r="M196" s="17" t="str">
        <x:v>제한 문구 미탐지</x:v>
      </x:c>
      <x:c r="N196" s="17" t="str">
        <x:v>포털 목록 확인</x:v>
      </x:c>
      <x:c r="O196" s="17" t="str">
        <x:v>기관 공고 원문 확인</x:v>
      </x:c>
      <x:c r="P196" s="17" t="str">
        <x:v>기관 공고 원문 확인</x:v>
      </x:c>
      <x:c r="Q196" s="17" t="str">
        <x:v>기관 공고 원문 확인</x:v>
      </x:c>
      <x:c r="R196" s="17" t="str">
        <x:v>기관 공고 원문 확인</x:v>
      </x:c>
      <x:c r="S196" s="18" t="str">
        <x:v>https://job.cleaneye.go.kr/user/ypRecruitment.do</x:v>
      </x:c>
      <x:c r="T196" s="1"/>
      <x:c r="U196" s="1"/>
      <x:c r="V196" s="1"/>
      <x:c r="W196" s="1"/>
      <x:c r="X196" s="1"/>
      <x:c r="Y196" s="1"/>
      <x:c r="Z196" s="1"/>
    </x:row>
    <x:row r="197" ht="58" customHeight="1">
      <x:c r="A197" s="17" t="n">
        <x:v>193</x:v>
      </x:c>
      <x:c r="B197" s="17" t="str">
        <x:v>B</x:v>
      </x:c>
      <x:c r="C197" s="17" t="str">
        <x:v>Cleaneye Job+</x:v>
      </x:c>
      <x:c r="D197" s="17" t="str">
        <x:v>이천시시설관리공단</x:v>
      </x:c>
      <x:c r="E197" s="17" t="str">
        <x:v>이천시시설관리공단 2026년 제5회 블라인드 직원(기간제근로자) 공개채용 공고(특별교통수단 운전원)</x:v>
      </x:c>
      <x:c r="F197" s="17" t="str">
        <x:v>신입+경력</x:v>
      </x:c>
      <x:c r="G197" s="17" t="str">
        <x:v>기간제</x:v>
      </x:c>
      <x:c r="H197" s="17" t="str">
        <x:v>경기도</x:v>
      </x:c>
      <x:c r="I197" s="17" t="str">
        <x:v>명시 없음(원문 확인)</x:v>
      </x:c>
      <x:c r="J197" s="17" t="str">
        <x:v>2026-09-14</x:v>
      </x:c>
      <x:c r="K197" s="17" t="str">
        <x:v>기간제·비정규</x:v>
      </x:c>
      <x:c r="L197" s="17" t="str">
        <x:v>검토</x:v>
      </x:c>
      <x:c r="M197" s="17" t="str">
        <x:v>제한 문구 미탐지</x:v>
      </x:c>
      <x:c r="N197" s="17" t="str">
        <x:v>포털 목록 확인</x:v>
      </x:c>
      <x:c r="O197" s="17" t="str">
        <x:v>기관 공고 원문 확인</x:v>
      </x:c>
      <x:c r="P197" s="17" t="str">
        <x:v>기관 공고 원문 확인</x:v>
      </x:c>
      <x:c r="Q197" s="17" t="str">
        <x:v>기관 공고 원문 확인</x:v>
      </x:c>
      <x:c r="R197" s="17" t="str">
        <x:v>기관 공고 원문 확인</x:v>
      </x:c>
      <x:c r="S197" s="18" t="str">
        <x:v>https://job.cleaneye.go.kr/user/ypRecruitment.do</x:v>
      </x:c>
      <x:c r="T197" s="1"/>
      <x:c r="U197" s="1"/>
      <x:c r="V197" s="1"/>
      <x:c r="W197" s="1"/>
      <x:c r="X197" s="1"/>
      <x:c r="Y197" s="1"/>
      <x:c r="Z197" s="1"/>
    </x:row>
    <x:row r="198" ht="58" customHeight="1">
      <x:c r="A198" s="17" t="n">
        <x:v>194</x:v>
      </x:c>
      <x:c r="B198" s="17" t="str">
        <x:v>B</x:v>
      </x:c>
      <x:c r="C198" s="17" t="str">
        <x:v>Cleaneye Job+</x:v>
      </x:c>
      <x:c r="D198" s="17" t="str">
        <x:v>인천광역시계양구시설관리공단</x:v>
      </x:c>
      <x:c r="E198" s="17" t="str">
        <x:v>2026년도 인천광역시계양구시설관리공단 계산노인문화센터장 공개경쟁채용 계획 공고</x:v>
      </x:c>
      <x:c r="F198" s="17" t="str">
        <x:v>신입+경력</x:v>
      </x:c>
      <x:c r="G198" s="17" t="str">
        <x:v>기간제</x:v>
      </x:c>
      <x:c r="H198" s="17" t="str">
        <x:v>인천광역시</x:v>
      </x:c>
      <x:c r="I198" s="17" t="str">
        <x:v>인천광역시</x:v>
      </x:c>
      <x:c r="J198" s="17" t="str">
        <x:v>2026-09-14</x:v>
      </x:c>
      <x:c r="K198" s="17" t="str">
        <x:v>기간제·비정규</x:v>
      </x:c>
      <x:c r="L198" s="17" t="str">
        <x:v>검토</x:v>
      </x:c>
      <x:c r="M198" s="17" t="str">
        <x:v>제한 문구 미탐지</x:v>
      </x:c>
      <x:c r="N198" s="17" t="str">
        <x:v>포털 목록 확인</x:v>
      </x:c>
      <x:c r="O198" s="17" t="str">
        <x:v>기관 공고 원문 확인</x:v>
      </x:c>
      <x:c r="P198" s="17" t="str">
        <x:v>기관 공고 원문 확인</x:v>
      </x:c>
      <x:c r="Q198" s="17" t="str">
        <x:v>기관 공고 원문 확인</x:v>
      </x:c>
      <x:c r="R198" s="17" t="str">
        <x:v>기관 공고 원문 확인</x:v>
      </x:c>
      <x:c r="S198" s="18" t="str">
        <x:v>https://job.cleaneye.go.kr/user/ypRecruitment.do</x:v>
      </x:c>
      <x:c r="T198" s="1"/>
      <x:c r="U198" s="1"/>
      <x:c r="V198" s="1"/>
      <x:c r="W198" s="1"/>
      <x:c r="X198" s="1"/>
      <x:c r="Y198" s="1"/>
      <x:c r="Z198" s="1"/>
    </x:row>
    <x:row r="199" ht="58" customHeight="1">
      <x:c r="A199" s="17" t="n">
        <x:v>195</x:v>
      </x:c>
      <x:c r="B199" s="17" t="str">
        <x:v>B</x:v>
      </x:c>
      <x:c r="C199" s="17" t="str">
        <x:v>Cleaneye Job+</x:v>
      </x:c>
      <x:c r="D199" s="17" t="str">
        <x:v>인천광역시계양구시설관리공단</x:v>
      </x:c>
      <x:c r="E199" s="17" t="str">
        <x:v>2026년도 제7회 인천광역시계양구시설관리공단 직원(기간제근로자) 공개경쟁채용 계획 공고</x:v>
      </x:c>
      <x:c r="F199" s="17" t="str">
        <x:v>신입+경력</x:v>
      </x:c>
      <x:c r="G199" s="17" t="str">
        <x:v>기간제</x:v>
      </x:c>
      <x:c r="H199" s="17" t="str">
        <x:v>인천광역시</x:v>
      </x:c>
      <x:c r="I199" s="17" t="str">
        <x:v>인천광역시 계양구</x:v>
      </x:c>
      <x:c r="J199" s="17" t="str">
        <x:v>2026-09-14</x:v>
      </x:c>
      <x:c r="K199" s="17" t="str">
        <x:v>기간제·비정규</x:v>
      </x:c>
      <x:c r="L199" s="17" t="str">
        <x:v>검토</x:v>
      </x:c>
      <x:c r="M199" s="17" t="str">
        <x:v>제한 문구 미탐지</x:v>
      </x:c>
      <x:c r="N199" s="17" t="str">
        <x:v>포털 목록 확인</x:v>
      </x:c>
      <x:c r="O199" s="17" t="str">
        <x:v>기관 공고 원문 확인</x:v>
      </x:c>
      <x:c r="P199" s="17" t="str">
        <x:v>기관 공고 원문 확인</x:v>
      </x:c>
      <x:c r="Q199" s="17" t="str">
        <x:v>기관 공고 원문 확인</x:v>
      </x:c>
      <x:c r="R199" s="17" t="str">
        <x:v>기관 공고 원문 확인</x:v>
      </x:c>
      <x:c r="S199" s="18" t="str">
        <x:v>https://job.cleaneye.go.kr/user/ypRecruitment.do</x:v>
      </x:c>
      <x:c r="T199" s="1"/>
      <x:c r="U199" s="1"/>
      <x:c r="V199" s="1"/>
      <x:c r="W199" s="1"/>
      <x:c r="X199" s="1"/>
      <x:c r="Y199" s="1"/>
      <x:c r="Z199" s="1"/>
    </x:row>
    <x:row r="200" ht="58" customHeight="1">
      <x:c r="A200" s="17" t="n">
        <x:v>196</x:v>
      </x:c>
      <x:c r="B200" s="17" t="str">
        <x:v>B</x:v>
      </x:c>
      <x:c r="C200" s="17" t="str">
        <x:v>Cleaneye Job+</x:v>
      </x:c>
      <x:c r="D200" s="17" t="str">
        <x:v>인천광역시부평구시설관리공단</x:v>
      </x:c>
      <x:c r="E200" s="17" t="str">
        <x:v>2026년 제9회 기간제 근로자(사회체육강사) 공개경쟁 채용 공고</x:v>
      </x:c>
      <x:c r="F200" s="17" t="str">
        <x:v>신입+경력</x:v>
      </x:c>
      <x:c r="G200" s="17" t="str">
        <x:v>기간제</x:v>
      </x:c>
      <x:c r="H200" s="17" t="str">
        <x:v>인천광역시</x:v>
      </x:c>
      <x:c r="I200" s="17" t="str">
        <x:v>명시 없음(원문 확인)</x:v>
      </x:c>
      <x:c r="J200" s="17" t="str">
        <x:v>2026-09-14</x:v>
      </x:c>
      <x:c r="K200" s="17" t="str">
        <x:v>기간제·비정규</x:v>
      </x:c>
      <x:c r="L200" s="17" t="str">
        <x:v>검토</x:v>
      </x:c>
      <x:c r="M200" s="17" t="str">
        <x:v>제한 문구 미탐지</x:v>
      </x:c>
      <x:c r="N200" s="17" t="str">
        <x:v>포털 목록 확인</x:v>
      </x:c>
      <x:c r="O200" s="17" t="str">
        <x:v>기관 공고 원문 확인</x:v>
      </x:c>
      <x:c r="P200" s="17" t="str">
        <x:v>기관 공고 원문 확인</x:v>
      </x:c>
      <x:c r="Q200" s="17" t="str">
        <x:v>기관 공고 원문 확인</x:v>
      </x:c>
      <x:c r="R200" s="17" t="str">
        <x:v>기관 공고 원문 확인</x:v>
      </x:c>
      <x:c r="S200" s="18" t="str">
        <x:v>https://job.cleaneye.go.kr/user/ypRecruitment.do</x:v>
      </x:c>
      <x:c r="T200" s="1"/>
      <x:c r="U200" s="1"/>
      <x:c r="V200" s="1"/>
      <x:c r="W200" s="1"/>
      <x:c r="X200" s="1"/>
      <x:c r="Y200" s="1"/>
      <x:c r="Z200" s="1"/>
    </x:row>
    <x:row r="201" ht="58" customHeight="1">
      <x:c r="A201" s="17" t="n">
        <x:v>197</x:v>
      </x:c>
      <x:c r="B201" s="17" t="str">
        <x:v>B</x:v>
      </x:c>
      <x:c r="C201" s="17" t="str">
        <x:v>Cleaneye Job+</x:v>
      </x:c>
      <x:c r="D201" s="17" t="str">
        <x:v>인천광역시연수구시설안전관리공단</x:v>
      </x:c>
      <x:c r="E201" s="17" t="str">
        <x:v>2026년 제2회 경영혁신팀 기간제근로자 채용 공고</x:v>
      </x:c>
      <x:c r="F201" s="17" t="str">
        <x:v>신입+경력</x:v>
      </x:c>
      <x:c r="G201" s="17" t="str">
        <x:v>기간제</x:v>
      </x:c>
      <x:c r="H201" s="17" t="str">
        <x:v>인천광역시</x:v>
      </x:c>
      <x:c r="I201" s="17" t="str">
        <x:v>인천광역시</x:v>
      </x:c>
      <x:c r="J201" s="17" t="str">
        <x:v>2026-09-14</x:v>
      </x:c>
      <x:c r="K201" s="17" t="str">
        <x:v>기간제·비정규</x:v>
      </x:c>
      <x:c r="L201" s="17" t="str">
        <x:v>검토</x:v>
      </x:c>
      <x:c r="M201" s="17" t="str">
        <x:v>제한 문구 미탐지</x:v>
      </x:c>
      <x:c r="N201" s="17" t="str">
        <x:v>포털 목록 확인</x:v>
      </x:c>
      <x:c r="O201" s="17" t="str">
        <x:v>기관 공고 원문 확인</x:v>
      </x:c>
      <x:c r="P201" s="17" t="str">
        <x:v>기관 공고 원문 확인</x:v>
      </x:c>
      <x:c r="Q201" s="17" t="str">
        <x:v>기관 공고 원문 확인</x:v>
      </x:c>
      <x:c r="R201" s="17" t="str">
        <x:v>기관 공고 원문 확인</x:v>
      </x:c>
      <x:c r="S201" s="18" t="str">
        <x:v>https://job.cleaneye.go.kr/user/ypRecruitment.do</x:v>
      </x:c>
      <x:c r="T201" s="1"/>
      <x:c r="U201" s="1"/>
      <x:c r="V201" s="1"/>
      <x:c r="W201" s="1"/>
      <x:c r="X201" s="1"/>
      <x:c r="Y201" s="1"/>
      <x:c r="Z201" s="1"/>
    </x:row>
    <x:row r="202" ht="58" customHeight="1">
      <x:c r="A202" s="17" t="n">
        <x:v>198</x:v>
      </x:c>
      <x:c r="B202" s="17" t="str">
        <x:v>B</x:v>
      </x:c>
      <x:c r="C202" s="17" t="str">
        <x:v>Cleaneye Job+</x:v>
      </x:c>
      <x:c r="D202" s="17" t="str">
        <x:v>재단법인 구미문화재단</x:v>
      </x:c>
      <x:c r="E202" s="17" t="str">
        <x:v>(재)구미문화재단 2026년 육아휴직 대체인력 기간제 근로자 채용 공고</x:v>
      </x:c>
      <x:c r="F202" s="17" t="str">
        <x:v>신입+경력</x:v>
      </x:c>
      <x:c r="G202" s="17" t="str">
        <x:v>기간제</x:v>
      </x:c>
      <x:c r="H202" s="17" t="str">
        <x:v>경상북도</x:v>
      </x:c>
      <x:c r="I202" s="17" t="str">
        <x:v>명시 없음(원문 확인)</x:v>
      </x:c>
      <x:c r="J202" s="17" t="str">
        <x:v>2026-09-14</x:v>
      </x:c>
      <x:c r="K202" s="17" t="str">
        <x:v>기간제·비정규</x:v>
      </x:c>
      <x:c r="L202" s="17" t="str">
        <x:v>검토</x:v>
      </x:c>
      <x:c r="M202" s="17" t="str">
        <x:v>제한 문구 미탐지</x:v>
      </x:c>
      <x:c r="N202" s="17" t="str">
        <x:v>포털 목록 확인</x:v>
      </x:c>
      <x:c r="O202" s="17" t="str">
        <x:v>기관 공고 원문 확인</x:v>
      </x:c>
      <x:c r="P202" s="17" t="str">
        <x:v>기관 공고 원문 확인</x:v>
      </x:c>
      <x:c r="Q202" s="17" t="str">
        <x:v>기관 공고 원문 확인</x:v>
      </x:c>
      <x:c r="R202" s="17" t="str">
        <x:v>기관 공고 원문 확인</x:v>
      </x:c>
      <x:c r="S202" s="18" t="str">
        <x:v>https://job.cleaneye.go.kr/user/ypRecruitment.do</x:v>
      </x:c>
      <x:c r="T202" s="1"/>
      <x:c r="U202" s="1"/>
      <x:c r="V202" s="1"/>
      <x:c r="W202" s="1"/>
      <x:c r="X202" s="1"/>
      <x:c r="Y202" s="1"/>
      <x:c r="Z202" s="1"/>
    </x:row>
    <x:row r="203" ht="58" customHeight="1">
      <x:c r="A203" s="17" t="n">
        <x:v>199</x:v>
      </x:c>
      <x:c r="B203" s="17" t="str">
        <x:v>B</x:v>
      </x:c>
      <x:c r="C203" s="17" t="str">
        <x:v>Cleaneye Job+</x:v>
      </x:c>
      <x:c r="D203" s="17" t="str">
        <x:v>재단법인 송파문화재단</x:v>
      </x:c>
      <x:c r="E203" s="17" t="str">
        <x:v>(재)송파문화재단 도서관지원팀 2026년 5차 기간제근로자 채용 공고(공개경쟁)</x:v>
      </x:c>
      <x:c r="F203" s="17" t="str">
        <x:v>신입+경력</x:v>
      </x:c>
      <x:c r="G203" s="17" t="str">
        <x:v>기간제</x:v>
      </x:c>
      <x:c r="H203" s="17" t="str">
        <x:v>서울특별시</x:v>
      </x:c>
      <x:c r="I203" s="17" t="str">
        <x:v>명시 없음(원문 확인)</x:v>
      </x:c>
      <x:c r="J203" s="17" t="str">
        <x:v>2026-09-14</x:v>
      </x:c>
      <x:c r="K203" s="17" t="str">
        <x:v>기간제·비정규</x:v>
      </x:c>
      <x:c r="L203" s="17" t="str">
        <x:v>검토</x:v>
      </x:c>
      <x:c r="M203" s="17" t="str">
        <x:v>제한 문구 미탐지</x:v>
      </x:c>
      <x:c r="N203" s="17" t="str">
        <x:v>포털 목록 확인</x:v>
      </x:c>
      <x:c r="O203" s="17" t="str">
        <x:v>기관 공고 원문 확인</x:v>
      </x:c>
      <x:c r="P203" s="17" t="str">
        <x:v>기관 공고 원문 확인</x:v>
      </x:c>
      <x:c r="Q203" s="17" t="str">
        <x:v>기관 공고 원문 확인</x:v>
      </x:c>
      <x:c r="R203" s="17" t="str">
        <x:v>기관 공고 원문 확인</x:v>
      </x:c>
      <x:c r="S203" s="18" t="str">
        <x:v>https://job.cleaneye.go.kr/user/ypRecruitment.do</x:v>
      </x:c>
      <x:c r="T203" s="1"/>
      <x:c r="U203" s="1"/>
      <x:c r="V203" s="1"/>
      <x:c r="W203" s="1"/>
      <x:c r="X203" s="1"/>
      <x:c r="Y203" s="1"/>
      <x:c r="Z203" s="1"/>
    </x:row>
    <x:row r="204" ht="58" customHeight="1">
      <x:c r="A204" s="17" t="n">
        <x:v>200</x:v>
      </x:c>
      <x:c r="B204" s="17" t="str">
        <x:v>B</x:v>
      </x:c>
      <x:c r="C204" s="17" t="str">
        <x:v>Cleaneye Job+</x:v>
      </x:c>
      <x:c r="D204" s="17" t="str">
        <x:v>재단법인 창녕양파앤마늘식품연구원</x:v>
      </x:c>
      <x:c r="E204" s="17" t="str">
        <x:v>(재)창녕양파앤마늘식품연구원 2026년도 연구원 채용 공고</x:v>
      </x:c>
      <x:c r="F204" s="17" t="str">
        <x:v>신입+경력</x:v>
      </x:c>
      <x:c r="G204" s="17" t="str">
        <x:v>일반정규직</x:v>
      </x:c>
      <x:c r="H204" s="17" t="str">
        <x:v>경상남도</x:v>
      </x:c>
      <x:c r="I204" s="17" t="str">
        <x:v>명시 없음(원문 확인)</x:v>
      </x:c>
      <x:c r="J204" s="17" t="str">
        <x:v>2026-09-14</x:v>
      </x:c>
      <x:c r="K204" s="17" t="str">
        <x:v>정규직(세부 확인)</x:v>
      </x:c>
      <x:c r="L204" s="17" t="str">
        <x:v>검토</x:v>
      </x:c>
      <x:c r="M204" s="17" t="str">
        <x:v>제한 문구 미탐지</x:v>
      </x:c>
      <x:c r="N204" s="17" t="str">
        <x:v>포털 목록 확인</x:v>
      </x:c>
      <x:c r="O204" s="17" t="str">
        <x:v>기관 공고 원문 확인</x:v>
      </x:c>
      <x:c r="P204" s="17" t="str">
        <x:v>기관 공고 원문 확인</x:v>
      </x:c>
      <x:c r="Q204" s="17" t="str">
        <x:v>기관 공고 원문 확인</x:v>
      </x:c>
      <x:c r="R204" s="17" t="str">
        <x:v>기관 공고 원문 확인</x:v>
      </x:c>
      <x:c r="S204" s="18" t="str">
        <x:v>https://job.cleaneye.go.kr/user/ypRecruitment.do</x:v>
      </x:c>
      <x:c r="T204" s="1"/>
      <x:c r="U204" s="1"/>
      <x:c r="V204" s="1"/>
      <x:c r="W204" s="1"/>
      <x:c r="X204" s="1"/>
      <x:c r="Y204" s="1"/>
      <x:c r="Z204" s="1"/>
    </x:row>
    <x:row r="205" ht="58" customHeight="1">
      <x:c r="A205" s="17" t="n">
        <x:v>201</x:v>
      </x:c>
      <x:c r="B205" s="17" t="str">
        <x:v>B</x:v>
      </x:c>
      <x:c r="C205" s="17" t="str">
        <x:v>Cleaneye Job+</x:v>
      </x:c>
      <x:c r="D205" s="17" t="str">
        <x:v>재단법인 포천문화관광재단</x:v>
      </x:c>
      <x:c r="E205" s="17" t="str">
        <x:v>(재)포천문화관광재단 2026년 제5회 직원 공개채용</x:v>
      </x:c>
      <x:c r="F205" s="17" t="str">
        <x:v>신입</x:v>
      </x:c>
      <x:c r="G205" s="17" t="str">
        <x:v>기간제</x:v>
      </x:c>
      <x:c r="H205" s="17" t="str">
        <x:v>경기도</x:v>
      </x:c>
      <x:c r="I205" s="17" t="str">
        <x:v>명시 없음(원문 확인)</x:v>
      </x:c>
      <x:c r="J205" s="17" t="str">
        <x:v>2026-09-14</x:v>
      </x:c>
      <x:c r="K205" s="17" t="str">
        <x:v>기간제·비정규</x:v>
      </x:c>
      <x:c r="L205" s="17" t="str">
        <x:v>검토</x:v>
      </x:c>
      <x:c r="M205" s="17" t="str">
        <x:v>제한 문구 미탐지</x:v>
      </x:c>
      <x:c r="N205" s="17" t="str">
        <x:v>포털 목록 확인</x:v>
      </x:c>
      <x:c r="O205" s="17" t="str">
        <x:v>기관 공고 원문 확인</x:v>
      </x:c>
      <x:c r="P205" s="17" t="str">
        <x:v>기관 공고 원문 확인</x:v>
      </x:c>
      <x:c r="Q205" s="17" t="str">
        <x:v>기관 공고 원문 확인</x:v>
      </x:c>
      <x:c r="R205" s="17" t="str">
        <x:v>기관 공고 원문 확인</x:v>
      </x:c>
      <x:c r="S205" s="18" t="str">
        <x:v>https://job.cleaneye.go.kr/user/ypRecruitment.do</x:v>
      </x:c>
      <x:c r="T205" s="1"/>
      <x:c r="U205" s="1"/>
      <x:c r="V205" s="1"/>
      <x:c r="W205" s="1"/>
      <x:c r="X205" s="1"/>
      <x:c r="Y205" s="1"/>
      <x:c r="Z205" s="1"/>
    </x:row>
    <x:row r="206" ht="58" customHeight="1">
      <x:c r="A206" s="17" t="n">
        <x:v>202</x:v>
      </x:c>
      <x:c r="B206" s="17" t="str">
        <x:v>B</x:v>
      </x:c>
      <x:c r="C206" s="17" t="str">
        <x:v>Cleaneye Job+</x:v>
      </x:c>
      <x:c r="D206" s="17" t="str">
        <x:v>전라남도 환경산업진흥원</x:v>
      </x:c>
      <x:c r="E206" s="17" t="str">
        <x:v>(재)전라남도환경산업진흥원 2026년 제4차 기간제근로자 신규채용 공고</x:v>
      </x:c>
      <x:c r="F206" s="17" t="str">
        <x:v>신입+경력</x:v>
      </x:c>
      <x:c r="G206" s="17" t="str">
        <x:v>기간제</x:v>
      </x:c>
      <x:c r="H206" s="17" t="str">
        <x:v>전남광주통합특별시</x:v>
      </x:c>
      <x:c r="I206" s="17" t="str">
        <x:v>명시 없음(원문 확인)</x:v>
      </x:c>
      <x:c r="J206" s="17" t="str">
        <x:v>2026-09-14</x:v>
      </x:c>
      <x:c r="K206" s="17" t="str">
        <x:v>기간제·비정규</x:v>
      </x:c>
      <x:c r="L206" s="17" t="str">
        <x:v>검토</x:v>
      </x:c>
      <x:c r="M206" s="17" t="str">
        <x:v>제한 문구 미탐지</x:v>
      </x:c>
      <x:c r="N206" s="17" t="str">
        <x:v>포털 목록 확인</x:v>
      </x:c>
      <x:c r="O206" s="17" t="str">
        <x:v>기관 공고 원문 확인</x:v>
      </x:c>
      <x:c r="P206" s="17" t="str">
        <x:v>기관 공고 원문 확인</x:v>
      </x:c>
      <x:c r="Q206" s="17" t="str">
        <x:v>기관 공고 원문 확인</x:v>
      </x:c>
      <x:c r="R206" s="17" t="str">
        <x:v>기관 공고 원문 확인</x:v>
      </x:c>
      <x:c r="S206" s="18" t="str">
        <x:v>https://job.cleaneye.go.kr/user/ypRecruitment.do</x:v>
      </x:c>
      <x:c r="T206" s="1"/>
      <x:c r="U206" s="1"/>
      <x:c r="V206" s="1"/>
      <x:c r="W206" s="1"/>
      <x:c r="X206" s="1"/>
      <x:c r="Y206" s="1"/>
      <x:c r="Z206" s="1"/>
    </x:row>
    <x:row r="207" ht="58" customHeight="1">
      <x:c r="A207" s="17" t="n">
        <x:v>203</x:v>
      </x:c>
      <x:c r="B207" s="17" t="str">
        <x:v>B</x:v>
      </x:c>
      <x:c r="C207" s="17" t="str">
        <x:v>Cleaneye Job+</x:v>
      </x:c>
      <x:c r="D207" s="17" t="str">
        <x:v>제주여성가족연구원</x:v>
      </x:c>
      <x:c r="E207" s="17" t="str">
        <x:v>제7차 제주여성가족연구원 직원(행정시설직4급) 채용 공고</x:v>
      </x:c>
      <x:c r="F207" s="17" t="str">
        <x:v>신입+경력</x:v>
      </x:c>
      <x:c r="G207" s="17" t="str">
        <x:v>일반정규직</x:v>
      </x:c>
      <x:c r="H207" s="17" t="str">
        <x:v>제주특별자치도</x:v>
      </x:c>
      <x:c r="I207" s="17" t="str">
        <x:v>제주특별자치도</x:v>
      </x:c>
      <x:c r="J207" s="17" t="str">
        <x:v>2026-09-14</x:v>
      </x:c>
      <x:c r="K207" s="17" t="str">
        <x:v>정규직(세부 확인)</x:v>
      </x:c>
      <x:c r="L207" s="17" t="str">
        <x:v>검토</x:v>
      </x:c>
      <x:c r="M207" s="17" t="str">
        <x:v>제한 문구 미탐지</x:v>
      </x:c>
      <x:c r="N207" s="17" t="str">
        <x:v>포털 목록 확인</x:v>
      </x:c>
      <x:c r="O207" s="17" t="str">
        <x:v>기관 공고 원문 확인</x:v>
      </x:c>
      <x:c r="P207" s="17" t="str">
        <x:v>기관 공고 원문 확인</x:v>
      </x:c>
      <x:c r="Q207" s="17" t="str">
        <x:v>기관 공고 원문 확인</x:v>
      </x:c>
      <x:c r="R207" s="17" t="str">
        <x:v>기관 공고 원문 확인</x:v>
      </x:c>
      <x:c r="S207" s="18" t="str">
        <x:v>https://job.cleaneye.go.kr/user/ypRecruitment.do</x:v>
      </x:c>
      <x:c r="T207" s="1"/>
      <x:c r="U207" s="1"/>
      <x:c r="V207" s="1"/>
      <x:c r="W207" s="1"/>
      <x:c r="X207" s="1"/>
      <x:c r="Y207" s="1"/>
      <x:c r="Z207" s="1"/>
    </x:row>
    <x:row r="208" ht="58" customHeight="1">
      <x:c r="A208" s="17" t="n">
        <x:v>204</x:v>
      </x:c>
      <x:c r="B208" s="17" t="str">
        <x:v>B</x:v>
      </x:c>
      <x:c r="C208" s="17" t="str">
        <x:v>Cleaneye Job+</x:v>
      </x:c>
      <x:c r="D208" s="17" t="str">
        <x:v>충청북도 충주의료원</x:v>
      </x:c>
      <x:c r="E208" s="17" t="str">
        <x:v>충주의료원 보건직(임상병리사) 채용 공고</x:v>
      </x:c>
      <x:c r="F208" s="17" t="str">
        <x:v>신입+경력</x:v>
      </x:c>
      <x:c r="G208" s="17" t="str">
        <x:v>일반정규직</x:v>
      </x:c>
      <x:c r="H208" s="17" t="str">
        <x:v>충청북도</x:v>
      </x:c>
      <x:c r="I208" s="17" t="str">
        <x:v>충청북도</x:v>
      </x:c>
      <x:c r="J208" s="17" t="str">
        <x:v>2026-09-14</x:v>
      </x:c>
      <x:c r="K208" s="17" t="str">
        <x:v>정규직(세부 확인)</x:v>
      </x:c>
      <x:c r="L208" s="17" t="str">
        <x:v>검토</x:v>
      </x:c>
      <x:c r="M208" s="17" t="str">
        <x:v>제한 문구 미탐지</x:v>
      </x:c>
      <x:c r="N208" s="17" t="str">
        <x:v>포털 목록 확인</x:v>
      </x:c>
      <x:c r="O208" s="17" t="str">
        <x:v>기관 공고 원문 확인</x:v>
      </x:c>
      <x:c r="P208" s="17" t="str">
        <x:v>기관 공고 원문 확인</x:v>
      </x:c>
      <x:c r="Q208" s="17" t="str">
        <x:v>기관 공고 원문 확인</x:v>
      </x:c>
      <x:c r="R208" s="17" t="str">
        <x:v>기관 공고 원문 확인</x:v>
      </x:c>
      <x:c r="S208" s="18" t="str">
        <x:v>https://job.cleaneye.go.kr/user/ypRecruitment.do</x:v>
      </x:c>
      <x:c r="T208" s="1"/>
      <x:c r="U208" s="1"/>
      <x:c r="V208" s="1"/>
      <x:c r="W208" s="1"/>
      <x:c r="X208" s="1"/>
      <x:c r="Y208" s="1"/>
      <x:c r="Z208" s="1"/>
    </x:row>
    <x:row r="209" ht="58" customHeight="1">
      <x:c r="A209" s="17" t="n">
        <x:v>205</x:v>
      </x:c>
      <x:c r="B209" s="17" t="str">
        <x:v>B</x:v>
      </x:c>
      <x:c r="C209" s="17" t="str">
        <x:v>Cleaneye Job+</x:v>
      </x:c>
      <x:c r="D209" s="17" t="str">
        <x:v>충청북도 충주의료원</x:v>
      </x:c>
      <x:c r="E209" s="17" t="str">
        <x:v>충주의료원 육아휴직 대체자 [보건직(물리치료사), 행정직] 채용 공고</x:v>
      </x:c>
      <x:c r="F209" s="17" t="str">
        <x:v>신입+경력</x:v>
      </x:c>
      <x:c r="G209" s="17" t="str">
        <x:v>일반계약직</x:v>
      </x:c>
      <x:c r="H209" s="17" t="str">
        <x:v>충청북도</x:v>
      </x:c>
      <x:c r="I209" s="17" t="str">
        <x:v>충청북도</x:v>
      </x:c>
      <x:c r="J209" s="17" t="str">
        <x:v>2026-09-14</x:v>
      </x:c>
      <x:c r="K209" s="17" t="str">
        <x:v>기타 채용</x:v>
      </x:c>
      <x:c r="L209" s="17" t="str">
        <x:v>검토</x:v>
      </x:c>
      <x:c r="M209" s="17" t="str">
        <x:v>제한 문구 미탐지</x:v>
      </x:c>
      <x:c r="N209" s="17" t="str">
        <x:v>포털 목록 확인</x:v>
      </x:c>
      <x:c r="O209" s="17" t="str">
        <x:v>기관 공고 원문 확인</x:v>
      </x:c>
      <x:c r="P209" s="17" t="str">
        <x:v>기관 공고 원문 확인</x:v>
      </x:c>
      <x:c r="Q209" s="17" t="str">
        <x:v>기관 공고 원문 확인</x:v>
      </x:c>
      <x:c r="R209" s="17" t="str">
        <x:v>기관 공고 원문 확인</x:v>
      </x:c>
      <x:c r="S209" s="18" t="str">
        <x:v>https://job.cleaneye.go.kr/user/ypRecruitment.do</x:v>
      </x:c>
      <x:c r="T209" s="1"/>
      <x:c r="U209" s="1"/>
      <x:c r="V209" s="1"/>
      <x:c r="W209" s="1"/>
      <x:c r="X209" s="1"/>
      <x:c r="Y209" s="1"/>
      <x:c r="Z209" s="1"/>
    </x:row>
    <x:row r="210" ht="58" customHeight="1">
      <x:c r="A210" s="17" t="n">
        <x:v>206</x:v>
      </x:c>
      <x:c r="B210" s="17" t="str">
        <x:v>B</x:v>
      </x:c>
      <x:c r="C210" s="17" t="str">
        <x:v>Cleaneye Job+</x:v>
      </x:c>
      <x:c r="D210" s="17" t="str">
        <x:v>한국국학진흥원</x:v>
      </x:c>
      <x:c r="E210" s="17" t="str">
        <x:v>한국국학진흥원 10월 계약직원 채용 재공고(26.10.1.임용예정)</x:v>
      </x:c>
      <x:c r="F210" s="17" t="str">
        <x:v>신입+경력</x:v>
      </x:c>
      <x:c r="G210" s="17" t="str">
        <x:v>기간제</x:v>
      </x:c>
      <x:c r="H210" s="17" t="str">
        <x:v>경상북도</x:v>
      </x:c>
      <x:c r="I210" s="17" t="str">
        <x:v>명시 없음(원문 확인)</x:v>
      </x:c>
      <x:c r="J210" s="17" t="str">
        <x:v>2026-09-14</x:v>
      </x:c>
      <x:c r="K210" s="17" t="str">
        <x:v>기간제·비정규</x:v>
      </x:c>
      <x:c r="L210" s="17" t="str">
        <x:v>검토</x:v>
      </x:c>
      <x:c r="M210" s="17" t="str">
        <x:v>제한 문구 미탐지</x:v>
      </x:c>
      <x:c r="N210" s="17" t="str">
        <x:v>포털 목록 확인</x:v>
      </x:c>
      <x:c r="O210" s="17" t="str">
        <x:v>기관 공고 원문 확인</x:v>
      </x:c>
      <x:c r="P210" s="17" t="str">
        <x:v>기관 공고 원문 확인</x:v>
      </x:c>
      <x:c r="Q210" s="17" t="str">
        <x:v>기관 공고 원문 확인</x:v>
      </x:c>
      <x:c r="R210" s="17" t="str">
        <x:v>기관 공고 원문 확인</x:v>
      </x:c>
      <x:c r="S210" s="18" t="str">
        <x:v>https://job.cleaneye.go.kr/user/ypRecruitment.do</x:v>
      </x:c>
      <x:c r="T210" s="1"/>
      <x:c r="U210" s="1"/>
      <x:c r="V210" s="1"/>
      <x:c r="W210" s="1"/>
      <x:c r="X210" s="1"/>
      <x:c r="Y210" s="1"/>
      <x:c r="Z210" s="1"/>
    </x:row>
    <x:row r="211" ht="58" customHeight="1">
      <x:c r="A211" s="17" t="n">
        <x:v>207</x:v>
      </x:c>
      <x:c r="B211" s="17" t="str">
        <x:v>B</x:v>
      </x:c>
      <x:c r="C211" s="17" t="str">
        <x:v>Cleaneye Job+</x:v>
      </x:c>
      <x:c r="D211" s="17" t="str">
        <x:v>거제해양관광개발공사</x:v>
      </x:c>
      <x:c r="E211" s="17" t="str">
        <x:v>2026년 제4차 기간제근로자 채용 공고</x:v>
      </x:c>
      <x:c r="F211" s="17" t="str">
        <x:v>신입+경력</x:v>
      </x:c>
      <x:c r="G211" s="17" t="str">
        <x:v>기간제</x:v>
      </x:c>
      <x:c r="H211" s="17" t="str">
        <x:v>경상남도</x:v>
      </x:c>
      <x:c r="I211" s="17" t="str">
        <x:v>경상남도 거제시</x:v>
      </x:c>
      <x:c r="J211" s="17" t="str">
        <x:v>2026-09-15</x:v>
      </x:c>
      <x:c r="K211" s="17" t="str">
        <x:v>기간제·비정규</x:v>
      </x:c>
      <x:c r="L211" s="17" t="str">
        <x:v>검토</x:v>
      </x:c>
      <x:c r="M211" s="17" t="str">
        <x:v>제한 문구 미탐지</x:v>
      </x:c>
      <x:c r="N211" s="17" t="str">
        <x:v>포털 목록 확인</x:v>
      </x:c>
      <x:c r="O211" s="17" t="str">
        <x:v>기관 공고 원문 확인</x:v>
      </x:c>
      <x:c r="P211" s="17" t="str">
        <x:v>기관 공고 원문 확인</x:v>
      </x:c>
      <x:c r="Q211" s="17" t="str">
        <x:v>기관 공고 원문 확인</x:v>
      </x:c>
      <x:c r="R211" s="17" t="str">
        <x:v>기관 공고 원문 확인</x:v>
      </x:c>
      <x:c r="S211" s="18" t="str">
        <x:v>https://job.cleaneye.go.kr/user/ypRecruitment.do</x:v>
      </x:c>
      <x:c r="T211" s="1"/>
      <x:c r="U211" s="1"/>
      <x:c r="V211" s="1"/>
      <x:c r="W211" s="1"/>
      <x:c r="X211" s="1"/>
      <x:c r="Y211" s="1"/>
      <x:c r="Z211" s="1"/>
    </x:row>
    <x:row r="212" ht="58" customHeight="1">
      <x:c r="A212" s="17" t="n">
        <x:v>208</x:v>
      </x:c>
      <x:c r="B212" s="17" t="str">
        <x:v>B</x:v>
      </x:c>
      <x:c r="C212" s="17" t="str">
        <x:v>Cleaneye Job+</x:v>
      </x:c>
      <x:c r="D212" s="17" t="str">
        <x:v>대구공공시설관리공단</x:v>
      </x:c>
      <x:c r="E212" s="17" t="str">
        <x:v>2026년 대구공공시설관리공단 기간제근로자 4차 공개채용 공고</x:v>
      </x:c>
      <x:c r="F212" s="17" t="str">
        <x:v>신입+경력</x:v>
      </x:c>
      <x:c r="G212" s="17" t="str">
        <x:v>기간제</x:v>
      </x:c>
      <x:c r="H212" s="17" t="str">
        <x:v>대구광역시</x:v>
      </x:c>
      <x:c r="I212" s="17" t="str">
        <x:v>대구광역시</x:v>
      </x:c>
      <x:c r="J212" s="17" t="str">
        <x:v>2026-09-15</x:v>
      </x:c>
      <x:c r="K212" s="17" t="str">
        <x:v>기간제·비정규</x:v>
      </x:c>
      <x:c r="L212" s="17" t="str">
        <x:v>검토</x:v>
      </x:c>
      <x:c r="M212" s="17" t="str">
        <x:v>제한 문구 미탐지</x:v>
      </x:c>
      <x:c r="N212" s="17" t="str">
        <x:v>포털 목록 확인</x:v>
      </x:c>
      <x:c r="O212" s="17" t="str">
        <x:v>기관 공고 원문 확인</x:v>
      </x:c>
      <x:c r="P212" s="17" t="str">
        <x:v>기관 공고 원문 확인</x:v>
      </x:c>
      <x:c r="Q212" s="17" t="str">
        <x:v>기관 공고 원문 확인</x:v>
      </x:c>
      <x:c r="R212" s="17" t="str">
        <x:v>기관 공고 원문 확인</x:v>
      </x:c>
      <x:c r="S212" s="18" t="str">
        <x:v>https://job.cleaneye.go.kr/user/ypRecruitment.do</x:v>
      </x:c>
      <x:c r="T212" s="1"/>
      <x:c r="U212" s="1"/>
      <x:c r="V212" s="1"/>
      <x:c r="W212" s="1"/>
      <x:c r="X212" s="1"/>
      <x:c r="Y212" s="1"/>
      <x:c r="Z212" s="1"/>
    </x:row>
    <x:row r="213" ht="58" customHeight="1">
      <x:c r="A213" s="17" t="n">
        <x:v>209</x:v>
      </x:c>
      <x:c r="B213" s="17" t="str">
        <x:v>B</x:v>
      </x:c>
      <x:c r="C213" s="17" t="str">
        <x:v>Cleaneye Job+</x:v>
      </x:c>
      <x:c r="D213" s="17" t="str">
        <x:v>부산광역시기장군도시관리공단</x:v>
      </x:c>
      <x:c r="E213" s="17" t="str">
        <x:v>기장군도시관리공단 정관아쿠아드림파크 수영 인력풀 모집 공고</x:v>
      </x:c>
      <x:c r="F213" s="17" t="str">
        <x:v>신입+경력</x:v>
      </x:c>
      <x:c r="G213" s="17" t="str">
        <x:v>기간제</x:v>
      </x:c>
      <x:c r="H213" s="17" t="str">
        <x:v>부산광역시</x:v>
      </x:c>
      <x:c r="I213" s="17" t="str">
        <x:v>명시 없음(원문 확인)</x:v>
      </x:c>
      <x:c r="J213" s="17" t="str">
        <x:v>2026-09-15</x:v>
      </x:c>
      <x:c r="K213" s="17" t="str">
        <x:v>기간제·비정규</x:v>
      </x:c>
      <x:c r="L213" s="17" t="str">
        <x:v>검토</x:v>
      </x:c>
      <x:c r="M213" s="17" t="str">
        <x:v>제한 문구 미탐지</x:v>
      </x:c>
      <x:c r="N213" s="17" t="str">
        <x:v>포털 목록 확인</x:v>
      </x:c>
      <x:c r="O213" s="17" t="str">
        <x:v>기관 공고 원문 확인</x:v>
      </x:c>
      <x:c r="P213" s="17" t="str">
        <x:v>기관 공고 원문 확인</x:v>
      </x:c>
      <x:c r="Q213" s="17" t="str">
        <x:v>기관 공고 원문 확인</x:v>
      </x:c>
      <x:c r="R213" s="17" t="str">
        <x:v>기관 공고 원문 확인</x:v>
      </x:c>
      <x:c r="S213" s="18" t="str">
        <x:v>https://job.cleaneye.go.kr/user/ypRecruitment.do</x:v>
      </x:c>
      <x:c r="T213" s="1"/>
      <x:c r="U213" s="1"/>
      <x:c r="V213" s="1"/>
      <x:c r="W213" s="1"/>
      <x:c r="X213" s="1"/>
      <x:c r="Y213" s="1"/>
      <x:c r="Z213" s="1"/>
    </x:row>
    <x:row r="214" ht="58" customHeight="1">
      <x:c r="A214" s="17" t="n">
        <x:v>210</x:v>
      </x:c>
      <x:c r="B214" s="17" t="str">
        <x:v>B</x:v>
      </x:c>
      <x:c r="C214" s="17" t="str">
        <x:v>Cleaneye Job+</x:v>
      </x:c>
      <x:c r="D214" s="17" t="str">
        <x:v>부산광역시동구시설관리공단</x:v>
      </x:c>
      <x:c r="E214" s="17" t="str">
        <x:v>부산광역시 동구 시설관리공단 이사장 공개모집 공고</x:v>
      </x:c>
      <x:c r="F214" s="17" t="str">
        <x:v>신입+경력</x:v>
      </x:c>
      <x:c r="G214" s="17" t="str">
        <x:v>일반정규직</x:v>
      </x:c>
      <x:c r="H214" s="17" t="str">
        <x:v>부산광역시</x:v>
      </x:c>
      <x:c r="I214" s="17" t="str">
        <x:v>명시 없음(원문 확인)</x:v>
      </x:c>
      <x:c r="J214" s="17" t="str">
        <x:v>2026-09-15</x:v>
      </x:c>
      <x:c r="K214" s="17" t="str">
        <x:v>정규직(세부 확인)</x:v>
      </x:c>
      <x:c r="L214" s="17" t="str">
        <x:v>검토</x:v>
      </x:c>
      <x:c r="M214" s="17" t="str">
        <x:v>제한 문구 미탐지</x:v>
      </x:c>
      <x:c r="N214" s="17" t="str">
        <x:v>포털 목록 확인</x:v>
      </x:c>
      <x:c r="O214" s="17" t="str">
        <x:v>기관 공고 원문 확인</x:v>
      </x:c>
      <x:c r="P214" s="17" t="str">
        <x:v>기관 공고 원문 확인</x:v>
      </x:c>
      <x:c r="Q214" s="17" t="str">
        <x:v>기관 공고 원문 확인</x:v>
      </x:c>
      <x:c r="R214" s="17" t="str">
        <x:v>기관 공고 원문 확인</x:v>
      </x:c>
      <x:c r="S214" s="18" t="str">
        <x:v>https://job.cleaneye.go.kr/user/ypRecruitment.do</x:v>
      </x:c>
      <x:c r="T214" s="1"/>
      <x:c r="U214" s="1"/>
      <x:c r="V214" s="1"/>
      <x:c r="W214" s="1"/>
      <x:c r="X214" s="1"/>
      <x:c r="Y214" s="1"/>
      <x:c r="Z214" s="1"/>
    </x:row>
    <x:row r="215" ht="58" customHeight="1">
      <x:c r="A215" s="17" t="n">
        <x:v>211</x:v>
      </x:c>
      <x:c r="B215" s="17" t="str">
        <x:v>B</x:v>
      </x:c>
      <x:c r="C215" s="17" t="str">
        <x:v>Cleaneye Job+</x:v>
      </x:c>
      <x:c r="D215" s="17" t="str">
        <x:v>부산환경공단</x:v>
      </x:c>
      <x:c r="E215" s="17" t="str">
        <x:v>부산환경공단 하수자원사업소 기간제근로자(대체인력) 채용공고</x:v>
      </x:c>
      <x:c r="F215" s="17" t="str">
        <x:v>신입</x:v>
      </x:c>
      <x:c r="G215" s="17" t="str">
        <x:v>기간제</x:v>
      </x:c>
      <x:c r="H215" s="17" t="str">
        <x:v>부산광역시</x:v>
      </x:c>
      <x:c r="I215" s="17" t="str">
        <x:v>부산광역시</x:v>
      </x:c>
      <x:c r="J215" s="17" t="str">
        <x:v>2026-09-15</x:v>
      </x:c>
      <x:c r="K215" s="17" t="str">
        <x:v>기간제·비정규</x:v>
      </x:c>
      <x:c r="L215" s="17" t="str">
        <x:v>검토</x:v>
      </x:c>
      <x:c r="M215" s="17" t="str">
        <x:v>제한 문구 미탐지</x:v>
      </x:c>
      <x:c r="N215" s="17" t="str">
        <x:v>포털 목록 확인</x:v>
      </x:c>
      <x:c r="O215" s="17" t="str">
        <x:v>기관 공고 원문 확인</x:v>
      </x:c>
      <x:c r="P215" s="17" t="str">
        <x:v>기관 공고 원문 확인</x:v>
      </x:c>
      <x:c r="Q215" s="17" t="str">
        <x:v>기관 공고 원문 확인</x:v>
      </x:c>
      <x:c r="R215" s="17" t="str">
        <x:v>기관 공고 원문 확인</x:v>
      </x:c>
      <x:c r="S215" s="18" t="str">
        <x:v>https://job.cleaneye.go.kr/user/ypRecruitment.do</x:v>
      </x:c>
      <x:c r="T215" s="1"/>
      <x:c r="U215" s="1"/>
      <x:c r="V215" s="1"/>
      <x:c r="W215" s="1"/>
      <x:c r="X215" s="1"/>
      <x:c r="Y215" s="1"/>
      <x:c r="Z215" s="1"/>
    </x:row>
    <x:row r="216" ht="58" customHeight="1">
      <x:c r="A216" s="17" t="n">
        <x:v>212</x:v>
      </x:c>
      <x:c r="B216" s="17" t="str">
        <x:v>B</x:v>
      </x:c>
      <x:c r="C216" s="17" t="str">
        <x:v>Cleaneye Job+</x:v>
      </x:c>
      <x:c r="D216" s="17" t="str">
        <x:v>서초문화재단</x:v>
      </x:c>
      <x:c r="E216" s="17" t="str">
        <x:v>2026-07차 서초문화재단 직원 채용 공고</x:v>
      </x:c>
      <x:c r="F216" s="17" t="str">
        <x:v>신입</x:v>
      </x:c>
      <x:c r="G216" s="17" t="str">
        <x:v>기간제</x:v>
      </x:c>
      <x:c r="H216" s="17" t="str">
        <x:v>서울특별시</x:v>
      </x:c>
      <x:c r="I216" s="17" t="str">
        <x:v>명시 없음(원문 확인)</x:v>
      </x:c>
      <x:c r="J216" s="17" t="str">
        <x:v>2026-09-15</x:v>
      </x:c>
      <x:c r="K216" s="17" t="str">
        <x:v>기간제·비정규</x:v>
      </x:c>
      <x:c r="L216" s="17" t="str">
        <x:v>검토</x:v>
      </x:c>
      <x:c r="M216" s="17" t="str">
        <x:v>제한 문구 미탐지</x:v>
      </x:c>
      <x:c r="N216" s="17" t="str">
        <x:v>포털 목록 확인</x:v>
      </x:c>
      <x:c r="O216" s="17" t="str">
        <x:v>기관 공고 원문 확인</x:v>
      </x:c>
      <x:c r="P216" s="17" t="str">
        <x:v>기관 공고 원문 확인</x:v>
      </x:c>
      <x:c r="Q216" s="17" t="str">
        <x:v>기관 공고 원문 확인</x:v>
      </x:c>
      <x:c r="R216" s="17" t="str">
        <x:v>기관 공고 원문 확인</x:v>
      </x:c>
      <x:c r="S216" s="18" t="str">
        <x:v>https://job.cleaneye.go.kr/user/ypRecruitment.do</x:v>
      </x:c>
      <x:c r="T216" s="1"/>
      <x:c r="U216" s="1"/>
      <x:c r="V216" s="1"/>
      <x:c r="W216" s="1"/>
      <x:c r="X216" s="1"/>
      <x:c r="Y216" s="1"/>
      <x:c r="Z216" s="1"/>
    </x:row>
    <x:row r="217" ht="58" customHeight="1">
      <x:c r="A217" s="17" t="n">
        <x:v>213</x:v>
      </x:c>
      <x:c r="B217" s="17" t="str">
        <x:v>B</x:v>
      </x:c>
      <x:c r="C217" s="17" t="str">
        <x:v>Cleaneye Job+</x:v>
      </x:c>
      <x:c r="D217" s="17" t="str">
        <x:v>수성문화재단</x:v>
      </x:c>
      <x:c r="E217" s="17" t="str">
        <x:v>2026년 제5차 범어도서관 기간제근로자 채용 공고</x:v>
      </x:c>
      <x:c r="F217" s="17" t="str">
        <x:v>신입+경력</x:v>
      </x:c>
      <x:c r="G217" s="17" t="str">
        <x:v>기간제</x:v>
      </x:c>
      <x:c r="H217" s="17" t="str">
        <x:v>대구광역시</x:v>
      </x:c>
      <x:c r="I217" s="17" t="str">
        <x:v>대구광역시 및 경상북도</x:v>
      </x:c>
      <x:c r="J217" s="17" t="str">
        <x:v>2026-09-15</x:v>
      </x:c>
      <x:c r="K217" s="17" t="str">
        <x:v>기간제·비정규</x:v>
      </x:c>
      <x:c r="L217" s="17" t="str">
        <x:v>검토</x:v>
      </x:c>
      <x:c r="M217" s="17" t="str">
        <x:v>제한 문구 미탐지</x:v>
      </x:c>
      <x:c r="N217" s="17" t="str">
        <x:v>포털 목록 확인</x:v>
      </x:c>
      <x:c r="O217" s="17" t="str">
        <x:v>기관 공고 원문 확인</x:v>
      </x:c>
      <x:c r="P217" s="17" t="str">
        <x:v>기관 공고 원문 확인</x:v>
      </x:c>
      <x:c r="Q217" s="17" t="str">
        <x:v>기관 공고 원문 확인</x:v>
      </x:c>
      <x:c r="R217" s="17" t="str">
        <x:v>기관 공고 원문 확인</x:v>
      </x:c>
      <x:c r="S217" s="18" t="str">
        <x:v>https://job.cleaneye.go.kr/user/ypRecruitment.do</x:v>
      </x:c>
      <x:c r="T217" s="1"/>
      <x:c r="U217" s="1"/>
      <x:c r="V217" s="1"/>
      <x:c r="W217" s="1"/>
      <x:c r="X217" s="1"/>
      <x:c r="Y217" s="1"/>
      <x:c r="Z217" s="1"/>
    </x:row>
    <x:row r="218" ht="58" customHeight="1">
      <x:c r="A218" s="17" t="n">
        <x:v>214</x:v>
      </x:c>
      <x:c r="B218" s="17" t="str">
        <x:v>B</x:v>
      </x:c>
      <x:c r="C218" s="17" t="str">
        <x:v>Cleaneye Job+</x:v>
      </x:c>
      <x:c r="D218" s="17" t="str">
        <x:v>양산시복지재단</x:v>
      </x:c>
      <x:c r="E218" s="17" t="str">
        <x:v>시나브로복지관 2026년 5차 직원 채용 공고</x:v>
      </x:c>
      <x:c r="F218" s="17" t="str">
        <x:v>신입+경력</x:v>
      </x:c>
      <x:c r="G218" s="17" t="str">
        <x:v>기간제</x:v>
      </x:c>
      <x:c r="H218" s="17" t="str">
        <x:v>경상남도</x:v>
      </x:c>
      <x:c r="I218" s="17" t="str">
        <x:v>명시 없음(원문 확인)</x:v>
      </x:c>
      <x:c r="J218" s="17" t="str">
        <x:v>2026-09-15</x:v>
      </x:c>
      <x:c r="K218" s="17" t="str">
        <x:v>기간제·비정규</x:v>
      </x:c>
      <x:c r="L218" s="17" t="str">
        <x:v>검토</x:v>
      </x:c>
      <x:c r="M218" s="17" t="str">
        <x:v>제한 문구 미탐지</x:v>
      </x:c>
      <x:c r="N218" s="17" t="str">
        <x:v>포털 목록 확인</x:v>
      </x:c>
      <x:c r="O218" s="17" t="str">
        <x:v>기관 공고 원문 확인</x:v>
      </x:c>
      <x:c r="P218" s="17" t="str">
        <x:v>기관 공고 원문 확인</x:v>
      </x:c>
      <x:c r="Q218" s="17" t="str">
        <x:v>기관 공고 원문 확인</x:v>
      </x:c>
      <x:c r="R218" s="17" t="str">
        <x:v>기관 공고 원문 확인</x:v>
      </x:c>
      <x:c r="S218" s="18" t="str">
        <x:v>https://job.cleaneye.go.kr/user/ypRecruitment.do</x:v>
      </x:c>
      <x:c r="T218" s="1"/>
      <x:c r="U218" s="1"/>
      <x:c r="V218" s="1"/>
      <x:c r="W218" s="1"/>
      <x:c r="X218" s="1"/>
      <x:c r="Y218" s="1"/>
      <x:c r="Z218" s="1"/>
    </x:row>
    <x:row r="219" ht="58" customHeight="1">
      <x:c r="A219" s="17" t="n">
        <x:v>215</x:v>
      </x:c>
      <x:c r="B219" s="17" t="str">
        <x:v>B</x:v>
      </x:c>
      <x:c r="C219" s="17" t="str">
        <x:v>Cleaneye Job+</x:v>
      </x:c>
      <x:c r="D219" s="17" t="str">
        <x:v>용인문화재단</x:v>
      </x:c>
      <x:c r="E219" s="17" t="str">
        <x:v>2026년 (재)용인문화재단 6차 기간제근로자(휴직대체인력) 채용 공고</x:v>
      </x:c>
      <x:c r="F219" s="17" t="str">
        <x:v>신입</x:v>
      </x:c>
      <x:c r="G219" s="17" t="str">
        <x:v>기간제</x:v>
      </x:c>
      <x:c r="H219" s="17" t="str">
        <x:v>경기도</x:v>
      </x:c>
      <x:c r="I219" s="17" t="str">
        <x:v>명시 없음(원문 확인)</x:v>
      </x:c>
      <x:c r="J219" s="17" t="str">
        <x:v>2026-09-15</x:v>
      </x:c>
      <x:c r="K219" s="17" t="str">
        <x:v>기간제·비정규</x:v>
      </x:c>
      <x:c r="L219" s="17" t="str">
        <x:v>검토</x:v>
      </x:c>
      <x:c r="M219" s="17" t="str">
        <x:v>제한 문구 미탐지</x:v>
      </x:c>
      <x:c r="N219" s="17" t="str">
        <x:v>포털 목록 확인</x:v>
      </x:c>
      <x:c r="O219" s="17" t="str">
        <x:v>기관 공고 원문 확인</x:v>
      </x:c>
      <x:c r="P219" s="17" t="str">
        <x:v>기관 공고 원문 확인</x:v>
      </x:c>
      <x:c r="Q219" s="17" t="str">
        <x:v>기관 공고 원문 확인</x:v>
      </x:c>
      <x:c r="R219" s="17" t="str">
        <x:v>기관 공고 원문 확인</x:v>
      </x:c>
      <x:c r="S219" s="18" t="str">
        <x:v>https://job.cleaneye.go.kr/user/ypRecruitment.do</x:v>
      </x:c>
      <x:c r="T219" s="1"/>
      <x:c r="U219" s="1"/>
      <x:c r="V219" s="1"/>
      <x:c r="W219" s="1"/>
      <x:c r="X219" s="1"/>
      <x:c r="Y219" s="1"/>
      <x:c r="Z219" s="1"/>
    </x:row>
    <x:row r="220" ht="58" customHeight="1">
      <x:c r="A220" s="17" t="n">
        <x:v>216</x:v>
      </x:c>
      <x:c r="B220" s="17" t="str">
        <x:v>B</x:v>
      </x:c>
      <x:c r="C220" s="17" t="str">
        <x:v>Cleaneye Job+</x:v>
      </x:c>
      <x:c r="D220" s="17" t="str">
        <x:v>재단법인 강원특별자치도 사회서비스원</x:v>
      </x:c>
      <x:c r="E220" s="17" t="str">
        <x:v>2026년 제6차 강원특별자치도 사회서비스원 기간제 계약직 채용공고</x:v>
      </x:c>
      <x:c r="F220" s="17" t="str">
        <x:v>신입+경력</x:v>
      </x:c>
      <x:c r="G220" s="17" t="str">
        <x:v>기간제</x:v>
      </x:c>
      <x:c r="H220" s="17" t="str">
        <x:v>강원특별자치도</x:v>
      </x:c>
      <x:c r="I220" s="17" t="str">
        <x:v>강원특별자치도</x:v>
      </x:c>
      <x:c r="J220" s="17" t="str">
        <x:v>2026-09-15</x:v>
      </x:c>
      <x:c r="K220" s="17" t="str">
        <x:v>기간제·비정규</x:v>
      </x:c>
      <x:c r="L220" s="17" t="str">
        <x:v>검토</x:v>
      </x:c>
      <x:c r="M220" s="17" t="str">
        <x:v>제한 문구 미탐지</x:v>
      </x:c>
      <x:c r="N220" s="17" t="str">
        <x:v>포털 목록 확인</x:v>
      </x:c>
      <x:c r="O220" s="17" t="str">
        <x:v>기관 공고 원문 확인</x:v>
      </x:c>
      <x:c r="P220" s="17" t="str">
        <x:v>기관 공고 원문 확인</x:v>
      </x:c>
      <x:c r="Q220" s="17" t="str">
        <x:v>기관 공고 원문 확인</x:v>
      </x:c>
      <x:c r="R220" s="17" t="str">
        <x:v>기관 공고 원문 확인</x:v>
      </x:c>
      <x:c r="S220" s="18" t="str">
        <x:v>https://job.cleaneye.go.kr/user/ypRecruitment.do</x:v>
      </x:c>
      <x:c r="T220" s="1"/>
      <x:c r="U220" s="1"/>
      <x:c r="V220" s="1"/>
      <x:c r="W220" s="1"/>
      <x:c r="X220" s="1"/>
      <x:c r="Y220" s="1"/>
      <x:c r="Z220" s="1"/>
    </x:row>
    <x:row r="221" ht="58" customHeight="1">
      <x:c r="A221" s="17" t="n">
        <x:v>217</x:v>
      </x:c>
      <x:c r="B221" s="17" t="str">
        <x:v>B</x:v>
      </x:c>
      <x:c r="C221" s="17" t="str">
        <x:v>Cleaneye Job+</x:v>
      </x:c>
      <x:c r="D221" s="17" t="str">
        <x:v>재단법인 전남인재평생교육진흥원</x:v>
      </x:c>
      <x:c r="E221" s="17" t="str">
        <x:v>2026년 제1차 전남인재평생교육진흥원 기간제근로자(출산휴가 및 육아휴직 대체인력) 채용 공고</x:v>
      </x:c>
      <x:c r="F221" s="17" t="str">
        <x:v>신입</x:v>
      </x:c>
      <x:c r="G221" s="17" t="str">
        <x:v>일반계약직</x:v>
      </x:c>
      <x:c r="H221" s="17" t="str">
        <x:v>전남광주통합특별시</x:v>
      </x:c>
      <x:c r="I221" s="17" t="str">
        <x:v>명시 없음(원문 확인)</x:v>
      </x:c>
      <x:c r="J221" s="17" t="str">
        <x:v>2026-09-15</x:v>
      </x:c>
      <x:c r="K221" s="17" t="str">
        <x:v>기간제·비정규</x:v>
      </x:c>
      <x:c r="L221" s="17" t="str">
        <x:v>검토</x:v>
      </x:c>
      <x:c r="M221" s="17" t="str">
        <x:v>제한 문구 미탐지</x:v>
      </x:c>
      <x:c r="N221" s="17" t="str">
        <x:v>포털 목록 확인</x:v>
      </x:c>
      <x:c r="O221" s="17" t="str">
        <x:v>기관 공고 원문 확인</x:v>
      </x:c>
      <x:c r="P221" s="17" t="str">
        <x:v>기관 공고 원문 확인</x:v>
      </x:c>
      <x:c r="Q221" s="17" t="str">
        <x:v>기관 공고 원문 확인</x:v>
      </x:c>
      <x:c r="R221" s="17" t="str">
        <x:v>기관 공고 원문 확인</x:v>
      </x:c>
      <x:c r="S221" s="18" t="str">
        <x:v>https://job.cleaneye.go.kr/user/ypRecruitment.do</x:v>
      </x:c>
      <x:c r="T221" s="1"/>
      <x:c r="U221" s="1"/>
      <x:c r="V221" s="1"/>
      <x:c r="W221" s="1"/>
      <x:c r="X221" s="1"/>
      <x:c r="Y221" s="1"/>
      <x:c r="Z221" s="1"/>
    </x:row>
    <x:row r="222" ht="58" customHeight="1">
      <x:c r="A222" s="17" t="n">
        <x:v>218</x:v>
      </x:c>
      <x:c r="B222" s="17" t="str">
        <x:v>B</x:v>
      </x:c>
      <x:c r="C222" s="17" t="str">
        <x:v>Cleaneye Job+</x:v>
      </x:c>
      <x:c r="D222" s="17" t="str">
        <x:v>화성시문화관광재단</x:v>
      </x:c>
      <x:c r="E222" s="17" t="str">
        <x:v>(재)화성시문화관광재단 봉담와우도서관 2026년 제2회 주말 기간제근로자 채용공고</x:v>
      </x:c>
      <x:c r="F222" s="17" t="str">
        <x:v>신입</x:v>
      </x:c>
      <x:c r="G222" s="17" t="str">
        <x:v>기간제</x:v>
      </x:c>
      <x:c r="H222" s="17" t="str">
        <x:v>경기도</x:v>
      </x:c>
      <x:c r="I222" s="17" t="str">
        <x:v>명시 없음(원문 확인)</x:v>
      </x:c>
      <x:c r="J222" s="17" t="str">
        <x:v>2026-09-15</x:v>
      </x:c>
      <x:c r="K222" s="17" t="str">
        <x:v>기간제·비정규</x:v>
      </x:c>
      <x:c r="L222" s="17" t="str">
        <x:v>검토</x:v>
      </x:c>
      <x:c r="M222" s="17" t="str">
        <x:v>제한 문구 미탐지</x:v>
      </x:c>
      <x:c r="N222" s="17" t="str">
        <x:v>포털 목록 확인</x:v>
      </x:c>
      <x:c r="O222" s="17" t="str">
        <x:v>기관 공고 원문 확인</x:v>
      </x:c>
      <x:c r="P222" s="17" t="str">
        <x:v>기관 공고 원문 확인</x:v>
      </x:c>
      <x:c r="Q222" s="17" t="str">
        <x:v>기관 공고 원문 확인</x:v>
      </x:c>
      <x:c r="R222" s="17" t="str">
        <x:v>기관 공고 원문 확인</x:v>
      </x:c>
      <x:c r="S222" s="18" t="str">
        <x:v>https://job.cleaneye.go.kr/user/ypRecruitment.do</x:v>
      </x:c>
      <x:c r="T222" s="1"/>
      <x:c r="U222" s="1"/>
      <x:c r="V222" s="1"/>
      <x:c r="W222" s="1"/>
      <x:c r="X222" s="1"/>
      <x:c r="Y222" s="1"/>
      <x:c r="Z222" s="1"/>
    </x:row>
    <x:row r="223" ht="58" customHeight="1">
      <x:c r="A223" s="17" t="n">
        <x:v>219</x:v>
      </x:c>
      <x:c r="B223" s="17" t="str">
        <x:v>B</x:v>
      </x:c>
      <x:c r="C223" s="17" t="str">
        <x:v>JOB-ALIO</x:v>
      </x:c>
      <x:c r="D223" s="17" t="str">
        <x:v>경북대학교병원</x:v>
      </x:c>
      <x:c r="E223" s="17" t="str">
        <x:v>2026년 제4차 정규직 공개채용 공고</x:v>
      </x:c>
      <x:c r="F223" s="17" t="str">
        <x:v>신입+경력</x:v>
      </x:c>
      <x:c r="G223" s="17" t="str">
        <x:v>정규직</x:v>
      </x:c>
      <x:c r="H223" s="17" t="str">
        <x:v>대구</x:v>
      </x:c>
      <x:c r="I223" s="17" t="str">
        <x:v>상세공고 확인</x:v>
      </x:c>
      <x:c r="J223" s="17" t="str">
        <x:v>2026-09-16</x:v>
      </x:c>
      <x:c r="K223" s="17" t="str">
        <x:v>정규직(세부 확인)</x:v>
      </x:c>
      <x:c r="L223" s="17" t="str">
        <x:v>검토</x:v>
      </x:c>
      <x:c r="M223" s="17" t="str">
        <x:v>제한 문구 미탐지</x:v>
      </x:c>
      <x:c r="N223" s="17" t="str">
        <x:v>상세 페이지 확인</x:v>
      </x:c>
      <x:c r="O223" s="17" t="str">
        <x:v>○ 행정직(법무), 별정직, 의료기술직, 시설기술직, 원무직, 간호조무직, 운영지원직 : 직무별 해당자격 소지자(세부사항 공고문 참조)</x:v>
      </x:c>
      <x:c r="P223" s="17" t="str">
        <x:v>1차: 지원서 자격적부 2차: 1차 필기전형/서류전형 3차: 2차 면접전형 최종: 3차 입사지원서 기재사항 진위확인 전형</x:v>
      </x:c>
      <x:c r="Q223" s="17" t="str">
        <x:v>1차: 지원서 자격적부 2차: 1차 필기전형/서류전형 3차: 2차 면접전형 최종: 3차 입사지원서 기재사항 진위확인 전형</x:v>
      </x:c>
      <x:c r="R223" s="17" t="str">
        <x:v>전기공사기사, 소방설비기사, 컴퓨터활용능력</x:v>
      </x:c>
      <x:c r="S223" s="18" t="str">
        <x:v>https://job.alio.go.kr/recruitview.do?idx=304548</x:v>
      </x:c>
      <x:c r="T223" s="1"/>
      <x:c r="U223" s="1"/>
      <x:c r="V223" s="1"/>
      <x:c r="W223" s="1"/>
      <x:c r="X223" s="1"/>
      <x:c r="Y223" s="1"/>
      <x:c r="Z223" s="1"/>
    </x:row>
    <x:row r="224" ht="58" customHeight="1">
      <x:c r="A224" s="17" t="n">
        <x:v>220</x:v>
      </x:c>
      <x:c r="B224" s="17" t="str">
        <x:v>B</x:v>
      </x:c>
      <x:c r="C224" s="17" t="str">
        <x:v>Cleaneye Job+</x:v>
      </x:c>
      <x:c r="D224" s="17" t="str">
        <x:v>화성도시공사</x:v>
      </x:c>
      <x:c r="E224" s="17" t="str">
        <x:v>2026년 제2회 전곡항마리나 기간제근로자 채용 공고</x:v>
      </x:c>
      <x:c r="F224" s="17" t="str">
        <x:v>신입</x:v>
      </x:c>
      <x:c r="G224" s="17" t="str">
        <x:v>기간제</x:v>
      </x:c>
      <x:c r="H224" s="17" t="str">
        <x:v>경기도</x:v>
      </x:c>
      <x:c r="I224" s="17" t="str">
        <x:v>명시 없음(원문 확인)</x:v>
      </x:c>
      <x:c r="J224" s="17" t="str">
        <x:v>2026-09-16</x:v>
      </x:c>
      <x:c r="K224" s="17" t="str">
        <x:v>기간제·비정규</x:v>
      </x:c>
      <x:c r="L224" s="17" t="str">
        <x:v>검토</x:v>
      </x:c>
      <x:c r="M224" s="17" t="str">
        <x:v>제한 문구 미탐지</x:v>
      </x:c>
      <x:c r="N224" s="17" t="str">
        <x:v>포털 목록 확인</x:v>
      </x:c>
      <x:c r="O224" s="17" t="str">
        <x:v>기관 공고 원문 확인</x:v>
      </x:c>
      <x:c r="P224" s="17" t="str">
        <x:v>기관 공고 원문 확인</x:v>
      </x:c>
      <x:c r="Q224" s="17" t="str">
        <x:v>기관 공고 원문 확인</x:v>
      </x:c>
      <x:c r="R224" s="17" t="str">
        <x:v>기관 공고 원문 확인</x:v>
      </x:c>
      <x:c r="S224" s="18" t="str">
        <x:v>https://job.cleaneye.go.kr/user/ypRecruitment.do</x:v>
      </x:c>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1:S1"/>
    <x:mergeCell ref="A2:S2"/>
  </x:mergeCells>
  <x:conditionalFormatting sqref="B5:B224">
    <x:cfRule type="containsText" dxfId="0" priority="1" operator="containsText" text="A"/>
    <x:cfRule type="containsText" dxfId="1" priority="2" operator="containsText" text="B"/>
    <x:cfRule type="containsText" dxfId="2" priority="3" operator="containsText" text="C"/>
  </x:conditionalFormatting>
  <x:conditionalFormatting sqref="L5:L224">
    <x:cfRule type="containsText" dxfId="3" priority="4" operator="containsText" text="우선검토"/>
    <x:cfRule type="containsText" dxfId="4" priority="5" operator="containsText" text="조건"/>
  </x:conditionalFormatting>
  <x:pageMargins left="0.7" right="0.7" top="0.75" bottom="0.75" header="0.3" footer="0.3"/>
  <x:tableParts count="1">
    <x:tablePart xmlns:r="http://schemas.openxmlformats.org/officeDocument/2006/relationships" r:id="Rf7e157889d794ae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6" hidden="0" customWidth="1"/>
    <x:col min="3" max="3" width="60" hidden="0" customWidth="1"/>
    <x:col min="4" max="4" width="20" hidden="0" customWidth="1"/>
    <x:col min="5" max="5" width="20" hidden="0" customWidth="1"/>
    <x:col min="6" max="6" width="14" hidden="0" customWidth="1"/>
    <x:col min="7" max="7" width="20" hidden="0" customWidth="1"/>
    <x:col min="8" max="8" width="22" hidden="0" customWidth="1"/>
    <x:col min="9" max="9" width="18" hidden="0" customWidth="1"/>
    <x:col min="10" max="10" width="24" hidden="0" customWidth="1"/>
    <x:col min="11" max="11" width="16" hidden="0" customWidth="1"/>
    <x:col min="12" max="12" width="18" hidden="0" customWidth="1"/>
    <x:col min="13" max="13" width="13" hidden="0" customWidth="1"/>
    <x:col min="14" max="14" width="32" hidden="0" customWidth="1"/>
    <x:col min="15" max="15" width="44" hidden="0" customWidth="1"/>
    <x:col min="16" max="16" width="24" hidden="0" customWidth="1"/>
    <x:col min="17" max="17" width="24" hidden="0" customWidth="1"/>
    <x:col min="18" max="18" width="50" hidden="0" customWidth="1"/>
    <x:col min="19" max="19" width="30" hidden="0" customWidth="1"/>
    <x:col min="20" max="20" width="56" hidden="0" customWidth="1"/>
    <x:col min="21" max="21" width="40" hidden="0" customWidth="1"/>
    <x:col min="22" max="22" width="18" hidden="0" customWidth="1"/>
    <x:col min="23" max="23" width="50" hidden="0" customWidth="1"/>
    <x:col min="24" max="24" width="50" hidden="0" customWidth="1"/>
  </x:cols>
  <x:sheetData>
    <x:row r="1" ht="32" customHeight="1">
      <x:c r="A1" s="4" t="str">
        <x:v>JOB-ALIO 진행 중 채용 419건</x:v>
      </x:c>
      <x:c r="B1" s="4"/>
      <x:c r="C1" s="4"/>
      <x:c r="D1" s="4"/>
      <x:c r="E1" s="4"/>
      <x:c r="F1" s="4"/>
      <x:c r="G1" s="4"/>
      <x:c r="H1" s="4"/>
      <x:c r="I1" s="4"/>
      <x:c r="J1" s="4"/>
      <x:c r="K1" s="4"/>
      <x:c r="L1" s="4"/>
      <x:c r="M1" s="4"/>
      <x:c r="N1" s="4"/>
      <x:c r="O1" s="4"/>
      <x:c r="P1" s="4"/>
      <x:c r="Q1" s="4"/>
      <x:c r="R1" s="4"/>
      <x:c r="S1" s="4"/>
      <x:c r="T1" s="4"/>
      <x:c r="U1" s="4"/>
      <x:c r="V1" s="4"/>
      <x:c r="W1" s="4"/>
      <x:c r="X1" s="4"/>
      <x:c r="Y1" s="1"/>
      <x:c r="Z1" s="1"/>
    </x:row>
    <x:row r="2" ht="38" customHeight="1">
      <x:c r="A2" s="8" t="str">
        <x:v>2026-09-09 KST 화면 기준 진행 중 전체 결과. 기본 항목은 포털에서 확인했고, 26개 우선공고만 상세 페이지의 응시자격·전형·면접·우대조건을 추가 검증했습니다.</x:v>
      </x:c>
      <x:c r="B2" s="8"/>
      <x:c r="C2" s="8"/>
      <x:c r="D2" s="8"/>
      <x:c r="E2" s="8"/>
      <x:c r="F2" s="8"/>
      <x:c r="G2" s="8"/>
      <x:c r="H2" s="8"/>
      <x:c r="I2" s="8"/>
      <x:c r="J2" s="8"/>
      <x:c r="K2" s="8"/>
      <x:c r="L2" s="8"/>
      <x:c r="M2" s="8"/>
      <x:c r="N2" s="8"/>
      <x:c r="O2" s="8"/>
      <x:c r="P2" s="8"/>
      <x:c r="Q2" s="8"/>
      <x:c r="R2" s="8"/>
      <x:c r="S2" s="8"/>
      <x:c r="T2" s="8"/>
      <x:c r="U2" s="8"/>
      <x:c r="V2" s="8"/>
      <x:c r="W2" s="8"/>
      <x:c r="X2" s="8"/>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ht="36" customHeight="1">
      <x:c r="A4" s="14" t="str">
        <x:v>포털번호</x:v>
      </x:c>
      <x:c r="B4" s="14" t="str">
        <x:v>기관명</x:v>
      </x:c>
      <x:c r="C4" s="14" t="str">
        <x:v>공고명</x:v>
      </x:c>
      <x:c r="D4" s="14" t="str">
        <x:v>근무지역</x:v>
      </x:c>
      <x:c r="E4" s="14" t="str">
        <x:v>고용형태</x:v>
      </x:c>
      <x:c r="F4" s="14" t="str">
        <x:v>등록일</x:v>
      </x:c>
      <x:c r="G4" s="14" t="str">
        <x:v>마감표시</x:v>
      </x:c>
      <x:c r="H4" s="14" t="str">
        <x:v>채용트랙</x:v>
      </x:c>
      <x:c r="I4" s="14" t="str">
        <x:v>일반취준생 분류</x:v>
      </x:c>
      <x:c r="J4" s="14" t="str">
        <x:v>제한경쟁 표시</x:v>
      </x:c>
      <x:c r="K4" s="14" t="str">
        <x:v>채용구분</x:v>
      </x:c>
      <x:c r="L4" s="14" t="str">
        <x:v>학력</x:v>
      </x:c>
      <x:c r="M4" s="14" t="str">
        <x:v>채용인원</x:v>
      </x:c>
      <x:c r="N4" s="14" t="str">
        <x:v>NCS</x:v>
      </x:c>
      <x:c r="O4" s="14" t="str">
        <x:v>우대조건</x:v>
      </x:c>
      <x:c r="P4" s="14" t="str">
        <x:v>지역인재</x:v>
      </x:c>
      <x:c r="Q4" s="14" t="str">
        <x:v>지역 지원제한</x:v>
      </x:c>
      <x:c r="R4" s="14" t="str">
        <x:v>응시자격</x:v>
      </x:c>
      <x:c r="S4" s="14" t="str">
        <x:v>추가 자격증 언급</x:v>
      </x:c>
      <x:c r="T4" s="14" t="str">
        <x:v>전형절차</x:v>
      </x:c>
      <x:c r="U4" s="14" t="str">
        <x:v>면접정보</x:v>
      </x:c>
      <x:c r="V4" s="14" t="str">
        <x:v>검증수준</x:v>
      </x:c>
      <x:c r="W4" s="14" t="str">
        <x:v>입사지원 URL</x:v>
      </x:c>
      <x:c r="X4" s="14" t="str">
        <x:v>JOB-ALIO 상세</x:v>
      </x:c>
      <x:c r="Y4" s="1"/>
      <x:c r="Z4" s="1"/>
    </x:row>
    <x:row r="5" ht="54" customHeight="1">
      <x:c r="A5" s="17" t="n">
        <x:v>419</x:v>
      </x:c>
      <x:c r="B5" s="17" t="str">
        <x:v>한국토지주택공사</x:v>
      </x:c>
      <x:c r="C5" s="17" t="str">
        <x:v>한국토지주택공사 광주전남지역본부 기간제근로자(사업관리) 채용공고(2026.09)</x:v>
      </x:c>
      <x:c r="D5" s="17" t="str">
        <x:v>전남광주</x:v>
      </x:c>
      <x:c r="E5" s="17" t="str">
        <x:v>비정규직</x:v>
      </x:c>
      <x:c r="F5" s="17" t="str">
        <x:v>2026.09.09</x:v>
      </x:c>
      <x:c r="G5" s="17" t="str">
        <x:v>26.09.23 D-14</x:v>
      </x:c>
      <x:c r="H5" s="17" t="str">
        <x:v>기간제·비정규</x:v>
      </x:c>
      <x:c r="I5" s="17" t="str">
        <x:v>세부조건 확인</x:v>
      </x:c>
      <x:c r="J5" s="17" t="str">
        <x:v>제한 문구 미탐지</x:v>
      </x:c>
      <x:c r="K5" s="17" t="str">
        <x:v>상세공고 확인</x:v>
      </x:c>
      <x:c r="L5" s="17" t="str">
        <x:v>상세공고 확인</x:v>
      </x:c>
      <x:c r="M5" s="17" t="str">
        <x:v>상세공고 확인</x:v>
      </x:c>
      <x:c r="N5" s="17" t="str">
        <x:v>상세공고 확인</x:v>
      </x:c>
      <x:c r="O5" s="17" t="str">
        <x:v>상세공고 확인</x:v>
      </x:c>
      <x:c r="P5" s="17" t="str">
        <x:v>상세공고 확인</x:v>
      </x:c>
      <x:c r="Q5" s="17" t="str">
        <x:v>상세공고 확인</x:v>
      </x:c>
      <x:c r="R5" s="17" t="str">
        <x:v>상세공고 확인</x:v>
      </x:c>
      <x:c r="S5" s="17" t="str">
        <x:v>상세공고 확인</x:v>
      </x:c>
      <x:c r="T5" s="17" t="str">
        <x:v>상세공고 확인</x:v>
      </x:c>
      <x:c r="U5" s="17" t="str">
        <x:v>상세공고 확인</x:v>
      </x:c>
      <x:c r="V5" s="17" t="str">
        <x:v>목록 항목 확인</x:v>
      </x:c>
      <x:c r="W5" s="17" t="str">
        <x:v>공고 상세에서 확인</x:v>
      </x:c>
      <x:c r="X5" s="18" t="str">
        <x:v>https://job.alio.go.kr/recruitview.do?idx=304765</x:v>
      </x:c>
      <x:c r="Y5" s="1"/>
      <x:c r="Z5" s="1"/>
    </x:row>
    <x:row r="6" ht="54" customHeight="1">
      <x:c r="A6" s="17" t="n">
        <x:v>418</x:v>
      </x:c>
      <x:c r="B6" s="17" t="str">
        <x:v>한국장애인개발원</x:v>
      </x:c>
      <x:c r="C6" s="17" t="str">
        <x:v>[제2026-97호] 2026년도 제6차 대구광역시장애아동·발달장애인지원센터 청년인턴(장애인 제한경쟁) 채용 공고</x:v>
      </x:c>
      <x:c r="D6" s="17" t="str">
        <x:v>대구</x:v>
      </x:c>
      <x:c r="E6" s="17" t="str">
        <x:v>청년인턴(체험형)</x:v>
      </x:c>
      <x:c r="F6" s="17" t="str">
        <x:v>2026.09.09</x:v>
      </x:c>
      <x:c r="G6" s="17" t="str">
        <x:v>26.09.23 D-14</x:v>
      </x:c>
      <x:c r="H6" s="17" t="str">
        <x:v>제한경쟁·조건부</x:v>
      </x:c>
      <x:c r="I6" s="17" t="str">
        <x:v>조건 충족자만</x:v>
      </x:c>
      <x:c r="J6" s="17" t="str">
        <x:v>장애 관련 제한경쟁</x:v>
      </x:c>
      <x:c r="K6" s="17" t="str">
        <x:v>상세공고 확인</x:v>
      </x:c>
      <x:c r="L6" s="17" t="str">
        <x:v>상세공고 확인</x:v>
      </x:c>
      <x:c r="M6" s="17" t="str">
        <x:v>상세공고 확인</x:v>
      </x:c>
      <x:c r="N6" s="17" t="str">
        <x:v>상세공고 확인</x:v>
      </x:c>
      <x:c r="O6" s="17" t="str">
        <x:v>상세공고 확인</x:v>
      </x:c>
      <x:c r="P6" s="17" t="str">
        <x:v>상세공고 확인</x:v>
      </x:c>
      <x:c r="Q6" s="17" t="str">
        <x:v>상세공고 확인</x:v>
      </x:c>
      <x:c r="R6" s="17" t="str">
        <x:v>상세공고 확인</x:v>
      </x:c>
      <x:c r="S6" s="17" t="str">
        <x:v>상세공고 확인</x:v>
      </x:c>
      <x:c r="T6" s="17" t="str">
        <x:v>상세공고 확인</x:v>
      </x:c>
      <x:c r="U6" s="17" t="str">
        <x:v>상세공고 확인</x:v>
      </x:c>
      <x:c r="V6" s="17" t="str">
        <x:v>목록 항목 확인</x:v>
      </x:c>
      <x:c r="W6" s="17" t="str">
        <x:v>공고 상세에서 확인</x:v>
      </x:c>
      <x:c r="X6" s="18" t="str">
        <x:v>https://job.alio.go.kr/recruitview.do?idx=304743</x:v>
      </x:c>
      <x:c r="Y6" s="1"/>
      <x:c r="Z6" s="1"/>
    </x:row>
    <x:row r="7" ht="54" customHeight="1">
      <x:c r="A7" s="17" t="n">
        <x:v>417</x:v>
      </x:c>
      <x:c r="B7" s="17" t="str">
        <x:v>학교법인한국폴리텍</x:v>
      </x:c>
      <x:c r="C7" s="17" t="str">
        <x:v>한국폴리텍대학 청주캠퍼스 하반기 청년인턴(일반) 채용 공고</x:v>
      </x:c>
      <x:c r="D7" s="17" t="str">
        <x:v>충북</x:v>
      </x:c>
      <x:c r="E7" s="17" t="str">
        <x:v>청년인턴(체험형)</x:v>
      </x:c>
      <x:c r="F7" s="17" t="str">
        <x:v>2026.09.09</x:v>
      </x:c>
      <x:c r="G7" s="17" t="str">
        <x:v>26.09.18 D-9</x:v>
      </x:c>
      <x:c r="H7" s="17" t="str">
        <x:v>체험형·청년인턴</x:v>
      </x:c>
      <x:c r="I7" s="17" t="str">
        <x:v>우선검토</x:v>
      </x:c>
      <x:c r="J7" s="17" t="str">
        <x:v>제한 문구 미탐지</x:v>
      </x:c>
      <x:c r="K7" s="17" t="str">
        <x:v>상세공고 확인</x:v>
      </x:c>
      <x:c r="L7" s="17" t="str">
        <x:v>상세공고 확인</x:v>
      </x:c>
      <x:c r="M7" s="17" t="str">
        <x:v>상세공고 확인</x:v>
      </x:c>
      <x:c r="N7" s="17" t="str">
        <x:v>상세공고 확인</x:v>
      </x:c>
      <x:c r="O7" s="17" t="str">
        <x:v>상세공고 확인</x:v>
      </x:c>
      <x:c r="P7" s="17" t="str">
        <x:v>상세공고 확인</x:v>
      </x:c>
      <x:c r="Q7" s="17" t="str">
        <x:v>상세공고 확인</x:v>
      </x:c>
      <x:c r="R7" s="17" t="str">
        <x:v>상세공고 확인</x:v>
      </x:c>
      <x:c r="S7" s="17" t="str">
        <x:v>상세공고 확인</x:v>
      </x:c>
      <x:c r="T7" s="17" t="str">
        <x:v>상세공고 확인</x:v>
      </x:c>
      <x:c r="U7" s="17" t="str">
        <x:v>상세공고 확인</x:v>
      </x:c>
      <x:c r="V7" s="17" t="str">
        <x:v>목록 항목 확인</x:v>
      </x:c>
      <x:c r="W7" s="17" t="str">
        <x:v>공고 상세에서 확인</x:v>
      </x:c>
      <x:c r="X7" s="18" t="str">
        <x:v>https://job.alio.go.kr/recruitview.do?idx=304741</x:v>
      </x:c>
      <x:c r="Y7" s="1"/>
      <x:c r="Z7" s="1"/>
    </x:row>
    <x:row r="8" ht="54" customHeight="1">
      <x:c r="A8" s="17" t="n">
        <x:v>416</x:v>
      </x:c>
      <x:c r="B8" s="17" t="str">
        <x:v>한전KDN</x:v>
      </x:c>
      <x:c r="C8" s="17" t="str">
        <x:v>한전KDN(주) 진주지사 배전분야 비정규직 모집공고</x:v>
      </x:c>
      <x:c r="D8" s="17" t="str">
        <x:v>경남</x:v>
      </x:c>
      <x:c r="E8" s="17" t="str">
        <x:v>비정규직</x:v>
      </x:c>
      <x:c r="F8" s="17" t="str">
        <x:v>2026.09.09</x:v>
      </x:c>
      <x:c r="G8" s="17" t="str">
        <x:v>26.09.23 D-14</x:v>
      </x:c>
      <x:c r="H8" s="17" t="str">
        <x:v>기간제·비정규</x:v>
      </x:c>
      <x:c r="I8" s="17" t="str">
        <x:v>세부조건 확인</x:v>
      </x:c>
      <x:c r="J8" s="17" t="str">
        <x:v>제한 문구 미탐지</x:v>
      </x:c>
      <x:c r="K8" s="17" t="str">
        <x:v>상세공고 확인</x:v>
      </x:c>
      <x:c r="L8" s="17" t="str">
        <x:v>상세공고 확인</x:v>
      </x:c>
      <x:c r="M8" s="17" t="str">
        <x:v>상세공고 확인</x:v>
      </x:c>
      <x:c r="N8" s="17" t="str">
        <x:v>상세공고 확인</x:v>
      </x:c>
      <x:c r="O8" s="17" t="str">
        <x:v>상세공고 확인</x:v>
      </x:c>
      <x:c r="P8" s="17" t="str">
        <x:v>상세공고 확인</x:v>
      </x:c>
      <x:c r="Q8" s="17" t="str">
        <x:v>상세공고 확인</x:v>
      </x:c>
      <x:c r="R8" s="17" t="str">
        <x:v>상세공고 확인</x:v>
      </x:c>
      <x:c r="S8" s="17" t="str">
        <x:v>상세공고 확인</x:v>
      </x:c>
      <x:c r="T8" s="17" t="str">
        <x:v>상세공고 확인</x:v>
      </x:c>
      <x:c r="U8" s="17" t="str">
        <x:v>상세공고 확인</x:v>
      </x:c>
      <x:c r="V8" s="17" t="str">
        <x:v>목록 항목 확인</x:v>
      </x:c>
      <x:c r="W8" s="17" t="str">
        <x:v>공고 상세에서 확인</x:v>
      </x:c>
      <x:c r="X8" s="18" t="str">
        <x:v>https://job.alio.go.kr/recruitview.do?idx=304726</x:v>
      </x:c>
      <x:c r="Y8" s="1"/>
      <x:c r="Z8" s="1"/>
    </x:row>
    <x:row r="9" ht="54" customHeight="1">
      <x:c r="A9" s="17" t="n">
        <x:v>415</x:v>
      </x:c>
      <x:c r="B9" s="17" t="str">
        <x:v>대한적십자사</x:v>
      </x:c>
      <x:c r="C9" s="17" t="str">
        <x:v>2026년도 혈장분획센터 정규직 연구원 채용 공고</x:v>
      </x:c>
      <x:c r="D9" s="17" t="str">
        <x:v>충북</x:v>
      </x:c>
      <x:c r="E9" s="17" t="str">
        <x:v>정규직</x:v>
      </x:c>
      <x:c r="F9" s="17" t="str">
        <x:v>2026.09.09</x:v>
      </x:c>
      <x:c r="G9" s="17" t="str">
        <x:v>26.09.30 D-21</x:v>
      </x:c>
      <x:c r="H9" s="17" t="str">
        <x:v>정규직(세부 확인)</x:v>
      </x:c>
      <x:c r="I9" s="17" t="str">
        <x:v>세부조건 확인</x:v>
      </x:c>
      <x:c r="J9" s="17" t="str">
        <x:v>제한 문구 미탐지</x:v>
      </x:c>
      <x:c r="K9" s="17" t="str">
        <x:v>상세공고 확인</x:v>
      </x:c>
      <x:c r="L9" s="17" t="str">
        <x:v>상세공고 확인</x:v>
      </x:c>
      <x:c r="M9" s="17" t="str">
        <x:v>상세공고 확인</x:v>
      </x:c>
      <x:c r="N9" s="17" t="str">
        <x:v>상세공고 확인</x:v>
      </x:c>
      <x:c r="O9" s="17" t="str">
        <x:v>상세공고 확인</x:v>
      </x:c>
      <x:c r="P9" s="17" t="str">
        <x:v>상세공고 확인</x:v>
      </x:c>
      <x:c r="Q9" s="17" t="str">
        <x:v>상세공고 확인</x:v>
      </x:c>
      <x:c r="R9" s="17" t="str">
        <x:v>상세공고 확인</x:v>
      </x:c>
      <x:c r="S9" s="17" t="str">
        <x:v>상세공고 확인</x:v>
      </x:c>
      <x:c r="T9" s="17" t="str">
        <x:v>상세공고 확인</x:v>
      </x:c>
      <x:c r="U9" s="17" t="str">
        <x:v>상세공고 확인</x:v>
      </x:c>
      <x:c r="V9" s="17" t="str">
        <x:v>목록 항목 확인</x:v>
      </x:c>
      <x:c r="W9" s="17" t="str">
        <x:v>공고 상세에서 확인</x:v>
      </x:c>
      <x:c r="X9" s="18" t="str">
        <x:v>https://job.alio.go.kr/recruitview.do?idx=304628</x:v>
      </x:c>
      <x:c r="Y9" s="1"/>
      <x:c r="Z9" s="1"/>
    </x:row>
    <x:row r="10" ht="54" customHeight="1">
      <x:c r="A10" s="17" t="n">
        <x:v>414</x:v>
      </x:c>
      <x:c r="B10" s="17" t="str">
        <x:v>(재)한국우편사업진흥원</x:v>
      </x:c>
      <x:c r="C10" s="17" t="str">
        <x:v>한국우편사업진흥원 기간제 근로자 채용</x:v>
      </x:c>
      <x:c r="D10" s="17" t="str">
        <x:v>서울</x:v>
      </x:c>
      <x:c r="E10" s="17" t="str">
        <x:v>비정규직</x:v>
      </x:c>
      <x:c r="F10" s="17" t="str">
        <x:v>2026.09.08</x:v>
      </x:c>
      <x:c r="G10" s="17" t="str">
        <x:v>26.09.22 D-13</x:v>
      </x:c>
      <x:c r="H10" s="17" t="str">
        <x:v>기간제·비정규</x:v>
      </x:c>
      <x:c r="I10" s="17" t="str">
        <x:v>세부조건 확인</x:v>
      </x:c>
      <x:c r="J10" s="17" t="str">
        <x:v>제한 문구 미탐지</x:v>
      </x:c>
      <x:c r="K10" s="17" t="str">
        <x:v>상세공고 확인</x:v>
      </x:c>
      <x:c r="L10" s="17" t="str">
        <x:v>상세공고 확인</x:v>
      </x:c>
      <x:c r="M10" s="17" t="str">
        <x:v>상세공고 확인</x:v>
      </x:c>
      <x:c r="N10" s="17" t="str">
        <x:v>상세공고 확인</x:v>
      </x:c>
      <x:c r="O10" s="17" t="str">
        <x:v>상세공고 확인</x:v>
      </x:c>
      <x:c r="P10" s="17" t="str">
        <x:v>상세공고 확인</x:v>
      </x:c>
      <x:c r="Q10" s="17" t="str">
        <x:v>상세공고 확인</x:v>
      </x:c>
      <x:c r="R10" s="17" t="str">
        <x:v>상세공고 확인</x:v>
      </x:c>
      <x:c r="S10" s="17" t="str">
        <x:v>상세공고 확인</x:v>
      </x:c>
      <x:c r="T10" s="17" t="str">
        <x:v>상세공고 확인</x:v>
      </x:c>
      <x:c r="U10" s="17" t="str">
        <x:v>상세공고 확인</x:v>
      </x:c>
      <x:c r="V10" s="17" t="str">
        <x:v>목록 항목 확인</x:v>
      </x:c>
      <x:c r="W10" s="17" t="str">
        <x:v>공고 상세에서 확인</x:v>
      </x:c>
      <x:c r="X10" s="18" t="str">
        <x:v>https://job.alio.go.kr/recruitview.do?idx=304772</x:v>
      </x:c>
      <x:c r="Y10" s="1"/>
      <x:c r="Z10" s="1"/>
    </x:row>
    <x:row r="11" ht="54" customHeight="1">
      <x:c r="A11" s="17" t="n">
        <x:v>413</x:v>
      </x:c>
      <x:c r="B11" s="17" t="str">
        <x:v>국립호남권생물자원관</x:v>
      </x:c>
      <x:c r="C11" s="17" t="str">
        <x:v>국립호남권생물자원관 기간제ㆍ단시간 근로자(급식종사자) 채용공고</x:v>
      </x:c>
      <x:c r="D11" s="17" t="str">
        <x:v>전남광주</x:v>
      </x:c>
      <x:c r="E11" s="17" t="str">
        <x:v>비정규직</x:v>
      </x:c>
      <x:c r="F11" s="17" t="str">
        <x:v>2026.09.08</x:v>
      </x:c>
      <x:c r="G11" s="17" t="str">
        <x:v>26.09.14 D-5</x:v>
      </x:c>
      <x:c r="H11" s="17" t="str">
        <x:v>기간제·비정규</x:v>
      </x:c>
      <x:c r="I11" s="17" t="str">
        <x:v>세부조건 확인</x:v>
      </x:c>
      <x:c r="J11" s="17" t="str">
        <x:v>제한 문구 미탐지</x:v>
      </x:c>
      <x:c r="K11" s="17" t="str">
        <x:v>상세공고 확인</x:v>
      </x:c>
      <x:c r="L11" s="17" t="str">
        <x:v>상세공고 확인</x:v>
      </x:c>
      <x:c r="M11" s="17" t="str">
        <x:v>상세공고 확인</x:v>
      </x:c>
      <x:c r="N11" s="17" t="str">
        <x:v>상세공고 확인</x:v>
      </x:c>
      <x:c r="O11" s="17" t="str">
        <x:v>상세공고 확인</x:v>
      </x:c>
      <x:c r="P11" s="17" t="str">
        <x:v>상세공고 확인</x:v>
      </x:c>
      <x:c r="Q11" s="17" t="str">
        <x:v>상세공고 확인</x:v>
      </x:c>
      <x:c r="R11" s="17" t="str">
        <x:v>상세공고 확인</x:v>
      </x:c>
      <x:c r="S11" s="17" t="str">
        <x:v>상세공고 확인</x:v>
      </x:c>
      <x:c r="T11" s="17" t="str">
        <x:v>상세공고 확인</x:v>
      </x:c>
      <x:c r="U11" s="17" t="str">
        <x:v>상세공고 확인</x:v>
      </x:c>
      <x:c r="V11" s="17" t="str">
        <x:v>목록 항목 확인</x:v>
      </x:c>
      <x:c r="W11" s="17" t="str">
        <x:v>공고 상세에서 확인</x:v>
      </x:c>
      <x:c r="X11" s="18" t="str">
        <x:v>https://job.alio.go.kr/recruitview.do?idx=304771</x:v>
      </x:c>
      <x:c r="Y11" s="1"/>
      <x:c r="Z11" s="1"/>
    </x:row>
    <x:row r="12" ht="54" customHeight="1">
      <x:c r="A12" s="17" t="n">
        <x:v>412</x:v>
      </x:c>
      <x:c r="B12" s="17" t="str">
        <x:v>한국보훈복지의료공단</x:v>
      </x:c>
      <x:c r="C12" s="17" t="str">
        <x:v>[광주보훈병원] 청년인턴(체험형) 채용 공고</x:v>
      </x:c>
      <x:c r="D12" s="17" t="str">
        <x:v>전남광주</x:v>
      </x:c>
      <x:c r="E12" s="17" t="str">
        <x:v>청년인턴(체험형)</x:v>
      </x:c>
      <x:c r="F12" s="17" t="str">
        <x:v>2026.09.08</x:v>
      </x:c>
      <x:c r="G12" s="17" t="str">
        <x:v>26.09.18 D-9</x:v>
      </x:c>
      <x:c r="H12" s="17" t="str">
        <x:v>체험형·청년인턴</x:v>
      </x:c>
      <x:c r="I12" s="17" t="str">
        <x:v>세부조건 확인</x:v>
      </x:c>
      <x:c r="J12" s="17" t="str">
        <x:v>제한 문구 미탐지</x:v>
      </x:c>
      <x:c r="K12" s="17" t="str">
        <x:v>상세공고 확인</x:v>
      </x:c>
      <x:c r="L12" s="17" t="str">
        <x:v>상세공고 확인</x:v>
      </x:c>
      <x:c r="M12" s="17" t="str">
        <x:v>상세공고 확인</x:v>
      </x:c>
      <x:c r="N12" s="17" t="str">
        <x:v>상세공고 확인</x:v>
      </x:c>
      <x:c r="O12" s="17" t="str">
        <x:v>상세공고 확인</x:v>
      </x:c>
      <x:c r="P12" s="17" t="str">
        <x:v>상세공고 확인</x:v>
      </x:c>
      <x:c r="Q12" s="17" t="str">
        <x:v>상세공고 확인</x:v>
      </x:c>
      <x:c r="R12" s="17" t="str">
        <x:v>상세공고 확인</x:v>
      </x:c>
      <x:c r="S12" s="17" t="str">
        <x:v>상세공고 확인</x:v>
      </x:c>
      <x:c r="T12" s="17" t="str">
        <x:v>상세공고 확인</x:v>
      </x:c>
      <x:c r="U12" s="17" t="str">
        <x:v>상세공고 확인</x:v>
      </x:c>
      <x:c r="V12" s="17" t="str">
        <x:v>목록 항목 확인</x:v>
      </x:c>
      <x:c r="W12" s="17" t="str">
        <x:v>공고 상세에서 확인</x:v>
      </x:c>
      <x:c r="X12" s="18" t="str">
        <x:v>https://job.alio.go.kr/recruitview.do?idx=304770</x:v>
      </x:c>
      <x:c r="Y12" s="1"/>
      <x:c r="Z12" s="1"/>
    </x:row>
    <x:row r="13" ht="54" customHeight="1">
      <x:c r="A13" s="17" t="n">
        <x:v>411</x:v>
      </x:c>
      <x:c r="B13" s="17" t="str">
        <x:v>산업연구원</x:v>
      </x:c>
      <x:c r="C13" s="17" t="str">
        <x:v>2026년 제6차 청년인턴 채용공고(장애인 제한경쟁)</x:v>
      </x:c>
      <x:c r="D13" s="17" t="str">
        <x:v>세종</x:v>
      </x:c>
      <x:c r="E13" s="17" t="str">
        <x:v>청년인턴(체험형)</x:v>
      </x:c>
      <x:c r="F13" s="17" t="str">
        <x:v>2026.09.08</x:v>
      </x:c>
      <x:c r="G13" s="17" t="str">
        <x:v>26.09.23 D-14</x:v>
      </x:c>
      <x:c r="H13" s="17" t="str">
        <x:v>제한경쟁·조건부</x:v>
      </x:c>
      <x:c r="I13" s="17" t="str">
        <x:v>조건 충족자만</x:v>
      </x:c>
      <x:c r="J13" s="17" t="str">
        <x:v>장애 관련 제한경쟁</x:v>
      </x:c>
      <x:c r="K13" s="17" t="str">
        <x:v>상세공고 확인</x:v>
      </x:c>
      <x:c r="L13" s="17" t="str">
        <x:v>상세공고 확인</x:v>
      </x:c>
      <x:c r="M13" s="17" t="str">
        <x:v>상세공고 확인</x:v>
      </x:c>
      <x:c r="N13" s="17" t="str">
        <x:v>상세공고 확인</x:v>
      </x:c>
      <x:c r="O13" s="17" t="str">
        <x:v>상세공고 확인</x:v>
      </x:c>
      <x:c r="P13" s="17" t="str">
        <x:v>상세공고 확인</x:v>
      </x:c>
      <x:c r="Q13" s="17" t="str">
        <x:v>상세공고 확인</x:v>
      </x:c>
      <x:c r="R13" s="17" t="str">
        <x:v>상세공고 확인</x:v>
      </x:c>
      <x:c r="S13" s="17" t="str">
        <x:v>상세공고 확인</x:v>
      </x:c>
      <x:c r="T13" s="17" t="str">
        <x:v>상세공고 확인</x:v>
      </x:c>
      <x:c r="U13" s="17" t="str">
        <x:v>상세공고 확인</x:v>
      </x:c>
      <x:c r="V13" s="17" t="str">
        <x:v>목록 항목 확인</x:v>
      </x:c>
      <x:c r="W13" s="17" t="str">
        <x:v>공고 상세에서 확인</x:v>
      </x:c>
      <x:c r="X13" s="18" t="str">
        <x:v>https://job.alio.go.kr/recruitview.do?idx=304769</x:v>
      </x:c>
      <x:c r="Y13" s="1"/>
      <x:c r="Z13" s="1"/>
    </x:row>
    <x:row r="14" ht="54" customHeight="1">
      <x:c r="A14" s="17" t="n">
        <x:v>410</x:v>
      </x:c>
      <x:c r="B14" s="17" t="str">
        <x:v>한국전력공사</x:v>
      </x:c>
      <x:c r="C14" s="17" t="str">
        <x:v>2026년도 제4차 전문직원 채용공고</x:v>
      </x:c>
      <x:c r="D14" s="17" t="str">
        <x:v>서울 외 2</x:v>
      </x:c>
      <x:c r="E14" s="17" t="str">
        <x:v>정규직</x:v>
      </x:c>
      <x:c r="F14" s="17" t="str">
        <x:v>2026.09.08</x:v>
      </x:c>
      <x:c r="G14" s="17" t="str">
        <x:v>26.09.22 D-13</x:v>
      </x:c>
      <x:c r="H14" s="17" t="str">
        <x:v>경력·전문직</x:v>
      </x:c>
      <x:c r="I14" s="17" t="str">
        <x:v>경력·전문 우선</x:v>
      </x:c>
      <x:c r="J14" s="17" t="str">
        <x:v>제한 문구 미탐지</x:v>
      </x:c>
      <x:c r="K14" s="17" t="str">
        <x:v>상세공고 확인</x:v>
      </x:c>
      <x:c r="L14" s="17" t="str">
        <x:v>상세공고 확인</x:v>
      </x:c>
      <x:c r="M14" s="17" t="str">
        <x:v>상세공고 확인</x:v>
      </x:c>
      <x:c r="N14" s="17" t="str">
        <x:v>상세공고 확인</x:v>
      </x:c>
      <x:c r="O14" s="17" t="str">
        <x:v>상세공고 확인</x:v>
      </x:c>
      <x:c r="P14" s="17" t="str">
        <x:v>상세공고 확인</x:v>
      </x:c>
      <x:c r="Q14" s="17" t="str">
        <x:v>상세공고 확인</x:v>
      </x:c>
      <x:c r="R14" s="17" t="str">
        <x:v>상세공고 확인</x:v>
      </x:c>
      <x:c r="S14" s="17" t="str">
        <x:v>상세공고 확인</x:v>
      </x:c>
      <x:c r="T14" s="17" t="str">
        <x:v>상세공고 확인</x:v>
      </x:c>
      <x:c r="U14" s="17" t="str">
        <x:v>상세공고 확인</x:v>
      </x:c>
      <x:c r="V14" s="17" t="str">
        <x:v>목록 항목 확인</x:v>
      </x:c>
      <x:c r="W14" s="17" t="str">
        <x:v>공고 상세에서 확인</x:v>
      </x:c>
      <x:c r="X14" s="18" t="str">
        <x:v>https://job.alio.go.kr/recruitview.do?idx=304768</x:v>
      </x:c>
      <x:c r="Y14" s="1"/>
      <x:c r="Z14" s="1"/>
    </x:row>
    <x:row r="15" ht="54" customHeight="1">
      <x:c r="A15" s="17" t="n">
        <x:v>409</x:v>
      </x:c>
      <x:c r="B15" s="17" t="str">
        <x:v>서울대학교병원</x:v>
      </x:c>
      <x:c r="C15" s="17" t="str">
        <x:v>서울대학교병원 블라인드 직원채용 (대체근로자) 공고 (장애인 특별우대)</x:v>
      </x:c>
      <x:c r="D15" s="17" t="str">
        <x:v>서울</x:v>
      </x:c>
      <x:c r="E15" s="17" t="str">
        <x:v>비정규직</x:v>
      </x:c>
      <x:c r="F15" s="17" t="str">
        <x:v>2026.09.08</x:v>
      </x:c>
      <x:c r="G15" s="17" t="str">
        <x:v>26.09.22 D-13</x:v>
      </x:c>
      <x:c r="H15" s="17" t="str">
        <x:v>기간제·비정규</x:v>
      </x:c>
      <x:c r="I15" s="17" t="str">
        <x:v>세부조건 확인</x:v>
      </x:c>
      <x:c r="J15" s="17" t="str">
        <x:v>제한 문구 미탐지</x:v>
      </x:c>
      <x:c r="K15" s="17" t="str">
        <x:v>상세공고 확인</x:v>
      </x:c>
      <x:c r="L15" s="17" t="str">
        <x:v>상세공고 확인</x:v>
      </x:c>
      <x:c r="M15" s="17" t="str">
        <x:v>상세공고 확인</x:v>
      </x:c>
      <x:c r="N15" s="17" t="str">
        <x:v>상세공고 확인</x:v>
      </x:c>
      <x:c r="O15" s="17" t="str">
        <x:v>상세공고 확인</x:v>
      </x:c>
      <x:c r="P15" s="17" t="str">
        <x:v>상세공고 확인</x:v>
      </x:c>
      <x:c r="Q15" s="17" t="str">
        <x:v>상세공고 확인</x:v>
      </x:c>
      <x:c r="R15" s="17" t="str">
        <x:v>상세공고 확인</x:v>
      </x:c>
      <x:c r="S15" s="17" t="str">
        <x:v>상세공고 확인</x:v>
      </x:c>
      <x:c r="T15" s="17" t="str">
        <x:v>상세공고 확인</x:v>
      </x:c>
      <x:c r="U15" s="17" t="str">
        <x:v>상세공고 확인</x:v>
      </x:c>
      <x:c r="V15" s="17" t="str">
        <x:v>목록 항목 확인</x:v>
      </x:c>
      <x:c r="W15" s="17" t="str">
        <x:v>공고 상세에서 확인</x:v>
      </x:c>
      <x:c r="X15" s="18" t="str">
        <x:v>https://job.alio.go.kr/recruitview.do?idx=304766</x:v>
      </x:c>
      <x:c r="Y15" s="1"/>
      <x:c r="Z15" s="1"/>
    </x:row>
    <x:row r="16" ht="54" customHeight="1">
      <x:c r="A16" s="17" t="n">
        <x:v>408</x:v>
      </x:c>
      <x:c r="B16" s="17" t="str">
        <x:v>한국전기안전공사</x:v>
      </x:c>
      <x:c r="C16" s="17" t="str">
        <x:v>2026년 하반기 공무직원 채용</x:v>
      </x:c>
      <x:c r="D16" s="17" t="str">
        <x:v>서울 외 12</x:v>
      </x:c>
      <x:c r="E16" s="17" t="str">
        <x:v>무기계약직</x:v>
      </x:c>
      <x:c r="F16" s="17" t="str">
        <x:v>2026.09.08</x:v>
      </x:c>
      <x:c r="G16" s="17" t="str">
        <x:v>26.09.22 D-13</x:v>
      </x:c>
      <x:c r="H16" s="17" t="str">
        <x:v>무기계약·공무직</x:v>
      </x:c>
      <x:c r="I16" s="17" t="str">
        <x:v>세부조건 확인</x:v>
      </x:c>
      <x:c r="J16" s="17" t="str">
        <x:v>제한 문구 미탐지</x:v>
      </x:c>
      <x:c r="K16" s="17" t="str">
        <x:v>상세공고 확인</x:v>
      </x:c>
      <x:c r="L16" s="17" t="str">
        <x:v>상세공고 확인</x:v>
      </x:c>
      <x:c r="M16" s="17" t="str">
        <x:v>상세공고 확인</x:v>
      </x:c>
      <x:c r="N16" s="17" t="str">
        <x:v>상세공고 확인</x:v>
      </x:c>
      <x:c r="O16" s="17" t="str">
        <x:v>상세공고 확인</x:v>
      </x:c>
      <x:c r="P16" s="17" t="str">
        <x:v>상세공고 확인</x:v>
      </x:c>
      <x:c r="Q16" s="17" t="str">
        <x:v>상세공고 확인</x:v>
      </x:c>
      <x:c r="R16" s="17" t="str">
        <x:v>상세공고 확인</x:v>
      </x:c>
      <x:c r="S16" s="17" t="str">
        <x:v>상세공고 확인</x:v>
      </x:c>
      <x:c r="T16" s="17" t="str">
        <x:v>상세공고 확인</x:v>
      </x:c>
      <x:c r="U16" s="17" t="str">
        <x:v>상세공고 확인</x:v>
      </x:c>
      <x:c r="V16" s="17" t="str">
        <x:v>목록 항목 확인</x:v>
      </x:c>
      <x:c r="W16" s="17" t="str">
        <x:v>공고 상세에서 확인</x:v>
      </x:c>
      <x:c r="X16" s="18" t="str">
        <x:v>https://job.alio.go.kr/recruitview.do?idx=304764</x:v>
      </x:c>
      <x:c r="Y16" s="1"/>
      <x:c r="Z16" s="1"/>
    </x:row>
    <x:row r="17" ht="54" customHeight="1">
      <x:c r="A17" s="17" t="n">
        <x:v>407</x:v>
      </x:c>
      <x:c r="B17" s="17" t="str">
        <x:v>한국전기안전공사</x:v>
      </x:c>
      <x:c r="C17" s="17" t="str">
        <x:v>2026년 하반기 경력직원 채용</x:v>
      </x:c>
      <x:c r="D17" s="17" t="str">
        <x:v>전북</x:v>
      </x:c>
      <x:c r="E17" s="17" t="str">
        <x:v>정규직</x:v>
      </x:c>
      <x:c r="F17" s="17" t="str">
        <x:v>2026.09.08</x:v>
      </x:c>
      <x:c r="G17" s="17" t="str">
        <x:v>26.09.22 D-13</x:v>
      </x:c>
      <x:c r="H17" s="17" t="str">
        <x:v>경력·전문직</x:v>
      </x:c>
      <x:c r="I17" s="17" t="str">
        <x:v>경력·전문 우선</x:v>
      </x:c>
      <x:c r="J17" s="17" t="str">
        <x:v>제한 문구 미탐지</x:v>
      </x:c>
      <x:c r="K17" s="17" t="str">
        <x:v>상세공고 확인</x:v>
      </x:c>
      <x:c r="L17" s="17" t="str">
        <x:v>상세공고 확인</x:v>
      </x:c>
      <x:c r="M17" s="17" t="str">
        <x:v>상세공고 확인</x:v>
      </x:c>
      <x:c r="N17" s="17" t="str">
        <x:v>상세공고 확인</x:v>
      </x:c>
      <x:c r="O17" s="17" t="str">
        <x:v>상세공고 확인</x:v>
      </x:c>
      <x:c r="P17" s="17" t="str">
        <x:v>상세공고 확인</x:v>
      </x:c>
      <x:c r="Q17" s="17" t="str">
        <x:v>상세공고 확인</x:v>
      </x:c>
      <x:c r="R17" s="17" t="str">
        <x:v>상세공고 확인</x:v>
      </x:c>
      <x:c r="S17" s="17" t="str">
        <x:v>상세공고 확인</x:v>
      </x:c>
      <x:c r="T17" s="17" t="str">
        <x:v>상세공고 확인</x:v>
      </x:c>
      <x:c r="U17" s="17" t="str">
        <x:v>상세공고 확인</x:v>
      </x:c>
      <x:c r="V17" s="17" t="str">
        <x:v>목록 항목 확인</x:v>
      </x:c>
      <x:c r="W17" s="17" t="str">
        <x:v>공고 상세에서 확인</x:v>
      </x:c>
      <x:c r="X17" s="18" t="str">
        <x:v>https://job.alio.go.kr/recruitview.do?idx=304763</x:v>
      </x:c>
      <x:c r="Y17" s="1"/>
      <x:c r="Z17" s="1"/>
    </x:row>
    <x:row r="18" ht="54" customHeight="1">
      <x:c r="A18" s="17" t="n">
        <x:v>406</x:v>
      </x:c>
      <x:c r="B18" s="17" t="str">
        <x:v>한국전기안전공사</x:v>
      </x:c>
      <x:c r="C18" s="17" t="str">
        <x:v>2026년 하반기 채용형 인턴 채용</x:v>
      </x:c>
      <x:c r="D18" s="17" t="str">
        <x:v>서울 외 13</x:v>
      </x:c>
      <x:c r="E18" s="17" t="str">
        <x:v>청년인턴(채용형)</x:v>
      </x:c>
      <x:c r="F18" s="17" t="str">
        <x:v>2026.09.08</x:v>
      </x:c>
      <x:c r="G18" s="17" t="str">
        <x:v>26.09.22 D-13</x:v>
      </x:c>
      <x:c r="H18" s="17" t="str">
        <x:v>제한경쟁·조건부</x:v>
      </x:c>
      <x:c r="I18" s="17" t="str">
        <x:v>조건 충족자만</x:v>
      </x:c>
      <x:c r="J18" s="17" t="str">
        <x:v>보훈 관련 제한경쟁</x:v>
      </x:c>
      <x:c r="K18" s="17" t="str">
        <x:v>신입</x:v>
      </x:c>
      <x:c r="L18" s="17" t="str">
        <x:v>학력무관</x:v>
      </x:c>
      <x:c r="M18" s="17" t="str">
        <x:v>87명</x:v>
      </x:c>
      <x:c r="N18" s="17" t="str">
        <x:v>사업관리,경영.회계.사무,전기.전자,환경.에너지.안전</x:v>
      </x:c>
      <x:c r="O18" s="17" t="str">
        <x:v>취업지원대상자, 장애인, 기초생활수급자, 한부모가족, 북한이탈주민, 다문화가족 자녀, 자립준비청년, 한국전기안전공사 체험형 인턴 수료자, 한국전기안전공사 주관 대국민 공모전 입상자(장관상 이상)</x:v>
      </x:c>
      <x:c r="P18" s="17" t="str">
        <x:v>미탐지(원문 재확인)</x:v>
      </x:c>
      <x:c r="Q18" s="17" t="str">
        <x:v>상세공고 확인</x:v>
      </x:c>
      <x:c r="R18" s="17" t="str">
        <x:v>1. 공통사항 - 성별, 연령 제한 없음 (단, 임용일 기준 공사 연령정년인 만 60세 초과자 제외) - 입사일 당일부터 근무 가능자 (입사연기 불가) - 공사 「인사규정」 제6조의 결격사유에 해당하지 않는 자 - 「병역법」 제76조에 정한 병역의무 불이행 사실이 없는 자 - 모집분야별, 근무지별 중복지원 불가 / 중복지원 시 불합격 처리 2. 경영관리(보훈) : 「국가유공자 등 예우 및 지원에 관한 법률」 제29조에 의한 취업지원대상자 3. 경영관리(일반) : 제한 없음 4. 기술(보훈) : 가, 나에 해당하는 자격을 모두 갖춘 자 가. 「국가유공자 등 예우 및 지원에 관한 법률」 제29조에 의한 취업지원대상자 나. 다음 중 1개 이상의 자격을 갖춘 자 - 전기분야 기능사 이상 자격이 있는 사람 - 고등학교에서 전기 관련 학과를 졸업한 자 또는 이와 같은 수준 이상의 학력이 있는 자 5. 기술(일반) : 다음 중 1개 이상의 자격을 갖춘 자 - 전기분야 기능사 이상 자격이 있는 사람 - 고등학교에서 전기 관련 학과를 졸업한 자 또는 이와 같은 수준 이상의 학력이 있는 자</x:v>
      </x:c>
      <x:c r="S18" s="17" t="str">
        <x:v>상세공고 확인</x:v>
      </x:c>
      <x:c r="T18" s="17" t="str">
        <x:v>1. 전형절차 및 방법 가. 1차 서류전형 : 8배수 선발 1) 서류전형 배점 고득점자 순으로 8배수로 합격자 선정 2) 사회형평인재 서류전형 합격배수(8배수) 외 서류합격처리 - 경영관리 : 사회형평인재 해당 지원자 전원 서류합격 처리 - 기술 : ① 해당 채용분야의 지원자격 충족 + ② 사회형평인재 해당자 서류합격 처리 나. 2차 시험전형 : 2배수 선발(채용인원이 2명 이하인 경우 3배수) 1) 직업기초능력평가(30%) + 직무수행능력평가(70%)로 성적순 결정 2) 직업기초능력 및 직무수행능력평가 각 40점 미만 득점자는 결격 처리 3) 시험전형 합격자 대상 인성검사(온라인) 실시 다. 3차 면접전형(구조화된 면접 실시) 1) 상황면접(5분/다대일) + 역량면접(1인당 10분/다대다) 2) 면접위원 합산점수가 평균 60점 미만인 자는 결격 처리 3) 자기소개서 미제출 또는 인성검사 미응시자의 경우 면접응시 불가 라. 최종합격자 결정 : 시험전형(50%) + 면접전형(50%) 2. 전형일정 가. 채용공고 : 9. 8.(화) ~ 9. 22.(화) / 공사 채용홈페이지, Job알리오 등 나. 지원서 접수 : 9. 14.(월) 10:00 ~ 9. 22.(화) 17:00 / 공사 채용홈페이지 다. 서류전형 합격자 발표 : 10. 19.(월) / SMS, 공사 홈페이지 라. 시험전형 : 10. 24.(토) / 서울 마. 시험전형 합격자 발표 : 10. 30.(금) / SMS, 공사 홈페이지 바. 자기소개서 제출, 온라인 인성검사 실시 : 10. 30.(금) ~ 11. 3.(화) 14:00 / 공사 채용홈페이지 사. 면접전형 : 11. 16.(월) ~ 11. 20.(금) / 서울 아. 최종합격자 발표 : 12. 14.(월) / SMS, 공사 홈페이지</x:v>
      </x:c>
      <x:c r="U18" s="17" t="str">
        <x:v>3차 면접전형(구조화된 면접 실시) 1) 상황면접(5분/다대일) + 역량면접(1인당 10분/다대다) 2) 면접위원 합산점수가 평균 60점 미만인 자는 결격 처리 3) 자기소개서 미제출 또는 인성검사 미응시자의 경우 면접응시 불가 라 / 최종합격자 결정 : 시험전형(50%) + 면접전형(50%) 2 / 면접전형 : 11</x:v>
      </x:c>
      <x:c r="V18" s="17" t="str">
        <x:v>상세 페이지 확인</x:v>
      </x:c>
      <x:c r="W18" s="17" t="str">
        <x:v>https://kesco.or.kr/recruit/main.do</x:v>
      </x:c>
      <x:c r="X18" s="18" t="str">
        <x:v>https://job.alio.go.kr/recruitview.do?idx=304762</x:v>
      </x:c>
      <x:c r="Y18" s="1"/>
      <x:c r="Z18" s="1"/>
    </x:row>
    <x:row r="19" ht="54" customHeight="1">
      <x:c r="A19" s="17" t="n">
        <x:v>405</x:v>
      </x:c>
      <x:c r="B19" s="17" t="str">
        <x:v>한국도로공사</x:v>
      </x:c>
      <x:c r="C19" s="17" t="str">
        <x:v>2026년 하반기 한국도로공사 일반직 신입(인턴)사원 채용 공고</x:v>
      </x:c>
      <x:c r="D19" s="17" t="str">
        <x:v>인천 외 11</x:v>
      </x:c>
      <x:c r="E19" s="17" t="str">
        <x:v>청년인턴(채용형)</x:v>
      </x:c>
      <x:c r="F19" s="17" t="str">
        <x:v>2026.09.08</x:v>
      </x:c>
      <x:c r="G19" s="17" t="str">
        <x:v>26.09.22 D-13</x:v>
      </x:c>
      <x:c r="H19" s="17" t="str">
        <x:v>제한경쟁·조건부</x:v>
      </x:c>
      <x:c r="I19" s="17" t="str">
        <x:v>조건 충족자만</x:v>
      </x:c>
      <x:c r="J19" s="17" t="str">
        <x:v>장애 관련 제한경쟁</x:v>
      </x:c>
      <x:c r="K19" s="17" t="str">
        <x:v>신입</x:v>
      </x:c>
      <x:c r="L19" s="17" t="str">
        <x:v>학력무관,고졸</x:v>
      </x:c>
      <x:c r="M19" s="17" t="str">
        <x:v>100명</x:v>
      </x:c>
      <x:c r="N19" s="17" t="str">
        <x:v>경영.회계.사무,건설,기계,전기.전자,정보통신</x:v>
      </x:c>
      <x:c r="O19" s="17" t="str">
        <x:v>관련 자격증 소지자, 사회형평대상자(취업지원대상자, 장애인 등) 등</x:v>
      </x:c>
      <x:c r="P19" s="17" t="str">
        <x:v>미탐지(원문 재확인)</x:v>
      </x:c>
      <x:c r="Q19" s="17" t="str">
        <x:v>상세공고 확인</x:v>
      </x:c>
      <x:c r="R19" s="17" t="str">
        <x:v>○ 5급 공채 [공통] o 공사 인사규정 제8조의 결격사유가 없는 자 o 학력, 성별, 연령 제한 없음 (단, 공사 정년에 도달하는 자 제외) o 인턴계약일(2026년 11월 중 예정)로부터 근무 가능자(사업장 전국 소재) o 병역사항 : 남자의 경우 병역필 또는 면제자(병역특례 근무 중인 자 제외) ※ 인턴계약일(2026년 11월 중 예정) 이전 전역 예정자 포함 [일반] o 어학성적 토익 700점 이상 등 (사회형평대상자 토익 500점 이상 등) o (AI인재, 기술직) 선발 분야의 기사 자격증 등 소지자 [보훈전형] o 「국가유공자 등 예우 및 지원에 관한 법률」등에 따른 취업지원대상자로서 취업지원대상자 증명서 발급 가능한 자 [장애인전형] o 「장애인고용촉진 및 직업재활법 시행령」 제3조에 따른 장애인으로 동시행령 제3조제2항의 증빙서류 제출이 가능한 자 ○ 8급공채 [공통] o 공사 인사규정 제8조의 결격사유가 없는 자 o 성별, 연령(자립준비청년전형 제외), 병역사항 및 어학성적 제한 없음 (단, 공사 정년에 도달하는 자 제외) ※ 병역 : 병역의무 기피한 자는 채용결격사유에 해당 o 인턴계약일(2026년 11월 중 예정)로 부터 근무 가능자(사업장 전국 소재) o 선발분야 기능사 이상 자격증 소지자 [고졸일반] o 원서접수 마감일 현재 최종학력이 고등학교 졸업(예정)인 자 ※ 전문대 이상 졸업(예정)자(최종학기를 이수(등록)한 자 등)는 지원 불가 ※ 고등학교 졸업예정자는 원서접수 마감일 현재 졸업예정증명서 발급이 가능한 자 [보훈전형] o 「국가유공자 등 예우 및 지원에 관한 법률」등에 따른 취업지원대상자로서 취업지원대상자 증명서 발급 가능한 자 [장애인전형] o 「장애인고용촉진 및 직업재활법 시행령」 제3조에 따른 장애인으로 동시행령 제3조제2항의 증빙서류 제출이 가능한 자 [자립준비청년전형] o 「아동복지법」 제16조 또는 제16조의3에 따라 보호조치가 종료되거나 해당 시설을 퇴소한 사람 중 만 34세 이하인 자</x:v>
      </x:c>
      <x:c r="S19" s="17" t="str">
        <x:v>어학, 토익</x:v>
      </x:c>
      <x:c r="T19" s="17" t="str">
        <x:v>○ 5급 공개채용 o 서류전형 : 적/부 - 합격배수 : 지원자격 충족 시 선발 o 필기전형 : 직업기초능력평가(30), 직무수행능력평가(70), 부가가점(해당 시) - 합격배수 : 최종선발예정인원 10명이상(1.5배수), 4명이상~9명이하(2.5배수), 2~3명(3배수), 1명(4배수) ※ 동점자 전원 선발, 선발인원 산정 시 소수점 첫째 자리에서 올림 o 면접전형(PT 및 역량 면접) : 필기(50), 면접(50), 법정가점(해당 시) - 합격배수 : 분야별 1배수 ※ 필기전형 점수의 경우, 부가점수 제외한 후 합산 ○ 8급 공개채용 o 서류전형 : 적/부 - 합격배수 : 지원자격 충족 시 선발 o 필기전형 : 직업기초능력평가(100), 부가가점(해당 시) - 합격배수 : 자립준비청년 전형(3배수), 그 외 전형(4배수) ※ 동점자 전원 선발, 선발인원 산정 시 소수점 첫째 자리에서 올림 o 면접전형(PT 및 역량 면접) : 필기(50), 면접(50), 법정가점(해당 시) - 합격배수 : 분야별 1배수 ※ 필기전형 점수의 경우, 부가점수 제외한 후 합산</x:v>
      </x:c>
      <x:c r="U19" s="17" t="str">
        <x:v>5배수), 2~3명(3배수), 1명(4배수) ※ 동점자 전원 선발, 선발인원 산정 시 소수점 첫째 자리에서 올림 o 면접전형(PT 및 역량 면접) : 필기(50), 면접(50), 법정가점(해당 시) - 합격배수 : 분야별 1배수 ※ 필기전형 점수의 경우, 부가점수 제외한 후 합산 ○ 8급 공개채용 o 서류전형 : 적/부 - 합격배수 : 지원자격 충족 시 선발 o 필기전형 : 직업기초능력평가(100), 부가가점(해당 시) - 합격배수 : 자립준비청년 전형(3배수), 그 외 전형(4배수) ※ 동점자 전원 선발, 선발인원 산정 시 소수점 첫째 자리에서 올림 o 면접전형(PT 및 역량 면접) : 필기(50), 면접(50), 법정가점(해당 시) - 합격배수 : 분야별 1배수 ※ 필기전형 점수의 경우, 부가점수 제외한 후 합산</x:v>
      </x:c>
      <x:c r="V19" s="17" t="str">
        <x:v>상세 페이지 확인</x:v>
      </x:c>
      <x:c r="W19" s="17" t="str">
        <x:v>https://www.ex.co.kr/</x:v>
      </x:c>
      <x:c r="X19" s="18" t="str">
        <x:v>https://job.alio.go.kr/recruitview.do?idx=304761</x:v>
      </x:c>
      <x:c r="Y19" s="1"/>
      <x:c r="Z19" s="1"/>
    </x:row>
    <x:row r="20" ht="54" customHeight="1">
      <x:c r="A20" s="17" t="n">
        <x:v>404</x:v>
      </x:c>
      <x:c r="B20" s="17" t="str">
        <x:v>한국장애인개발원</x:v>
      </x:c>
      <x:c r="C20" s="17" t="str">
        <x:v>[제2026-98호]2026년도 제4차 전남광주통합특별시전남장애아동·발달장애인지원센터 청년인턴 채용 공고</x:v>
      </x:c>
      <x:c r="D20" s="17" t="str">
        <x:v>전남광주</x:v>
      </x:c>
      <x:c r="E20" s="17" t="str">
        <x:v>청년인턴(체험형)</x:v>
      </x:c>
      <x:c r="F20" s="17" t="str">
        <x:v>2026.09.08</x:v>
      </x:c>
      <x:c r="G20" s="17" t="str">
        <x:v>26.09.22 D-13</x:v>
      </x:c>
      <x:c r="H20" s="17" t="str">
        <x:v>체험형·청년인턴</x:v>
      </x:c>
      <x:c r="I20" s="17" t="str">
        <x:v>세부조건 확인</x:v>
      </x:c>
      <x:c r="J20" s="17" t="str">
        <x:v>제한 문구 미탐지</x:v>
      </x:c>
      <x:c r="K20" s="17" t="str">
        <x:v>상세공고 확인</x:v>
      </x:c>
      <x:c r="L20" s="17" t="str">
        <x:v>상세공고 확인</x:v>
      </x:c>
      <x:c r="M20" s="17" t="str">
        <x:v>상세공고 확인</x:v>
      </x:c>
      <x:c r="N20" s="17" t="str">
        <x:v>상세공고 확인</x:v>
      </x:c>
      <x:c r="O20" s="17" t="str">
        <x:v>상세공고 확인</x:v>
      </x:c>
      <x:c r="P20" s="17" t="str">
        <x:v>상세공고 확인</x:v>
      </x:c>
      <x:c r="Q20" s="17" t="str">
        <x:v>상세공고 확인</x:v>
      </x:c>
      <x:c r="R20" s="17" t="str">
        <x:v>상세공고 확인</x:v>
      </x:c>
      <x:c r="S20" s="17" t="str">
        <x:v>상세공고 확인</x:v>
      </x:c>
      <x:c r="T20" s="17" t="str">
        <x:v>상세공고 확인</x:v>
      </x:c>
      <x:c r="U20" s="17" t="str">
        <x:v>상세공고 확인</x:v>
      </x:c>
      <x:c r="V20" s="17" t="str">
        <x:v>목록 항목 확인</x:v>
      </x:c>
      <x:c r="W20" s="17" t="str">
        <x:v>공고 상세에서 확인</x:v>
      </x:c>
      <x:c r="X20" s="18" t="str">
        <x:v>https://job.alio.go.kr/recruitview.do?idx=304760</x:v>
      </x:c>
      <x:c r="Y20" s="1"/>
      <x:c r="Z20" s="1"/>
    </x:row>
    <x:row r="21" ht="54" customHeight="1">
      <x:c r="A21" s="17" t="n">
        <x:v>403</x:v>
      </x:c>
      <x:c r="B21" s="17" t="str">
        <x:v>한국전력공사</x:v>
      </x:c>
      <x:c r="C21" s="17" t="str">
        <x:v>2026년도 하반기 전기원 채용공고</x:v>
      </x:c>
      <x:c r="D21" s="17" t="str">
        <x:v>서울 외 15</x:v>
      </x:c>
      <x:c r="E21" s="17" t="str">
        <x:v>정규직</x:v>
      </x:c>
      <x:c r="F21" s="17" t="str">
        <x:v>2026.09.08</x:v>
      </x:c>
      <x:c r="G21" s="17" t="str">
        <x:v>26.09.22 D-13</x:v>
      </x:c>
      <x:c r="H21" s="17" t="str">
        <x:v>정규직(세부 확인)</x:v>
      </x:c>
      <x:c r="I21" s="17" t="str">
        <x:v>세부조건 확인</x:v>
      </x:c>
      <x:c r="J21" s="17" t="str">
        <x:v>제한 문구 미탐지</x:v>
      </x:c>
      <x:c r="K21" s="17" t="str">
        <x:v>상세공고 확인</x:v>
      </x:c>
      <x:c r="L21" s="17" t="str">
        <x:v>상세공고 확인</x:v>
      </x:c>
      <x:c r="M21" s="17" t="str">
        <x:v>상세공고 확인</x:v>
      </x:c>
      <x:c r="N21" s="17" t="str">
        <x:v>상세공고 확인</x:v>
      </x:c>
      <x:c r="O21" s="17" t="str">
        <x:v>상세공고 확인</x:v>
      </x:c>
      <x:c r="P21" s="17" t="str">
        <x:v>상세공고 확인</x:v>
      </x:c>
      <x:c r="Q21" s="17" t="str">
        <x:v>상세공고 확인</x:v>
      </x:c>
      <x:c r="R21" s="17" t="str">
        <x:v>상세공고 확인</x:v>
      </x:c>
      <x:c r="S21" s="17" t="str">
        <x:v>상세공고 확인</x:v>
      </x:c>
      <x:c r="T21" s="17" t="str">
        <x:v>상세공고 확인</x:v>
      </x:c>
      <x:c r="U21" s="17" t="str">
        <x:v>상세공고 확인</x:v>
      </x:c>
      <x:c r="V21" s="17" t="str">
        <x:v>목록 항목 확인</x:v>
      </x:c>
      <x:c r="W21" s="17" t="str">
        <x:v>공고 상세에서 확인</x:v>
      </x:c>
      <x:c r="X21" s="18" t="str">
        <x:v>https://job.alio.go.kr/recruitview.do?idx=304759</x:v>
      </x:c>
      <x:c r="Y21" s="1"/>
      <x:c r="Z21" s="1"/>
    </x:row>
    <x:row r="22" ht="54" customHeight="1">
      <x:c r="A22" s="17" t="n">
        <x:v>402</x:v>
      </x:c>
      <x:c r="B22" s="17" t="str">
        <x:v>한국전력공사</x:v>
      </x:c>
      <x:c r="C22" s="17" t="str">
        <x:v>2026년도 하반기 기간제 근로자 채용공고[중부건설본부]</x:v>
      </x:c>
      <x:c r="D22" s="17" t="str">
        <x:v>충북 외 2</x:v>
      </x:c>
      <x:c r="E22" s="17" t="str">
        <x:v>비정규직</x:v>
      </x:c>
      <x:c r="F22" s="17" t="str">
        <x:v>2026.09.08</x:v>
      </x:c>
      <x:c r="G22" s="17" t="str">
        <x:v>26.09.22 D-13</x:v>
      </x:c>
      <x:c r="H22" s="17" t="str">
        <x:v>기간제·비정규</x:v>
      </x:c>
      <x:c r="I22" s="17" t="str">
        <x:v>세부조건 확인</x:v>
      </x:c>
      <x:c r="J22" s="17" t="str">
        <x:v>제한 문구 미탐지</x:v>
      </x:c>
      <x:c r="K22" s="17" t="str">
        <x:v>상세공고 확인</x:v>
      </x:c>
      <x:c r="L22" s="17" t="str">
        <x:v>상세공고 확인</x:v>
      </x:c>
      <x:c r="M22" s="17" t="str">
        <x:v>상세공고 확인</x:v>
      </x:c>
      <x:c r="N22" s="17" t="str">
        <x:v>상세공고 확인</x:v>
      </x:c>
      <x:c r="O22" s="17" t="str">
        <x:v>상세공고 확인</x:v>
      </x:c>
      <x:c r="P22" s="17" t="str">
        <x:v>상세공고 확인</x:v>
      </x:c>
      <x:c r="Q22" s="17" t="str">
        <x:v>상세공고 확인</x:v>
      </x:c>
      <x:c r="R22" s="17" t="str">
        <x:v>상세공고 확인</x:v>
      </x:c>
      <x:c r="S22" s="17" t="str">
        <x:v>상세공고 확인</x:v>
      </x:c>
      <x:c r="T22" s="17" t="str">
        <x:v>상세공고 확인</x:v>
      </x:c>
      <x:c r="U22" s="17" t="str">
        <x:v>상세공고 확인</x:v>
      </x:c>
      <x:c r="V22" s="17" t="str">
        <x:v>목록 항목 확인</x:v>
      </x:c>
      <x:c r="W22" s="17" t="str">
        <x:v>공고 상세에서 확인</x:v>
      </x:c>
      <x:c r="X22" s="18" t="str">
        <x:v>https://job.alio.go.kr/recruitview.do?idx=304757</x:v>
      </x:c>
      <x:c r="Y22" s="1"/>
      <x:c r="Z22" s="1"/>
    </x:row>
    <x:row r="23" ht="54" customHeight="1">
      <x:c r="A23" s="17" t="n">
        <x:v>401</x:v>
      </x:c>
      <x:c r="B23" s="17" t="str">
        <x:v>한국보훈복지의료공단</x:v>
      </x:c>
      <x:c r="C23" s="17" t="str">
        <x:v>[인천보훈병원] 2026-14차 직원 제한경쟁채용(장애인 청년인턴) 공고</x:v>
      </x:c>
      <x:c r="D23" s="17" t="str">
        <x:v>인천</x:v>
      </x:c>
      <x:c r="E23" s="17" t="str">
        <x:v>청년인턴(체험형)</x:v>
      </x:c>
      <x:c r="F23" s="17" t="str">
        <x:v>2026.09.08</x:v>
      </x:c>
      <x:c r="G23" s="17" t="str">
        <x:v>26.09.22 D-13</x:v>
      </x:c>
      <x:c r="H23" s="17" t="str">
        <x:v>제한경쟁·조건부</x:v>
      </x:c>
      <x:c r="I23" s="17" t="str">
        <x:v>조건 충족자만</x:v>
      </x:c>
      <x:c r="J23" s="17" t="str">
        <x:v>제한경쟁</x:v>
      </x:c>
      <x:c r="K23" s="17" t="str">
        <x:v>상세공고 확인</x:v>
      </x:c>
      <x:c r="L23" s="17" t="str">
        <x:v>상세공고 확인</x:v>
      </x:c>
      <x:c r="M23" s="17" t="str">
        <x:v>상세공고 확인</x:v>
      </x:c>
      <x:c r="N23" s="17" t="str">
        <x:v>상세공고 확인</x:v>
      </x:c>
      <x:c r="O23" s="17" t="str">
        <x:v>상세공고 확인</x:v>
      </x:c>
      <x:c r="P23" s="17" t="str">
        <x:v>상세공고 확인</x:v>
      </x:c>
      <x:c r="Q23" s="17" t="str">
        <x:v>상세공고 확인</x:v>
      </x:c>
      <x:c r="R23" s="17" t="str">
        <x:v>상세공고 확인</x:v>
      </x:c>
      <x:c r="S23" s="17" t="str">
        <x:v>상세공고 확인</x:v>
      </x:c>
      <x:c r="T23" s="17" t="str">
        <x:v>상세공고 확인</x:v>
      </x:c>
      <x:c r="U23" s="17" t="str">
        <x:v>상세공고 확인</x:v>
      </x:c>
      <x:c r="V23" s="17" t="str">
        <x:v>목록 항목 확인</x:v>
      </x:c>
      <x:c r="W23" s="17" t="str">
        <x:v>공고 상세에서 확인</x:v>
      </x:c>
      <x:c r="X23" s="18" t="str">
        <x:v>https://job.alio.go.kr/recruitview.do?idx=304754</x:v>
      </x:c>
      <x:c r="Y23" s="1"/>
      <x:c r="Z23" s="1"/>
    </x:row>
    <x:row r="24" ht="54" customHeight="1">
      <x:c r="A24" s="17" t="n">
        <x:v>400</x:v>
      </x:c>
      <x:c r="B24" s="17" t="str">
        <x:v>한국장애인개발원</x:v>
      </x:c>
      <x:c r="C24" s="17" t="str">
        <x:v>[제2026-99호] 2026년도 제5차 충청남도장애아동·발달장애인지원센터 장애아동 운영지원팀 기간제 계약직 및 장애아동지원팀 사회형평적 청년인턴 채용 공고</x:v>
      </x:c>
      <x:c r="D24" s="17" t="str">
        <x:v>충남</x:v>
      </x:c>
      <x:c r="E24" s="17" t="str">
        <x:v>비정규직 외 1</x:v>
      </x:c>
      <x:c r="F24" s="17" t="str">
        <x:v>2026.09.08</x:v>
      </x:c>
      <x:c r="G24" s="17" t="str">
        <x:v>26.09.22 D-13</x:v>
      </x:c>
      <x:c r="H24" s="17" t="str">
        <x:v>체험형·청년인턴</x:v>
      </x:c>
      <x:c r="I24" s="17" t="str">
        <x:v>세부조건 확인</x:v>
      </x:c>
      <x:c r="J24" s="17" t="str">
        <x:v>제한 문구 미탐지</x:v>
      </x:c>
      <x:c r="K24" s="17" t="str">
        <x:v>상세공고 확인</x:v>
      </x:c>
      <x:c r="L24" s="17" t="str">
        <x:v>상세공고 확인</x:v>
      </x:c>
      <x:c r="M24" s="17" t="str">
        <x:v>상세공고 확인</x:v>
      </x:c>
      <x:c r="N24" s="17" t="str">
        <x:v>상세공고 확인</x:v>
      </x:c>
      <x:c r="O24" s="17" t="str">
        <x:v>상세공고 확인</x:v>
      </x:c>
      <x:c r="P24" s="17" t="str">
        <x:v>상세공고 확인</x:v>
      </x:c>
      <x:c r="Q24" s="17" t="str">
        <x:v>상세공고 확인</x:v>
      </x:c>
      <x:c r="R24" s="17" t="str">
        <x:v>상세공고 확인</x:v>
      </x:c>
      <x:c r="S24" s="17" t="str">
        <x:v>상세공고 확인</x:v>
      </x:c>
      <x:c r="T24" s="17" t="str">
        <x:v>상세공고 확인</x:v>
      </x:c>
      <x:c r="U24" s="17" t="str">
        <x:v>상세공고 확인</x:v>
      </x:c>
      <x:c r="V24" s="17" t="str">
        <x:v>목록 항목 확인</x:v>
      </x:c>
      <x:c r="W24" s="17" t="str">
        <x:v>공고 상세에서 확인</x:v>
      </x:c>
      <x:c r="X24" s="18" t="str">
        <x:v>https://job.alio.go.kr/recruitview.do?idx=304751</x:v>
      </x:c>
      <x:c r="Y24" s="1"/>
      <x:c r="Z24" s="1"/>
    </x:row>
    <x:row r="25" ht="54" customHeight="1">
      <x:c r="A25" s="17" t="n">
        <x:v>399</x:v>
      </x:c>
      <x:c r="B25" s="17" t="str">
        <x:v>근로복지공단</x:v>
      </x:c>
      <x:c r="C25" s="17" t="str">
        <x:v>[창원병원] 의료직(간호사) 6급 채용 공고</x:v>
      </x:c>
      <x:c r="D25" s="17" t="str">
        <x:v>경남</x:v>
      </x:c>
      <x:c r="E25" s="17" t="str">
        <x:v>정규직</x:v>
      </x:c>
      <x:c r="F25" s="17" t="str">
        <x:v>2026.09.08</x:v>
      </x:c>
      <x:c r="G25" s="17" t="str">
        <x:v>26.09.18 D-9</x:v>
      </x:c>
      <x:c r="H25" s="17" t="str">
        <x:v>경력·전문직</x:v>
      </x:c>
      <x:c r="I25" s="17" t="str">
        <x:v>경력·전문 우선</x:v>
      </x:c>
      <x:c r="J25" s="17" t="str">
        <x:v>제한 문구 미탐지</x:v>
      </x:c>
      <x:c r="K25" s="17" t="str">
        <x:v>상세공고 확인</x:v>
      </x:c>
      <x:c r="L25" s="17" t="str">
        <x:v>상세공고 확인</x:v>
      </x:c>
      <x:c r="M25" s="17" t="str">
        <x:v>상세공고 확인</x:v>
      </x:c>
      <x:c r="N25" s="17" t="str">
        <x:v>상세공고 확인</x:v>
      </x:c>
      <x:c r="O25" s="17" t="str">
        <x:v>상세공고 확인</x:v>
      </x:c>
      <x:c r="P25" s="17" t="str">
        <x:v>상세공고 확인</x:v>
      </x:c>
      <x:c r="Q25" s="17" t="str">
        <x:v>상세공고 확인</x:v>
      </x:c>
      <x:c r="R25" s="17" t="str">
        <x:v>상세공고 확인</x:v>
      </x:c>
      <x:c r="S25" s="17" t="str">
        <x:v>상세공고 확인</x:v>
      </x:c>
      <x:c r="T25" s="17" t="str">
        <x:v>상세공고 확인</x:v>
      </x:c>
      <x:c r="U25" s="17" t="str">
        <x:v>상세공고 확인</x:v>
      </x:c>
      <x:c r="V25" s="17" t="str">
        <x:v>목록 항목 확인</x:v>
      </x:c>
      <x:c r="W25" s="17" t="str">
        <x:v>공고 상세에서 확인</x:v>
      </x:c>
      <x:c r="X25" s="18" t="str">
        <x:v>https://job.alio.go.kr/recruitview.do?idx=304749</x:v>
      </x:c>
      <x:c r="Y25" s="1"/>
      <x:c r="Z25" s="1"/>
    </x:row>
    <x:row r="26" ht="54" customHeight="1">
      <x:c r="A26" s="17" t="n">
        <x:v>398</x:v>
      </x:c>
      <x:c r="B26" s="17" t="str">
        <x:v>근로복지공단</x:v>
      </x:c>
      <x:c r="C26" s="17" t="str">
        <x:v>[인천병원] 의료직(간호사) 6급 채용 공고</x:v>
      </x:c>
      <x:c r="D26" s="17" t="str">
        <x:v>인천</x:v>
      </x:c>
      <x:c r="E26" s="17" t="str">
        <x:v>정규직</x:v>
      </x:c>
      <x:c r="F26" s="17" t="str">
        <x:v>2026.09.08</x:v>
      </x:c>
      <x:c r="G26" s="17" t="str">
        <x:v>26.09.18 D-9</x:v>
      </x:c>
      <x:c r="H26" s="17" t="str">
        <x:v>경력·전문직</x:v>
      </x:c>
      <x:c r="I26" s="17" t="str">
        <x:v>경력·전문 우선</x:v>
      </x:c>
      <x:c r="J26" s="17" t="str">
        <x:v>제한 문구 미탐지</x:v>
      </x:c>
      <x:c r="K26" s="17" t="str">
        <x:v>상세공고 확인</x:v>
      </x:c>
      <x:c r="L26" s="17" t="str">
        <x:v>상세공고 확인</x:v>
      </x:c>
      <x:c r="M26" s="17" t="str">
        <x:v>상세공고 확인</x:v>
      </x:c>
      <x:c r="N26" s="17" t="str">
        <x:v>상세공고 확인</x:v>
      </x:c>
      <x:c r="O26" s="17" t="str">
        <x:v>상세공고 확인</x:v>
      </x:c>
      <x:c r="P26" s="17" t="str">
        <x:v>상세공고 확인</x:v>
      </x:c>
      <x:c r="Q26" s="17" t="str">
        <x:v>상세공고 확인</x:v>
      </x:c>
      <x:c r="R26" s="17" t="str">
        <x:v>상세공고 확인</x:v>
      </x:c>
      <x:c r="S26" s="17" t="str">
        <x:v>상세공고 확인</x:v>
      </x:c>
      <x:c r="T26" s="17" t="str">
        <x:v>상세공고 확인</x:v>
      </x:c>
      <x:c r="U26" s="17" t="str">
        <x:v>상세공고 확인</x:v>
      </x:c>
      <x:c r="V26" s="17" t="str">
        <x:v>목록 항목 확인</x:v>
      </x:c>
      <x:c r="W26" s="17" t="str">
        <x:v>공고 상세에서 확인</x:v>
      </x:c>
      <x:c r="X26" s="18" t="str">
        <x:v>https://job.alio.go.kr/recruitview.do?idx=304748</x:v>
      </x:c>
      <x:c r="Y26" s="1"/>
      <x:c r="Z26" s="1"/>
    </x:row>
    <x:row r="27" ht="54" customHeight="1">
      <x:c r="A27" s="17" t="n">
        <x:v>397</x:v>
      </x:c>
      <x:c r="B27" s="17" t="str">
        <x:v>근로복지공단</x:v>
      </x:c>
      <x:c r="C27" s="17" t="str">
        <x:v>[서울남부지사] 기간제(근로자정보입력원 및 시설미화원) 채용 공고</x:v>
      </x:c>
      <x:c r="D27" s="17" t="str">
        <x:v>서울</x:v>
      </x:c>
      <x:c r="E27" s="17" t="str">
        <x:v>비정규직</x:v>
      </x:c>
      <x:c r="F27" s="17" t="str">
        <x:v>2026.09.08</x:v>
      </x:c>
      <x:c r="G27" s="17" t="str">
        <x:v>26.09.15 D-6</x:v>
      </x:c>
      <x:c r="H27" s="17" t="str">
        <x:v>기간제·비정규</x:v>
      </x:c>
      <x:c r="I27" s="17" t="str">
        <x:v>세부조건 확인</x:v>
      </x:c>
      <x:c r="J27" s="17" t="str">
        <x:v>제한 문구 미탐지</x:v>
      </x:c>
      <x:c r="K27" s="17" t="str">
        <x:v>상세공고 확인</x:v>
      </x:c>
      <x:c r="L27" s="17" t="str">
        <x:v>상세공고 확인</x:v>
      </x:c>
      <x:c r="M27" s="17" t="str">
        <x:v>상세공고 확인</x:v>
      </x:c>
      <x:c r="N27" s="17" t="str">
        <x:v>상세공고 확인</x:v>
      </x:c>
      <x:c r="O27" s="17" t="str">
        <x:v>상세공고 확인</x:v>
      </x:c>
      <x:c r="P27" s="17" t="str">
        <x:v>상세공고 확인</x:v>
      </x:c>
      <x:c r="Q27" s="17" t="str">
        <x:v>상세공고 확인</x:v>
      </x:c>
      <x:c r="R27" s="17" t="str">
        <x:v>상세공고 확인</x:v>
      </x:c>
      <x:c r="S27" s="17" t="str">
        <x:v>상세공고 확인</x:v>
      </x:c>
      <x:c r="T27" s="17" t="str">
        <x:v>상세공고 확인</x:v>
      </x:c>
      <x:c r="U27" s="17" t="str">
        <x:v>상세공고 확인</x:v>
      </x:c>
      <x:c r="V27" s="17" t="str">
        <x:v>목록 항목 확인</x:v>
      </x:c>
      <x:c r="W27" s="17" t="str">
        <x:v>공고 상세에서 확인</x:v>
      </x:c>
      <x:c r="X27" s="18" t="str">
        <x:v>https://job.alio.go.kr/recruitview.do?idx=304747</x:v>
      </x:c>
      <x:c r="Y27" s="1"/>
      <x:c r="Z27" s="1"/>
    </x:row>
    <x:row r="28" ht="54" customHeight="1">
      <x:c r="A28" s="17" t="n">
        <x:v>396</x:v>
      </x:c>
      <x:c r="B28" s="17" t="str">
        <x:v>근로복지공단</x:v>
      </x:c>
      <x:c r="C28" s="17" t="str">
        <x:v>[울산병원] 별정직 의사 채용 공고</x:v>
      </x:c>
      <x:c r="D28" s="17" t="str">
        <x:v>울산</x:v>
      </x:c>
      <x:c r="E28" s="17" t="str">
        <x:v>정규직</x:v>
      </x:c>
      <x:c r="F28" s="17" t="str">
        <x:v>2026.09.08</x:v>
      </x:c>
      <x:c r="G28" s="17" t="str">
        <x:v>26.09.21 D-12</x:v>
      </x:c>
      <x:c r="H28" s="17" t="str">
        <x:v>정규직(세부 확인)</x:v>
      </x:c>
      <x:c r="I28" s="17" t="str">
        <x:v>세부조건 확인</x:v>
      </x:c>
      <x:c r="J28" s="17" t="str">
        <x:v>제한 문구 미탐지</x:v>
      </x:c>
      <x:c r="K28" s="17" t="str">
        <x:v>상세공고 확인</x:v>
      </x:c>
      <x:c r="L28" s="17" t="str">
        <x:v>상세공고 확인</x:v>
      </x:c>
      <x:c r="M28" s="17" t="str">
        <x:v>상세공고 확인</x:v>
      </x:c>
      <x:c r="N28" s="17" t="str">
        <x:v>상세공고 확인</x:v>
      </x:c>
      <x:c r="O28" s="17" t="str">
        <x:v>상세공고 확인</x:v>
      </x:c>
      <x:c r="P28" s="17" t="str">
        <x:v>상세공고 확인</x:v>
      </x:c>
      <x:c r="Q28" s="17" t="str">
        <x:v>상세공고 확인</x:v>
      </x:c>
      <x:c r="R28" s="17" t="str">
        <x:v>상세공고 확인</x:v>
      </x:c>
      <x:c r="S28" s="17" t="str">
        <x:v>상세공고 확인</x:v>
      </x:c>
      <x:c r="T28" s="17" t="str">
        <x:v>상세공고 확인</x:v>
      </x:c>
      <x:c r="U28" s="17" t="str">
        <x:v>상세공고 확인</x:v>
      </x:c>
      <x:c r="V28" s="17" t="str">
        <x:v>목록 항목 확인</x:v>
      </x:c>
      <x:c r="W28" s="17" t="str">
        <x:v>공고 상세에서 확인</x:v>
      </x:c>
      <x:c r="X28" s="18" t="str">
        <x:v>https://job.alio.go.kr/recruitview.do?idx=304746</x:v>
      </x:c>
      <x:c r="Y28" s="1"/>
      <x:c r="Z28" s="1"/>
    </x:row>
    <x:row r="29" ht="54" customHeight="1">
      <x:c r="A29" s="17" t="n">
        <x:v>395</x:v>
      </x:c>
      <x:c r="B29" s="17" t="str">
        <x:v>한국장애인개발원</x:v>
      </x:c>
      <x:c r="C29" s="17" t="str">
        <x:v>[제2026-96호] 2026년도 제2차 정책지원부(정책지원팀) 청년인턴 채용 공고</x:v>
      </x:c>
      <x:c r="D29" s="17" t="str">
        <x:v>서울</x:v>
      </x:c>
      <x:c r="E29" s="17" t="str">
        <x:v>청년인턴(체험형)</x:v>
      </x:c>
      <x:c r="F29" s="17" t="str">
        <x:v>2026.09.08</x:v>
      </x:c>
      <x:c r="G29" s="17" t="str">
        <x:v>26.09.23 D-14</x:v>
      </x:c>
      <x:c r="H29" s="17" t="str">
        <x:v>체험형·청년인턴</x:v>
      </x:c>
      <x:c r="I29" s="17" t="str">
        <x:v>우선검토</x:v>
      </x:c>
      <x:c r="J29" s="17" t="str">
        <x:v>제한 문구 미탐지</x:v>
      </x:c>
      <x:c r="K29" s="17" t="str">
        <x:v>상세공고 확인</x:v>
      </x:c>
      <x:c r="L29" s="17" t="str">
        <x:v>상세공고 확인</x:v>
      </x:c>
      <x:c r="M29" s="17" t="str">
        <x:v>상세공고 확인</x:v>
      </x:c>
      <x:c r="N29" s="17" t="str">
        <x:v>상세공고 확인</x:v>
      </x:c>
      <x:c r="O29" s="17" t="str">
        <x:v>상세공고 확인</x:v>
      </x:c>
      <x:c r="P29" s="17" t="str">
        <x:v>상세공고 확인</x:v>
      </x:c>
      <x:c r="Q29" s="17" t="str">
        <x:v>상세공고 확인</x:v>
      </x:c>
      <x:c r="R29" s="17" t="str">
        <x:v>상세공고 확인</x:v>
      </x:c>
      <x:c r="S29" s="17" t="str">
        <x:v>상세공고 확인</x:v>
      </x:c>
      <x:c r="T29" s="17" t="str">
        <x:v>상세공고 확인</x:v>
      </x:c>
      <x:c r="U29" s="17" t="str">
        <x:v>상세공고 확인</x:v>
      </x:c>
      <x:c r="V29" s="17" t="str">
        <x:v>목록 항목 확인</x:v>
      </x:c>
      <x:c r="W29" s="17" t="str">
        <x:v>공고 상세에서 확인</x:v>
      </x:c>
      <x:c r="X29" s="18" t="str">
        <x:v>https://job.alio.go.kr/recruitview.do?idx=304745</x:v>
      </x:c>
      <x:c r="Y29" s="1"/>
      <x:c r="Z29" s="1"/>
    </x:row>
    <x:row r="30" ht="54" customHeight="1">
      <x:c r="A30" s="17" t="n">
        <x:v>394</x:v>
      </x:c>
      <x:c r="B30" s="17" t="str">
        <x:v>근로복지공단</x:v>
      </x:c>
      <x:c r="C30" s="17" t="str">
        <x:v>[직업환경연구원] 연구직(연구위원) 채용 공고</x:v>
      </x:c>
      <x:c r="D30" s="17" t="str">
        <x:v>인천</x:v>
      </x:c>
      <x:c r="E30" s="17" t="str">
        <x:v>정규직</x:v>
      </x:c>
      <x:c r="F30" s="17" t="str">
        <x:v>2026.09.08</x:v>
      </x:c>
      <x:c r="G30" s="17" t="str">
        <x:v>26.09.22 D-13</x:v>
      </x:c>
      <x:c r="H30" s="17" t="str">
        <x:v>경력·전문직</x:v>
      </x:c>
      <x:c r="I30" s="17" t="str">
        <x:v>경력·전문 우선</x:v>
      </x:c>
      <x:c r="J30" s="17" t="str">
        <x:v>제한 문구 미탐지</x:v>
      </x:c>
      <x:c r="K30" s="17" t="str">
        <x:v>상세공고 확인</x:v>
      </x:c>
      <x:c r="L30" s="17" t="str">
        <x:v>상세공고 확인</x:v>
      </x:c>
      <x:c r="M30" s="17" t="str">
        <x:v>상세공고 확인</x:v>
      </x:c>
      <x:c r="N30" s="17" t="str">
        <x:v>상세공고 확인</x:v>
      </x:c>
      <x:c r="O30" s="17" t="str">
        <x:v>상세공고 확인</x:v>
      </x:c>
      <x:c r="P30" s="17" t="str">
        <x:v>상세공고 확인</x:v>
      </x:c>
      <x:c r="Q30" s="17" t="str">
        <x:v>상세공고 확인</x:v>
      </x:c>
      <x:c r="R30" s="17" t="str">
        <x:v>상세공고 확인</x:v>
      </x:c>
      <x:c r="S30" s="17" t="str">
        <x:v>상세공고 확인</x:v>
      </x:c>
      <x:c r="T30" s="17" t="str">
        <x:v>상세공고 확인</x:v>
      </x:c>
      <x:c r="U30" s="17" t="str">
        <x:v>상세공고 확인</x:v>
      </x:c>
      <x:c r="V30" s="17" t="str">
        <x:v>목록 항목 확인</x:v>
      </x:c>
      <x:c r="W30" s="17" t="str">
        <x:v>공고 상세에서 확인</x:v>
      </x:c>
      <x:c r="X30" s="18" t="str">
        <x:v>https://job.alio.go.kr/recruitview.do?idx=304744</x:v>
      </x:c>
      <x:c r="Y30" s="1"/>
      <x:c r="Z30" s="1"/>
    </x:row>
    <x:row r="31" ht="54" customHeight="1">
      <x:c r="A31" s="17" t="n">
        <x:v>393</x:v>
      </x:c>
      <x:c r="B31" s="17" t="str">
        <x:v>국립공원공단</x:v>
      </x:c>
      <x:c r="C31" s="17" t="str">
        <x:v>[내장산백암] 내장산국립공원백암사무소 기간제(환경관리_한시인력) 채용 공고</x:v>
      </x:c>
      <x:c r="D31" s="17" t="str">
        <x:v>전남광주</x:v>
      </x:c>
      <x:c r="E31" s="17" t="str">
        <x:v>비정규직</x:v>
      </x:c>
      <x:c r="F31" s="17" t="str">
        <x:v>2026.09.08</x:v>
      </x:c>
      <x:c r="G31" s="17" t="str">
        <x:v>26.09.16 D-7</x:v>
      </x:c>
      <x:c r="H31" s="17" t="str">
        <x:v>기간제·비정규</x:v>
      </x:c>
      <x:c r="I31" s="17" t="str">
        <x:v>세부조건 확인</x:v>
      </x:c>
      <x:c r="J31" s="17" t="str">
        <x:v>제한 문구 미탐지</x:v>
      </x:c>
      <x:c r="K31" s="17" t="str">
        <x:v>상세공고 확인</x:v>
      </x:c>
      <x:c r="L31" s="17" t="str">
        <x:v>상세공고 확인</x:v>
      </x:c>
      <x:c r="M31" s="17" t="str">
        <x:v>상세공고 확인</x:v>
      </x:c>
      <x:c r="N31" s="17" t="str">
        <x:v>상세공고 확인</x:v>
      </x:c>
      <x:c r="O31" s="17" t="str">
        <x:v>상세공고 확인</x:v>
      </x:c>
      <x:c r="P31" s="17" t="str">
        <x:v>상세공고 확인</x:v>
      </x:c>
      <x:c r="Q31" s="17" t="str">
        <x:v>상세공고 확인</x:v>
      </x:c>
      <x:c r="R31" s="17" t="str">
        <x:v>상세공고 확인</x:v>
      </x:c>
      <x:c r="S31" s="17" t="str">
        <x:v>상세공고 확인</x:v>
      </x:c>
      <x:c r="T31" s="17" t="str">
        <x:v>상세공고 확인</x:v>
      </x:c>
      <x:c r="U31" s="17" t="str">
        <x:v>상세공고 확인</x:v>
      </x:c>
      <x:c r="V31" s="17" t="str">
        <x:v>목록 항목 확인</x:v>
      </x:c>
      <x:c r="W31" s="17" t="str">
        <x:v>공고 상세에서 확인</x:v>
      </x:c>
      <x:c r="X31" s="18" t="str">
        <x:v>https://job.alio.go.kr/recruitview.do?idx=304742</x:v>
      </x:c>
      <x:c r="Y31" s="1"/>
      <x:c r="Z31" s="1"/>
    </x:row>
    <x:row r="32" ht="54" customHeight="1">
      <x:c r="A32" s="17" t="n">
        <x:v>392</x:v>
      </x:c>
      <x:c r="B32" s="17" t="str">
        <x:v>국립공원공단</x:v>
      </x:c>
      <x:c r="C32" s="17" t="str">
        <x:v>[지리산전북] 지리산국립공원전북사무소 한시인력(국립공원지킴이) 모집</x:v>
      </x:c>
      <x:c r="D32" s="17" t="str">
        <x:v>전북</x:v>
      </x:c>
      <x:c r="E32" s="17" t="str">
        <x:v>비정규직</x:v>
      </x:c>
      <x:c r="F32" s="17" t="str">
        <x:v>2026.09.08</x:v>
      </x:c>
      <x:c r="G32" s="17" t="str">
        <x:v>26.09.18 D-9</x:v>
      </x:c>
      <x:c r="H32" s="17" t="str">
        <x:v>기간제·비정규</x:v>
      </x:c>
      <x:c r="I32" s="17" t="str">
        <x:v>세부조건 확인</x:v>
      </x:c>
      <x:c r="J32" s="17" t="str">
        <x:v>제한 문구 미탐지</x:v>
      </x:c>
      <x:c r="K32" s="17" t="str">
        <x:v>상세공고 확인</x:v>
      </x:c>
      <x:c r="L32" s="17" t="str">
        <x:v>상세공고 확인</x:v>
      </x:c>
      <x:c r="M32" s="17" t="str">
        <x:v>상세공고 확인</x:v>
      </x:c>
      <x:c r="N32" s="17" t="str">
        <x:v>상세공고 확인</x:v>
      </x:c>
      <x:c r="O32" s="17" t="str">
        <x:v>상세공고 확인</x:v>
      </x:c>
      <x:c r="P32" s="17" t="str">
        <x:v>상세공고 확인</x:v>
      </x:c>
      <x:c r="Q32" s="17" t="str">
        <x:v>상세공고 확인</x:v>
      </x:c>
      <x:c r="R32" s="17" t="str">
        <x:v>상세공고 확인</x:v>
      </x:c>
      <x:c r="S32" s="17" t="str">
        <x:v>상세공고 확인</x:v>
      </x:c>
      <x:c r="T32" s="17" t="str">
        <x:v>상세공고 확인</x:v>
      </x:c>
      <x:c r="U32" s="17" t="str">
        <x:v>상세공고 확인</x:v>
      </x:c>
      <x:c r="V32" s="17" t="str">
        <x:v>목록 항목 확인</x:v>
      </x:c>
      <x:c r="W32" s="17" t="str">
        <x:v>공고 상세에서 확인</x:v>
      </x:c>
      <x:c r="X32" s="18" t="str">
        <x:v>https://job.alio.go.kr/recruitview.do?idx=304740</x:v>
      </x:c>
      <x:c r="Y32" s="1"/>
      <x:c r="Z32" s="1"/>
    </x:row>
    <x:row r="33" ht="54" customHeight="1">
      <x:c r="A33" s="17" t="n">
        <x:v>391</x:v>
      </x:c>
      <x:c r="B33" s="17" t="str">
        <x:v>주택관리공단(주)</x:v>
      </x:c>
      <x:c r="C33" s="17" t="str">
        <x:v>채용형 인턴 채용공고(주택관리공단 경기북부지사)</x:v>
      </x:c>
      <x:c r="D33" s="17" t="str">
        <x:v>경기</x:v>
      </x:c>
      <x:c r="E33" s="17" t="str">
        <x:v>청년인턴(채용형)</x:v>
      </x:c>
      <x:c r="F33" s="17" t="str">
        <x:v>2026.09.08</x:v>
      </x:c>
      <x:c r="G33" s="17" t="str">
        <x:v>26.09.15 D-6</x:v>
      </x:c>
      <x:c r="H33" s="17" t="str">
        <x:v>신입·채용형 인턴</x:v>
      </x:c>
      <x:c r="I33" s="17" t="str">
        <x:v>우선검토</x:v>
      </x:c>
      <x:c r="J33" s="17" t="str">
        <x:v>제한 문구 미탐지</x:v>
      </x:c>
      <x:c r="K33" s="17" t="str">
        <x:v>신입+경력</x:v>
      </x:c>
      <x:c r="L33" s="17" t="str">
        <x:v>학력무관</x:v>
      </x:c>
      <x:c r="M33" s="17" t="str">
        <x:v>1명</x:v>
      </x:c>
      <x:c r="N33" s="17" t="str">
        <x:v>건설,기계,전기.전자,환경.에너지.안전</x:v>
      </x:c>
      <x:c r="O33" s="17" t="str">
        <x:v>장애인,국민기초생활보장 수급자, 공동주택관리 기술업무 수행에 필요한 자격증 소지자</x:v>
      </x:c>
      <x:c r="P33" s="17" t="str">
        <x:v>명시 있음</x:v>
      </x:c>
      <x:c r="Q33" s="17" t="str">
        <x:v>상세공고 확인</x:v>
      </x:c>
      <x:c r="R33" s="17" t="str">
        <x:v>○ 응시자격 · 학력, 어학, 성별, 연령 : 제한없음 · 병역 : ?병역법? 제76조에서 정한 병역의무 불이행 사실이 없는 자 * 단, 최종 합격자 발표일까지 전역예정자로서 전형절차에 응시 가능자 지원 가능 · 기타 : 공단 직원채용 결격사유에 해당되지 않는 자</x:v>
      </x:c>
      <x:c r="S33" s="17" t="str">
        <x:v>어학</x:v>
      </x:c>
      <x:c r="T33" s="17" t="str">
        <x:v>○ 채용절차 1. 채용공고 2. 입사지원서 작성 및 제출 3. 1차 서류전형 4. 1차 서류전형 합격자 발표 5. 2차 면접전형 6. 2차 면접전형 합격자 발표 7. 결격사유 확인 8. 최종합격자 발표 9. 임용 ○ 채용방법 - 국가직무능력표준(NCS)에 기반하여 직업능력(직업기초능력+직무수행능력)평가</x:v>
      </x:c>
      <x:c r="U33" s="17" t="str">
        <x:v>2차 면접전형 6 / 2차 면접전형 합격자 발표 7</x:v>
      </x:c>
      <x:c r="V33" s="17" t="str">
        <x:v>상세 페이지 확인</x:v>
      </x:c>
      <x:c r="W33" s="17" t="str">
        <x:v>http://www.kohom.or.kr/</x:v>
      </x:c>
      <x:c r="X33" s="18" t="str">
        <x:v>https://job.alio.go.kr/recruitview.do?idx=304739</x:v>
      </x:c>
      <x:c r="Y33" s="1"/>
      <x:c r="Z33" s="1"/>
    </x:row>
    <x:row r="34" ht="54" customHeight="1">
      <x:c r="A34" s="17" t="n">
        <x:v>390</x:v>
      </x:c>
      <x:c r="B34" s="17" t="str">
        <x:v>해양환경공단</x:v>
      </x:c>
      <x:c r="C34" s="17" t="str">
        <x:v>2026년 하반기 해양환경공단 체험형 청년인턴(장애인 제한) 채용 공고</x:v>
      </x:c>
      <x:c r="D34" s="17" t="str">
        <x:v>서울 외 1</x:v>
      </x:c>
      <x:c r="E34" s="17" t="str">
        <x:v>청년인턴(체험형)</x:v>
      </x:c>
      <x:c r="F34" s="17" t="str">
        <x:v>2026.09.08</x:v>
      </x:c>
      <x:c r="G34" s="17" t="str">
        <x:v>26.09.22 D-13</x:v>
      </x:c>
      <x:c r="H34" s="17" t="str">
        <x:v>제한경쟁·조건부</x:v>
      </x:c>
      <x:c r="I34" s="17" t="str">
        <x:v>조건 충족자만</x:v>
      </x:c>
      <x:c r="J34" s="17" t="str">
        <x:v>장애 관련 제한경쟁</x:v>
      </x:c>
      <x:c r="K34" s="17" t="str">
        <x:v>상세공고 확인</x:v>
      </x:c>
      <x:c r="L34" s="17" t="str">
        <x:v>상세공고 확인</x:v>
      </x:c>
      <x:c r="M34" s="17" t="str">
        <x:v>상세공고 확인</x:v>
      </x:c>
      <x:c r="N34" s="17" t="str">
        <x:v>상세공고 확인</x:v>
      </x:c>
      <x:c r="O34" s="17" t="str">
        <x:v>상세공고 확인</x:v>
      </x:c>
      <x:c r="P34" s="17" t="str">
        <x:v>상세공고 확인</x:v>
      </x:c>
      <x:c r="Q34" s="17" t="str">
        <x:v>상세공고 확인</x:v>
      </x:c>
      <x:c r="R34" s="17" t="str">
        <x:v>상세공고 확인</x:v>
      </x:c>
      <x:c r="S34" s="17" t="str">
        <x:v>상세공고 확인</x:v>
      </x:c>
      <x:c r="T34" s="17" t="str">
        <x:v>상세공고 확인</x:v>
      </x:c>
      <x:c r="U34" s="17" t="str">
        <x:v>상세공고 확인</x:v>
      </x:c>
      <x:c r="V34" s="17" t="str">
        <x:v>목록 항목 확인</x:v>
      </x:c>
      <x:c r="W34" s="17" t="str">
        <x:v>공고 상세에서 확인</x:v>
      </x:c>
      <x:c r="X34" s="18" t="str">
        <x:v>https://job.alio.go.kr/recruitview.do?idx=304738</x:v>
      </x:c>
      <x:c r="Y34" s="1"/>
      <x:c r="Z34" s="1"/>
    </x:row>
    <x:row r="35" ht="54" customHeight="1">
      <x:c r="A35" s="17" t="n">
        <x:v>389</x:v>
      </x:c>
      <x:c r="B35" s="17" t="str">
        <x:v>창업진흥원</x:v>
      </x:c>
      <x:c r="C35" s="17" t="str">
        <x:v>2026년 창업진흥원 제5차 체험형 청년인턴(일반) 채용 공고</x:v>
      </x:c>
      <x:c r="D35" s="17" t="str">
        <x:v>서울 외 2</x:v>
      </x:c>
      <x:c r="E35" s="17" t="str">
        <x:v>청년인턴(체험형)</x:v>
      </x:c>
      <x:c r="F35" s="17" t="str">
        <x:v>2026.09.08</x:v>
      </x:c>
      <x:c r="G35" s="17" t="str">
        <x:v>26.09.23 D-14</x:v>
      </x:c>
      <x:c r="H35" s="17" t="str">
        <x:v>체험형·청년인턴</x:v>
      </x:c>
      <x:c r="I35" s="17" t="str">
        <x:v>우선검토</x:v>
      </x:c>
      <x:c r="J35" s="17" t="str">
        <x:v>제한 문구 미탐지</x:v>
      </x:c>
      <x:c r="K35" s="17" t="str">
        <x:v>상세공고 확인</x:v>
      </x:c>
      <x:c r="L35" s="17" t="str">
        <x:v>상세공고 확인</x:v>
      </x:c>
      <x:c r="M35" s="17" t="str">
        <x:v>상세공고 확인</x:v>
      </x:c>
      <x:c r="N35" s="17" t="str">
        <x:v>상세공고 확인</x:v>
      </x:c>
      <x:c r="O35" s="17" t="str">
        <x:v>상세공고 확인</x:v>
      </x:c>
      <x:c r="P35" s="17" t="str">
        <x:v>상세공고 확인</x:v>
      </x:c>
      <x:c r="Q35" s="17" t="str">
        <x:v>상세공고 확인</x:v>
      </x:c>
      <x:c r="R35" s="17" t="str">
        <x:v>상세공고 확인</x:v>
      </x:c>
      <x:c r="S35" s="17" t="str">
        <x:v>상세공고 확인</x:v>
      </x:c>
      <x:c r="T35" s="17" t="str">
        <x:v>상세공고 확인</x:v>
      </x:c>
      <x:c r="U35" s="17" t="str">
        <x:v>상세공고 확인</x:v>
      </x:c>
      <x:c r="V35" s="17" t="str">
        <x:v>목록 항목 확인</x:v>
      </x:c>
      <x:c r="W35" s="17" t="str">
        <x:v>공고 상세에서 확인</x:v>
      </x:c>
      <x:c r="X35" s="18" t="str">
        <x:v>https://job.alio.go.kr/recruitview.do?idx=304737</x:v>
      </x:c>
      <x:c r="Y35" s="1"/>
      <x:c r="Z35" s="1"/>
    </x:row>
    <x:row r="36" ht="54" customHeight="1">
      <x:c r="A36" s="17" t="n">
        <x:v>388</x:v>
      </x:c>
      <x:c r="B36" s="17" t="str">
        <x:v>창업진흥원</x:v>
      </x:c>
      <x:c r="C36" s="17" t="str">
        <x:v>2026년 창업진흥원 제5차 체험형 청년인턴(장애) 채용 공고</x:v>
      </x:c>
      <x:c r="D36" s="17" t="str">
        <x:v>서울 외 2</x:v>
      </x:c>
      <x:c r="E36" s="17" t="str">
        <x:v>청년인턴(체험형)</x:v>
      </x:c>
      <x:c r="F36" s="17" t="str">
        <x:v>2026.09.08</x:v>
      </x:c>
      <x:c r="G36" s="17" t="str">
        <x:v>26.09.23 D-14</x:v>
      </x:c>
      <x:c r="H36" s="17" t="str">
        <x:v>제한경쟁·조건부</x:v>
      </x:c>
      <x:c r="I36" s="17" t="str">
        <x:v>조건 충족자만</x:v>
      </x:c>
      <x:c r="J36" s="17" t="str">
        <x:v>장애 관련 제한경쟁</x:v>
      </x:c>
      <x:c r="K36" s="17" t="str">
        <x:v>상세공고 확인</x:v>
      </x:c>
      <x:c r="L36" s="17" t="str">
        <x:v>상세공고 확인</x:v>
      </x:c>
      <x:c r="M36" s="17" t="str">
        <x:v>상세공고 확인</x:v>
      </x:c>
      <x:c r="N36" s="17" t="str">
        <x:v>상세공고 확인</x:v>
      </x:c>
      <x:c r="O36" s="17" t="str">
        <x:v>상세공고 확인</x:v>
      </x:c>
      <x:c r="P36" s="17" t="str">
        <x:v>상세공고 확인</x:v>
      </x:c>
      <x:c r="Q36" s="17" t="str">
        <x:v>상세공고 확인</x:v>
      </x:c>
      <x:c r="R36" s="17" t="str">
        <x:v>상세공고 확인</x:v>
      </x:c>
      <x:c r="S36" s="17" t="str">
        <x:v>상세공고 확인</x:v>
      </x:c>
      <x:c r="T36" s="17" t="str">
        <x:v>상세공고 확인</x:v>
      </x:c>
      <x:c r="U36" s="17" t="str">
        <x:v>상세공고 확인</x:v>
      </x:c>
      <x:c r="V36" s="17" t="str">
        <x:v>목록 항목 확인</x:v>
      </x:c>
      <x:c r="W36" s="17" t="str">
        <x:v>공고 상세에서 확인</x:v>
      </x:c>
      <x:c r="X36" s="18" t="str">
        <x:v>https://job.alio.go.kr/recruitview.do?idx=304736</x:v>
      </x:c>
      <x:c r="Y36" s="1"/>
      <x:c r="Z36" s="1"/>
    </x:row>
    <x:row r="37" ht="54" customHeight="1">
      <x:c r="A37" s="17" t="n">
        <x:v>387</x:v>
      </x:c>
      <x:c r="B37" s="17" t="str">
        <x:v>국립공원공단</x:v>
      </x:c>
      <x:c r="C37" s="17" t="str">
        <x:v>[소백산북부] 2026년 한시인력(자원보전_ASF) 채용 공고</x:v>
      </x:c>
      <x:c r="D37" s="17" t="str">
        <x:v>충북</x:v>
      </x:c>
      <x:c r="E37" s="17" t="str">
        <x:v>비정규직</x:v>
      </x:c>
      <x:c r="F37" s="17" t="str">
        <x:v>2026.09.08</x:v>
      </x:c>
      <x:c r="G37" s="17" t="str">
        <x:v>26.09.14 D-5</x:v>
      </x:c>
      <x:c r="H37" s="17" t="str">
        <x:v>기간제·비정규</x:v>
      </x:c>
      <x:c r="I37" s="17" t="str">
        <x:v>세부조건 확인</x:v>
      </x:c>
      <x:c r="J37" s="17" t="str">
        <x:v>제한 문구 미탐지</x:v>
      </x:c>
      <x:c r="K37" s="17" t="str">
        <x:v>상세공고 확인</x:v>
      </x:c>
      <x:c r="L37" s="17" t="str">
        <x:v>상세공고 확인</x:v>
      </x:c>
      <x:c r="M37" s="17" t="str">
        <x:v>상세공고 확인</x:v>
      </x:c>
      <x:c r="N37" s="17" t="str">
        <x:v>상세공고 확인</x:v>
      </x:c>
      <x:c r="O37" s="17" t="str">
        <x:v>상세공고 확인</x:v>
      </x:c>
      <x:c r="P37" s="17" t="str">
        <x:v>상세공고 확인</x:v>
      </x:c>
      <x:c r="Q37" s="17" t="str">
        <x:v>상세공고 확인</x:v>
      </x:c>
      <x:c r="R37" s="17" t="str">
        <x:v>상세공고 확인</x:v>
      </x:c>
      <x:c r="S37" s="17" t="str">
        <x:v>상세공고 확인</x:v>
      </x:c>
      <x:c r="T37" s="17" t="str">
        <x:v>상세공고 확인</x:v>
      </x:c>
      <x:c r="U37" s="17" t="str">
        <x:v>상세공고 확인</x:v>
      </x:c>
      <x:c r="V37" s="17" t="str">
        <x:v>목록 항목 확인</x:v>
      </x:c>
      <x:c r="W37" s="17" t="str">
        <x:v>공고 상세에서 확인</x:v>
      </x:c>
      <x:c r="X37" s="18" t="str">
        <x:v>https://job.alio.go.kr/recruitview.do?idx=304735</x:v>
      </x:c>
      <x:c r="Y37" s="1"/>
      <x:c r="Z37" s="1"/>
    </x:row>
    <x:row r="38" ht="54" customHeight="1">
      <x:c r="A38" s="17" t="n">
        <x:v>386</x:v>
      </x:c>
      <x:c r="B38" s="17" t="str">
        <x:v>한국도로공사</x:v>
      </x:c>
      <x:c r="C38" s="17" t="str">
        <x:v>한국도로공사 대전지사 기간제근로자(상황관리원) 채용공고</x:v>
      </x:c>
      <x:c r="D38" s="17" t="str">
        <x:v>대전</x:v>
      </x:c>
      <x:c r="E38" s="17" t="str">
        <x:v>비정규직</x:v>
      </x:c>
      <x:c r="F38" s="17" t="str">
        <x:v>2026.09.08</x:v>
      </x:c>
      <x:c r="G38" s="17" t="str">
        <x:v>26.09.15 D-6</x:v>
      </x:c>
      <x:c r="H38" s="17" t="str">
        <x:v>기간제·비정규</x:v>
      </x:c>
      <x:c r="I38" s="17" t="str">
        <x:v>세부조건 확인</x:v>
      </x:c>
      <x:c r="J38" s="17" t="str">
        <x:v>제한 문구 미탐지</x:v>
      </x:c>
      <x:c r="K38" s="17" t="str">
        <x:v>상세공고 확인</x:v>
      </x:c>
      <x:c r="L38" s="17" t="str">
        <x:v>상세공고 확인</x:v>
      </x:c>
      <x:c r="M38" s="17" t="str">
        <x:v>상세공고 확인</x:v>
      </x:c>
      <x:c r="N38" s="17" t="str">
        <x:v>상세공고 확인</x:v>
      </x:c>
      <x:c r="O38" s="17" t="str">
        <x:v>상세공고 확인</x:v>
      </x:c>
      <x:c r="P38" s="17" t="str">
        <x:v>상세공고 확인</x:v>
      </x:c>
      <x:c r="Q38" s="17" t="str">
        <x:v>상세공고 확인</x:v>
      </x:c>
      <x:c r="R38" s="17" t="str">
        <x:v>상세공고 확인</x:v>
      </x:c>
      <x:c r="S38" s="17" t="str">
        <x:v>상세공고 확인</x:v>
      </x:c>
      <x:c r="T38" s="17" t="str">
        <x:v>상세공고 확인</x:v>
      </x:c>
      <x:c r="U38" s="17" t="str">
        <x:v>상세공고 확인</x:v>
      </x:c>
      <x:c r="V38" s="17" t="str">
        <x:v>목록 항목 확인</x:v>
      </x:c>
      <x:c r="W38" s="17" t="str">
        <x:v>공고 상세에서 확인</x:v>
      </x:c>
      <x:c r="X38" s="18" t="str">
        <x:v>https://job.alio.go.kr/recruitview.do?idx=304734</x:v>
      </x:c>
      <x:c r="Y38" s="1"/>
      <x:c r="Z38" s="1"/>
    </x:row>
    <x:row r="39" ht="54" customHeight="1">
      <x:c r="A39" s="17" t="n">
        <x:v>385</x:v>
      </x:c>
      <x:c r="B39" s="17" t="str">
        <x:v>한국도로공사</x:v>
      </x:c>
      <x:c r="C39" s="17" t="str">
        <x:v>한국도로공사 대전지사 기간제근로자(안전순찰원) 채용공고</x:v>
      </x:c>
      <x:c r="D39" s="17" t="str">
        <x:v>충남</x:v>
      </x:c>
      <x:c r="E39" s="17" t="str">
        <x:v>비정규직</x:v>
      </x:c>
      <x:c r="F39" s="17" t="str">
        <x:v>2026.09.08</x:v>
      </x:c>
      <x:c r="G39" s="17" t="str">
        <x:v>26.09.15 D-6</x:v>
      </x:c>
      <x:c r="H39" s="17" t="str">
        <x:v>기간제·비정규</x:v>
      </x:c>
      <x:c r="I39" s="17" t="str">
        <x:v>세부조건 확인</x:v>
      </x:c>
      <x:c r="J39" s="17" t="str">
        <x:v>제한 문구 미탐지</x:v>
      </x:c>
      <x:c r="K39" s="17" t="str">
        <x:v>상세공고 확인</x:v>
      </x:c>
      <x:c r="L39" s="17" t="str">
        <x:v>상세공고 확인</x:v>
      </x:c>
      <x:c r="M39" s="17" t="str">
        <x:v>상세공고 확인</x:v>
      </x:c>
      <x:c r="N39" s="17" t="str">
        <x:v>상세공고 확인</x:v>
      </x:c>
      <x:c r="O39" s="17" t="str">
        <x:v>상세공고 확인</x:v>
      </x:c>
      <x:c r="P39" s="17" t="str">
        <x:v>상세공고 확인</x:v>
      </x:c>
      <x:c r="Q39" s="17" t="str">
        <x:v>상세공고 확인</x:v>
      </x:c>
      <x:c r="R39" s="17" t="str">
        <x:v>상세공고 확인</x:v>
      </x:c>
      <x:c r="S39" s="17" t="str">
        <x:v>상세공고 확인</x:v>
      </x:c>
      <x:c r="T39" s="17" t="str">
        <x:v>상세공고 확인</x:v>
      </x:c>
      <x:c r="U39" s="17" t="str">
        <x:v>상세공고 확인</x:v>
      </x:c>
      <x:c r="V39" s="17" t="str">
        <x:v>목록 항목 확인</x:v>
      </x:c>
      <x:c r="W39" s="17" t="str">
        <x:v>공고 상세에서 확인</x:v>
      </x:c>
      <x:c r="X39" s="18" t="str">
        <x:v>https://job.alio.go.kr/recruitview.do?idx=304733</x:v>
      </x:c>
      <x:c r="Y39" s="1"/>
      <x:c r="Z39" s="1"/>
    </x:row>
    <x:row r="40" ht="54" customHeight="1">
      <x:c r="A40" s="17" t="n">
        <x:v>384</x:v>
      </x:c>
      <x:c r="B40" s="17" t="str">
        <x:v>국립공원공단</x:v>
      </x:c>
      <x:c r="C40" s="17" t="str">
        <x:v>[변산반도] 2026년 변산반도사무소 국립공원지킴이 4차 모집 공고</x:v>
      </x:c>
      <x:c r="D40" s="17" t="str">
        <x:v>전북</x:v>
      </x:c>
      <x:c r="E40" s="17" t="str">
        <x:v>비정규직</x:v>
      </x:c>
      <x:c r="F40" s="17" t="str">
        <x:v>2026.09.08</x:v>
      </x:c>
      <x:c r="G40" s="17" t="str">
        <x:v>26.09.18 D-9</x:v>
      </x:c>
      <x:c r="H40" s="17" t="str">
        <x:v>기간제·비정규</x:v>
      </x:c>
      <x:c r="I40" s="17" t="str">
        <x:v>세부조건 확인</x:v>
      </x:c>
      <x:c r="J40" s="17" t="str">
        <x:v>제한 문구 미탐지</x:v>
      </x:c>
      <x:c r="K40" s="17" t="str">
        <x:v>상세공고 확인</x:v>
      </x:c>
      <x:c r="L40" s="17" t="str">
        <x:v>상세공고 확인</x:v>
      </x:c>
      <x:c r="M40" s="17" t="str">
        <x:v>상세공고 확인</x:v>
      </x:c>
      <x:c r="N40" s="17" t="str">
        <x:v>상세공고 확인</x:v>
      </x:c>
      <x:c r="O40" s="17" t="str">
        <x:v>상세공고 확인</x:v>
      </x:c>
      <x:c r="P40" s="17" t="str">
        <x:v>상세공고 확인</x:v>
      </x:c>
      <x:c r="Q40" s="17" t="str">
        <x:v>상세공고 확인</x:v>
      </x:c>
      <x:c r="R40" s="17" t="str">
        <x:v>상세공고 확인</x:v>
      </x:c>
      <x:c r="S40" s="17" t="str">
        <x:v>상세공고 확인</x:v>
      </x:c>
      <x:c r="T40" s="17" t="str">
        <x:v>상세공고 확인</x:v>
      </x:c>
      <x:c r="U40" s="17" t="str">
        <x:v>상세공고 확인</x:v>
      </x:c>
      <x:c r="V40" s="17" t="str">
        <x:v>목록 항목 확인</x:v>
      </x:c>
      <x:c r="W40" s="17" t="str">
        <x:v>공고 상세에서 확인</x:v>
      </x:c>
      <x:c r="X40" s="18" t="str">
        <x:v>https://job.alio.go.kr/recruitview.do?idx=304732</x:v>
      </x:c>
      <x:c r="Y40" s="1"/>
      <x:c r="Z40" s="1"/>
    </x:row>
    <x:row r="41" ht="54" customHeight="1">
      <x:c r="A41" s="17" t="n">
        <x:v>383</x:v>
      </x:c>
      <x:c r="B41" s="17" t="str">
        <x:v>한국서부발전(주)</x:v>
      </x:c>
      <x:c r="C41" s="17" t="str">
        <x:v>한국서부발전(주) 김포발전본부 환경화학설비 운전원(기간제 근로자) 모집공고</x:v>
      </x:c>
      <x:c r="D41" s="17" t="str">
        <x:v>경기</x:v>
      </x:c>
      <x:c r="E41" s="17" t="str">
        <x:v>비정규직</x:v>
      </x:c>
      <x:c r="F41" s="17" t="str">
        <x:v>2026.09.08</x:v>
      </x:c>
      <x:c r="G41" s="17" t="str">
        <x:v>26.09.23 D-14</x:v>
      </x:c>
      <x:c r="H41" s="17" t="str">
        <x:v>기간제·비정규</x:v>
      </x:c>
      <x:c r="I41" s="17" t="str">
        <x:v>세부조건 확인</x:v>
      </x:c>
      <x:c r="J41" s="17" t="str">
        <x:v>제한 문구 미탐지</x:v>
      </x:c>
      <x:c r="K41" s="17" t="str">
        <x:v>상세공고 확인</x:v>
      </x:c>
      <x:c r="L41" s="17" t="str">
        <x:v>상세공고 확인</x:v>
      </x:c>
      <x:c r="M41" s="17" t="str">
        <x:v>상세공고 확인</x:v>
      </x:c>
      <x:c r="N41" s="17" t="str">
        <x:v>상세공고 확인</x:v>
      </x:c>
      <x:c r="O41" s="17" t="str">
        <x:v>상세공고 확인</x:v>
      </x:c>
      <x:c r="P41" s="17" t="str">
        <x:v>상세공고 확인</x:v>
      </x:c>
      <x:c r="Q41" s="17" t="str">
        <x:v>상세공고 확인</x:v>
      </x:c>
      <x:c r="R41" s="17" t="str">
        <x:v>상세공고 확인</x:v>
      </x:c>
      <x:c r="S41" s="17" t="str">
        <x:v>상세공고 확인</x:v>
      </x:c>
      <x:c r="T41" s="17" t="str">
        <x:v>상세공고 확인</x:v>
      </x:c>
      <x:c r="U41" s="17" t="str">
        <x:v>상세공고 확인</x:v>
      </x:c>
      <x:c r="V41" s="17" t="str">
        <x:v>목록 항목 확인</x:v>
      </x:c>
      <x:c r="W41" s="17" t="str">
        <x:v>공고 상세에서 확인</x:v>
      </x:c>
      <x:c r="X41" s="18" t="str">
        <x:v>https://job.alio.go.kr/recruitview.do?idx=304731</x:v>
      </x:c>
      <x:c r="Y41" s="1"/>
      <x:c r="Z41" s="1"/>
    </x:row>
    <x:row r="42" ht="54" customHeight="1">
      <x:c r="A42" s="17" t="n">
        <x:v>382</x:v>
      </x:c>
      <x:c r="B42" s="17" t="str">
        <x:v>국민연금공단</x:v>
      </x:c>
      <x:c r="C42" s="17" t="str">
        <x:v>2차 베테랑 시니어지원단(기간제근로자) 공개채용 공고</x:v>
      </x:c>
      <x:c r="D42" s="17" t="str">
        <x:v>서울 외 8</x:v>
      </x:c>
      <x:c r="E42" s="17" t="str">
        <x:v>비정규직</x:v>
      </x:c>
      <x:c r="F42" s="17" t="str">
        <x:v>2026.09.08</x:v>
      </x:c>
      <x:c r="G42" s="17" t="str">
        <x:v>26.09.15 D-6</x:v>
      </x:c>
      <x:c r="H42" s="17" t="str">
        <x:v>기간제·비정규</x:v>
      </x:c>
      <x:c r="I42" s="17" t="str">
        <x:v>세부조건 확인</x:v>
      </x:c>
      <x:c r="J42" s="17" t="str">
        <x:v>제한 문구 미탐지</x:v>
      </x:c>
      <x:c r="K42" s="17" t="str">
        <x:v>상세공고 확인</x:v>
      </x:c>
      <x:c r="L42" s="17" t="str">
        <x:v>상세공고 확인</x:v>
      </x:c>
      <x:c r="M42" s="17" t="str">
        <x:v>상세공고 확인</x:v>
      </x:c>
      <x:c r="N42" s="17" t="str">
        <x:v>상세공고 확인</x:v>
      </x:c>
      <x:c r="O42" s="17" t="str">
        <x:v>상세공고 확인</x:v>
      </x:c>
      <x:c r="P42" s="17" t="str">
        <x:v>상세공고 확인</x:v>
      </x:c>
      <x:c r="Q42" s="17" t="str">
        <x:v>상세공고 확인</x:v>
      </x:c>
      <x:c r="R42" s="17" t="str">
        <x:v>상세공고 확인</x:v>
      </x:c>
      <x:c r="S42" s="17" t="str">
        <x:v>상세공고 확인</x:v>
      </x:c>
      <x:c r="T42" s="17" t="str">
        <x:v>상세공고 확인</x:v>
      </x:c>
      <x:c r="U42" s="17" t="str">
        <x:v>상세공고 확인</x:v>
      </x:c>
      <x:c r="V42" s="17" t="str">
        <x:v>목록 항목 확인</x:v>
      </x:c>
      <x:c r="W42" s="17" t="str">
        <x:v>공고 상세에서 확인</x:v>
      </x:c>
      <x:c r="X42" s="18" t="str">
        <x:v>https://job.alio.go.kr/recruitview.do?idx=304729</x:v>
      </x:c>
      <x:c r="Y42" s="1"/>
      <x:c r="Z42" s="1"/>
    </x:row>
    <x:row r="43" ht="54" customHeight="1">
      <x:c r="A43" s="17" t="n">
        <x:v>381</x:v>
      </x:c>
      <x:c r="B43" s="17" t="str">
        <x:v>한국보훈복지의료공단</x:v>
      </x:c>
      <x:c r="C43" s="17" t="str">
        <x:v>[광주보훈병원] 계약직 업무지원직(고객지원_간병지원) 직원 채용 공고</x:v>
      </x:c>
      <x:c r="D43" s="17" t="str">
        <x:v>전남광주</x:v>
      </x:c>
      <x:c r="E43" s="17" t="str">
        <x:v>비정규직</x:v>
      </x:c>
      <x:c r="F43" s="17" t="str">
        <x:v>2026.09.08</x:v>
      </x:c>
      <x:c r="G43" s="17" t="str">
        <x:v>26.09.18 D-9</x:v>
      </x:c>
      <x:c r="H43" s="17" t="str">
        <x:v>기간제·비정규</x:v>
      </x:c>
      <x:c r="I43" s="17" t="str">
        <x:v>세부조건 확인</x:v>
      </x:c>
      <x:c r="J43" s="17" t="str">
        <x:v>제한 문구 미탐지</x:v>
      </x:c>
      <x:c r="K43" s="17" t="str">
        <x:v>상세공고 확인</x:v>
      </x:c>
      <x:c r="L43" s="17" t="str">
        <x:v>상세공고 확인</x:v>
      </x:c>
      <x:c r="M43" s="17" t="str">
        <x:v>상세공고 확인</x:v>
      </x:c>
      <x:c r="N43" s="17" t="str">
        <x:v>상세공고 확인</x:v>
      </x:c>
      <x:c r="O43" s="17" t="str">
        <x:v>상세공고 확인</x:v>
      </x:c>
      <x:c r="P43" s="17" t="str">
        <x:v>상세공고 확인</x:v>
      </x:c>
      <x:c r="Q43" s="17" t="str">
        <x:v>상세공고 확인</x:v>
      </x:c>
      <x:c r="R43" s="17" t="str">
        <x:v>상세공고 확인</x:v>
      </x:c>
      <x:c r="S43" s="17" t="str">
        <x:v>상세공고 확인</x:v>
      </x:c>
      <x:c r="T43" s="17" t="str">
        <x:v>상세공고 확인</x:v>
      </x:c>
      <x:c r="U43" s="17" t="str">
        <x:v>상세공고 확인</x:v>
      </x:c>
      <x:c r="V43" s="17" t="str">
        <x:v>목록 항목 확인</x:v>
      </x:c>
      <x:c r="W43" s="17" t="str">
        <x:v>공고 상세에서 확인</x:v>
      </x:c>
      <x:c r="X43" s="18" t="str">
        <x:v>https://job.alio.go.kr/recruitview.do?idx=304728</x:v>
      </x:c>
      <x:c r="Y43" s="1"/>
      <x:c r="Z43" s="1"/>
    </x:row>
    <x:row r="44" ht="54" customHeight="1">
      <x:c r="A44" s="17" t="n">
        <x:v>380</x:v>
      </x:c>
      <x:c r="B44" s="17" t="str">
        <x:v>한국보훈복지의료공단</x:v>
      </x:c>
      <x:c r="C44" s="17" t="str">
        <x:v>[광주보훈병원] 정규직-무기계약직 업무지원직(급식_취사원) 직원 채용 공고</x:v>
      </x:c>
      <x:c r="D44" s="17" t="str">
        <x:v>전남광주</x:v>
      </x:c>
      <x:c r="E44" s="17" t="str">
        <x:v>무기계약직</x:v>
      </x:c>
      <x:c r="F44" s="17" t="str">
        <x:v>2026.09.08</x:v>
      </x:c>
      <x:c r="G44" s="17" t="str">
        <x:v>26.09.18 D-9</x:v>
      </x:c>
      <x:c r="H44" s="17" t="str">
        <x:v>무기계약·공무직</x:v>
      </x:c>
      <x:c r="I44" s="17" t="str">
        <x:v>세부조건 확인</x:v>
      </x:c>
      <x:c r="J44" s="17" t="str">
        <x:v>제한 문구 미탐지</x:v>
      </x:c>
      <x:c r="K44" s="17" t="str">
        <x:v>상세공고 확인</x:v>
      </x:c>
      <x:c r="L44" s="17" t="str">
        <x:v>상세공고 확인</x:v>
      </x:c>
      <x:c r="M44" s="17" t="str">
        <x:v>상세공고 확인</x:v>
      </x:c>
      <x:c r="N44" s="17" t="str">
        <x:v>상세공고 확인</x:v>
      </x:c>
      <x:c r="O44" s="17" t="str">
        <x:v>상세공고 확인</x:v>
      </x:c>
      <x:c r="P44" s="17" t="str">
        <x:v>상세공고 확인</x:v>
      </x:c>
      <x:c r="Q44" s="17" t="str">
        <x:v>상세공고 확인</x:v>
      </x:c>
      <x:c r="R44" s="17" t="str">
        <x:v>상세공고 확인</x:v>
      </x:c>
      <x:c r="S44" s="17" t="str">
        <x:v>상세공고 확인</x:v>
      </x:c>
      <x:c r="T44" s="17" t="str">
        <x:v>상세공고 확인</x:v>
      </x:c>
      <x:c r="U44" s="17" t="str">
        <x:v>상세공고 확인</x:v>
      </x:c>
      <x:c r="V44" s="17" t="str">
        <x:v>목록 항목 확인</x:v>
      </x:c>
      <x:c r="W44" s="17" t="str">
        <x:v>공고 상세에서 확인</x:v>
      </x:c>
      <x:c r="X44" s="18" t="str">
        <x:v>https://job.alio.go.kr/recruitview.do?idx=304727</x:v>
      </x:c>
      <x:c r="Y44" s="1"/>
      <x:c r="Z44" s="1"/>
    </x:row>
    <x:row r="45" ht="54" customHeight="1">
      <x:c r="A45" s="17" t="n">
        <x:v>379</x:v>
      </x:c>
      <x:c r="B45" s="17" t="str">
        <x:v>한전KPS(주)</x:v>
      </x:c>
      <x:c r="C45" s="17" t="str">
        <x:v>한전KPS(주)충남전북전력지사(서산지점) 단기노무원 채용 공고</x:v>
      </x:c>
      <x:c r="D45" s="17" t="str">
        <x:v>충남</x:v>
      </x:c>
      <x:c r="E45" s="17" t="str">
        <x:v>비정규직</x:v>
      </x:c>
      <x:c r="F45" s="17" t="str">
        <x:v>2026.09.08</x:v>
      </x:c>
      <x:c r="G45" s="17" t="str">
        <x:v>26.09.10 D-1</x:v>
      </x:c>
      <x:c r="H45" s="17" t="str">
        <x:v>기간제·비정규</x:v>
      </x:c>
      <x:c r="I45" s="17" t="str">
        <x:v>세부조건 확인</x:v>
      </x:c>
      <x:c r="J45" s="17" t="str">
        <x:v>제한 문구 미탐지</x:v>
      </x:c>
      <x:c r="K45" s="17" t="str">
        <x:v>상세공고 확인</x:v>
      </x:c>
      <x:c r="L45" s="17" t="str">
        <x:v>상세공고 확인</x:v>
      </x:c>
      <x:c r="M45" s="17" t="str">
        <x:v>상세공고 확인</x:v>
      </x:c>
      <x:c r="N45" s="17" t="str">
        <x:v>상세공고 확인</x:v>
      </x:c>
      <x:c r="O45" s="17" t="str">
        <x:v>상세공고 확인</x:v>
      </x:c>
      <x:c r="P45" s="17" t="str">
        <x:v>상세공고 확인</x:v>
      </x:c>
      <x:c r="Q45" s="17" t="str">
        <x:v>상세공고 확인</x:v>
      </x:c>
      <x:c r="R45" s="17" t="str">
        <x:v>상세공고 확인</x:v>
      </x:c>
      <x:c r="S45" s="17" t="str">
        <x:v>상세공고 확인</x:v>
      </x:c>
      <x:c r="T45" s="17" t="str">
        <x:v>상세공고 확인</x:v>
      </x:c>
      <x:c r="U45" s="17" t="str">
        <x:v>상세공고 확인</x:v>
      </x:c>
      <x:c r="V45" s="17" t="str">
        <x:v>목록 항목 확인</x:v>
      </x:c>
      <x:c r="W45" s="17" t="str">
        <x:v>공고 상세에서 확인</x:v>
      </x:c>
      <x:c r="X45" s="18" t="str">
        <x:v>https://job.alio.go.kr/recruitview.do?idx=304723</x:v>
      </x:c>
      <x:c r="Y45" s="1"/>
      <x:c r="Z45" s="1"/>
    </x:row>
    <x:row r="46" ht="54" customHeight="1">
      <x:c r="A46" s="17" t="n">
        <x:v>378</x:v>
      </x:c>
      <x:c r="B46" s="17" t="str">
        <x:v>건강보험심사평가원</x:v>
      </x:c>
      <x:c r="C46" s="17" t="str">
        <x:v>건강보험심사평가원 정책소통전문가 채용 공고</x:v>
      </x:c>
      <x:c r="D46" s="17" t="str">
        <x:v>강원</x:v>
      </x:c>
      <x:c r="E46" s="17" t="str">
        <x:v>비정규직</x:v>
      </x:c>
      <x:c r="F46" s="17" t="str">
        <x:v>2026.09.08</x:v>
      </x:c>
      <x:c r="G46" s="17" t="str">
        <x:v>26.09.22 D-13</x:v>
      </x:c>
      <x:c r="H46" s="17" t="str">
        <x:v>기간제·비정규</x:v>
      </x:c>
      <x:c r="I46" s="17" t="str">
        <x:v>세부조건 확인</x:v>
      </x:c>
      <x:c r="J46" s="17" t="str">
        <x:v>제한 문구 미탐지</x:v>
      </x:c>
      <x:c r="K46" s="17" t="str">
        <x:v>상세공고 확인</x:v>
      </x:c>
      <x:c r="L46" s="17" t="str">
        <x:v>상세공고 확인</x:v>
      </x:c>
      <x:c r="M46" s="17" t="str">
        <x:v>상세공고 확인</x:v>
      </x:c>
      <x:c r="N46" s="17" t="str">
        <x:v>상세공고 확인</x:v>
      </x:c>
      <x:c r="O46" s="17" t="str">
        <x:v>상세공고 확인</x:v>
      </x:c>
      <x:c r="P46" s="17" t="str">
        <x:v>상세공고 확인</x:v>
      </x:c>
      <x:c r="Q46" s="17" t="str">
        <x:v>상세공고 확인</x:v>
      </x:c>
      <x:c r="R46" s="17" t="str">
        <x:v>상세공고 확인</x:v>
      </x:c>
      <x:c r="S46" s="17" t="str">
        <x:v>상세공고 확인</x:v>
      </x:c>
      <x:c r="T46" s="17" t="str">
        <x:v>상세공고 확인</x:v>
      </x:c>
      <x:c r="U46" s="17" t="str">
        <x:v>상세공고 확인</x:v>
      </x:c>
      <x:c r="V46" s="17" t="str">
        <x:v>목록 항목 확인</x:v>
      </x:c>
      <x:c r="W46" s="17" t="str">
        <x:v>공고 상세에서 확인</x:v>
      </x:c>
      <x:c r="X46" s="18" t="str">
        <x:v>https://job.alio.go.kr/recruitview.do?idx=304722</x:v>
      </x:c>
      <x:c r="Y46" s="1"/>
      <x:c r="Z46" s="1"/>
    </x:row>
    <x:row r="47" ht="54" customHeight="1">
      <x:c r="A47" s="17" t="n">
        <x:v>377</x:v>
      </x:c>
      <x:c r="B47" s="17" t="str">
        <x:v>한국특허기술진흥원</x:v>
      </x:c>
      <x:c r="C47" s="17" t="str">
        <x:v>한국특허기술진흥원 기간제계약직(영문에디터(휴직대체), 청소원(장애인제한경쟁, 재공고)) 채용 안내</x:v>
      </x:c>
      <x:c r="D47" s="17" t="str">
        <x:v>서울 외 1</x:v>
      </x:c>
      <x:c r="E47" s="17" t="str">
        <x:v>비정규직</x:v>
      </x:c>
      <x:c r="F47" s="17" t="str">
        <x:v>2026.09.08</x:v>
      </x:c>
      <x:c r="G47" s="17" t="str">
        <x:v>26.09.22 D-13</x:v>
      </x:c>
      <x:c r="H47" s="17" t="str">
        <x:v>제한경쟁·조건부</x:v>
      </x:c>
      <x:c r="I47" s="17" t="str">
        <x:v>조건 충족자만</x:v>
      </x:c>
      <x:c r="J47" s="17" t="str">
        <x:v>장애 관련 제한경쟁</x:v>
      </x:c>
      <x:c r="K47" s="17" t="str">
        <x:v>상세공고 확인</x:v>
      </x:c>
      <x:c r="L47" s="17" t="str">
        <x:v>상세공고 확인</x:v>
      </x:c>
      <x:c r="M47" s="17" t="str">
        <x:v>상세공고 확인</x:v>
      </x:c>
      <x:c r="N47" s="17" t="str">
        <x:v>상세공고 확인</x:v>
      </x:c>
      <x:c r="O47" s="17" t="str">
        <x:v>상세공고 확인</x:v>
      </x:c>
      <x:c r="P47" s="17" t="str">
        <x:v>상세공고 확인</x:v>
      </x:c>
      <x:c r="Q47" s="17" t="str">
        <x:v>상세공고 확인</x:v>
      </x:c>
      <x:c r="R47" s="17" t="str">
        <x:v>상세공고 확인</x:v>
      </x:c>
      <x:c r="S47" s="17" t="str">
        <x:v>상세공고 확인</x:v>
      </x:c>
      <x:c r="T47" s="17" t="str">
        <x:v>상세공고 확인</x:v>
      </x:c>
      <x:c r="U47" s="17" t="str">
        <x:v>상세공고 확인</x:v>
      </x:c>
      <x:c r="V47" s="17" t="str">
        <x:v>목록 항목 확인</x:v>
      </x:c>
      <x:c r="W47" s="17" t="str">
        <x:v>공고 상세에서 확인</x:v>
      </x:c>
      <x:c r="X47" s="18" t="str">
        <x:v>https://job.alio.go.kr/recruitview.do?idx=304720</x:v>
      </x:c>
      <x:c r="Y47" s="1"/>
      <x:c r="Z47" s="1"/>
    </x:row>
    <x:row r="48" ht="54" customHeight="1">
      <x:c r="A48" s="17" t="n">
        <x:v>376</x:v>
      </x:c>
      <x:c r="B48" s="17" t="str">
        <x:v>한전KPS(주)</x:v>
      </x:c>
      <x:c r="C48" s="17" t="str">
        <x:v>한전KPS(주)부산경남전력지사 울산지점 단기노무원(상주감시)모집</x:v>
      </x:c>
      <x:c r="D48" s="17" t="str">
        <x:v>울산</x:v>
      </x:c>
      <x:c r="E48" s="17" t="str">
        <x:v>비정규직</x:v>
      </x:c>
      <x:c r="F48" s="17" t="str">
        <x:v>2026.09.08</x:v>
      </x:c>
      <x:c r="G48" s="17" t="str">
        <x:v>26.09.10 D-1</x:v>
      </x:c>
      <x:c r="H48" s="17" t="str">
        <x:v>기간제·비정규</x:v>
      </x:c>
      <x:c r="I48" s="17" t="str">
        <x:v>세부조건 확인</x:v>
      </x:c>
      <x:c r="J48" s="17" t="str">
        <x:v>제한 문구 미탐지</x:v>
      </x:c>
      <x:c r="K48" s="17" t="str">
        <x:v>상세공고 확인</x:v>
      </x:c>
      <x:c r="L48" s="17" t="str">
        <x:v>상세공고 확인</x:v>
      </x:c>
      <x:c r="M48" s="17" t="str">
        <x:v>상세공고 확인</x:v>
      </x:c>
      <x:c r="N48" s="17" t="str">
        <x:v>상세공고 확인</x:v>
      </x:c>
      <x:c r="O48" s="17" t="str">
        <x:v>상세공고 확인</x:v>
      </x:c>
      <x:c r="P48" s="17" t="str">
        <x:v>상세공고 확인</x:v>
      </x:c>
      <x:c r="Q48" s="17" t="str">
        <x:v>상세공고 확인</x:v>
      </x:c>
      <x:c r="R48" s="17" t="str">
        <x:v>상세공고 확인</x:v>
      </x:c>
      <x:c r="S48" s="17" t="str">
        <x:v>상세공고 확인</x:v>
      </x:c>
      <x:c r="T48" s="17" t="str">
        <x:v>상세공고 확인</x:v>
      </x:c>
      <x:c r="U48" s="17" t="str">
        <x:v>상세공고 확인</x:v>
      </x:c>
      <x:c r="V48" s="17" t="str">
        <x:v>목록 항목 확인</x:v>
      </x:c>
      <x:c r="W48" s="17" t="str">
        <x:v>공고 상세에서 확인</x:v>
      </x:c>
      <x:c r="X48" s="18" t="str">
        <x:v>https://job.alio.go.kr/recruitview.do?idx=304719</x:v>
      </x:c>
      <x:c r="Y48" s="1"/>
      <x:c r="Z48" s="1"/>
    </x:row>
    <x:row r="49" ht="54" customHeight="1">
      <x:c r="A49" s="17" t="n">
        <x:v>375</x:v>
      </x:c>
      <x:c r="B49" s="17" t="str">
        <x:v>한전KPS(주)</x:v>
      </x:c>
      <x:c r="C49" s="17" t="str">
        <x:v>한전KPS(주)부산경남전력지사 창원지점 단기노무원(상주감시) 모집</x:v>
      </x:c>
      <x:c r="D49" s="17" t="str">
        <x:v>경남</x:v>
      </x:c>
      <x:c r="E49" s="17" t="str">
        <x:v>비정규직</x:v>
      </x:c>
      <x:c r="F49" s="17" t="str">
        <x:v>2026.09.08</x:v>
      </x:c>
      <x:c r="G49" s="17" t="str">
        <x:v>26.09.15 D-6</x:v>
      </x:c>
      <x:c r="H49" s="17" t="str">
        <x:v>기간제·비정규</x:v>
      </x:c>
      <x:c r="I49" s="17" t="str">
        <x:v>세부조건 확인</x:v>
      </x:c>
      <x:c r="J49" s="17" t="str">
        <x:v>제한 문구 미탐지</x:v>
      </x:c>
      <x:c r="K49" s="17" t="str">
        <x:v>상세공고 확인</x:v>
      </x:c>
      <x:c r="L49" s="17" t="str">
        <x:v>상세공고 확인</x:v>
      </x:c>
      <x:c r="M49" s="17" t="str">
        <x:v>상세공고 확인</x:v>
      </x:c>
      <x:c r="N49" s="17" t="str">
        <x:v>상세공고 확인</x:v>
      </x:c>
      <x:c r="O49" s="17" t="str">
        <x:v>상세공고 확인</x:v>
      </x:c>
      <x:c r="P49" s="17" t="str">
        <x:v>상세공고 확인</x:v>
      </x:c>
      <x:c r="Q49" s="17" t="str">
        <x:v>상세공고 확인</x:v>
      </x:c>
      <x:c r="R49" s="17" t="str">
        <x:v>상세공고 확인</x:v>
      </x:c>
      <x:c r="S49" s="17" t="str">
        <x:v>상세공고 확인</x:v>
      </x:c>
      <x:c r="T49" s="17" t="str">
        <x:v>상세공고 확인</x:v>
      </x:c>
      <x:c r="U49" s="17" t="str">
        <x:v>상세공고 확인</x:v>
      </x:c>
      <x:c r="V49" s="17" t="str">
        <x:v>목록 항목 확인</x:v>
      </x:c>
      <x:c r="W49" s="17" t="str">
        <x:v>공고 상세에서 확인</x:v>
      </x:c>
      <x:c r="X49" s="18" t="str">
        <x:v>https://job.alio.go.kr/recruitview.do?idx=304718</x:v>
      </x:c>
      <x:c r="Y49" s="1"/>
      <x:c r="Z49" s="1"/>
    </x:row>
    <x:row r="50" ht="54" customHeight="1">
      <x:c r="A50" s="17" t="n">
        <x:v>374</x:v>
      </x:c>
      <x:c r="B50" s="17" t="str">
        <x:v>한전KDN</x:v>
      </x:c>
      <x:c r="C50" s="17" t="str">
        <x:v>한전KDN(주) 광주전남본부 전력통신분야 비정규직 모집공고(재공고)</x:v>
      </x:c>
      <x:c r="D50" s="17" t="str">
        <x:v>전남광주</x:v>
      </x:c>
      <x:c r="E50" s="17" t="str">
        <x:v>비정규직</x:v>
      </x:c>
      <x:c r="F50" s="17" t="str">
        <x:v>2026.09.08</x:v>
      </x:c>
      <x:c r="G50" s="17" t="str">
        <x:v>26.09.21 D-12</x:v>
      </x:c>
      <x:c r="H50" s="17" t="str">
        <x:v>기간제·비정규</x:v>
      </x:c>
      <x:c r="I50" s="17" t="str">
        <x:v>세부조건 확인</x:v>
      </x:c>
      <x:c r="J50" s="17" t="str">
        <x:v>제한 문구 미탐지</x:v>
      </x:c>
      <x:c r="K50" s="17" t="str">
        <x:v>상세공고 확인</x:v>
      </x:c>
      <x:c r="L50" s="17" t="str">
        <x:v>상세공고 확인</x:v>
      </x:c>
      <x:c r="M50" s="17" t="str">
        <x:v>상세공고 확인</x:v>
      </x:c>
      <x:c r="N50" s="17" t="str">
        <x:v>상세공고 확인</x:v>
      </x:c>
      <x:c r="O50" s="17" t="str">
        <x:v>상세공고 확인</x:v>
      </x:c>
      <x:c r="P50" s="17" t="str">
        <x:v>상세공고 확인</x:v>
      </x:c>
      <x:c r="Q50" s="17" t="str">
        <x:v>상세공고 확인</x:v>
      </x:c>
      <x:c r="R50" s="17" t="str">
        <x:v>상세공고 확인</x:v>
      </x:c>
      <x:c r="S50" s="17" t="str">
        <x:v>상세공고 확인</x:v>
      </x:c>
      <x:c r="T50" s="17" t="str">
        <x:v>상세공고 확인</x:v>
      </x:c>
      <x:c r="U50" s="17" t="str">
        <x:v>상세공고 확인</x:v>
      </x:c>
      <x:c r="V50" s="17" t="str">
        <x:v>목록 항목 확인</x:v>
      </x:c>
      <x:c r="W50" s="17" t="str">
        <x:v>공고 상세에서 확인</x:v>
      </x:c>
      <x:c r="X50" s="18" t="str">
        <x:v>https://job.alio.go.kr/recruitview.do?idx=304715</x:v>
      </x:c>
      <x:c r="Y50" s="1"/>
      <x:c r="Z50" s="1"/>
    </x:row>
    <x:row r="51" ht="54" customHeight="1">
      <x:c r="A51" s="17" t="n">
        <x:v>373</x:v>
      </x:c>
      <x:c r="B51" s="17" t="str">
        <x:v>학교법인한국폴리텍</x:v>
      </x:c>
      <x:c r="C51" s="17" t="str">
        <x:v>한국폴리텍대학 광명융합기술교육원 대학운영직(경비원) _보훈특별고용 채용 공고</x:v>
      </x:c>
      <x:c r="D51" s="17" t="str">
        <x:v>경기</x:v>
      </x:c>
      <x:c r="E51" s="17" t="str">
        <x:v>무기계약직</x:v>
      </x:c>
      <x:c r="F51" s="17" t="str">
        <x:v>2026.09.08</x:v>
      </x:c>
      <x:c r="G51" s="17" t="str">
        <x:v>26.09.15 D-6</x:v>
      </x:c>
      <x:c r="H51" s="17" t="str">
        <x:v>제한경쟁·조건부</x:v>
      </x:c>
      <x:c r="I51" s="17" t="str">
        <x:v>조건 충족자만</x:v>
      </x:c>
      <x:c r="J51" s="17" t="str">
        <x:v>보훈 관련 제한경쟁</x:v>
      </x:c>
      <x:c r="K51" s="17" t="str">
        <x:v>상세공고 확인</x:v>
      </x:c>
      <x:c r="L51" s="17" t="str">
        <x:v>상세공고 확인</x:v>
      </x:c>
      <x:c r="M51" s="17" t="str">
        <x:v>상세공고 확인</x:v>
      </x:c>
      <x:c r="N51" s="17" t="str">
        <x:v>상세공고 확인</x:v>
      </x:c>
      <x:c r="O51" s="17" t="str">
        <x:v>상세공고 확인</x:v>
      </x:c>
      <x:c r="P51" s="17" t="str">
        <x:v>상세공고 확인</x:v>
      </x:c>
      <x:c r="Q51" s="17" t="str">
        <x:v>상세공고 확인</x:v>
      </x:c>
      <x:c r="R51" s="17" t="str">
        <x:v>상세공고 확인</x:v>
      </x:c>
      <x:c r="S51" s="17" t="str">
        <x:v>상세공고 확인</x:v>
      </x:c>
      <x:c r="T51" s="17" t="str">
        <x:v>상세공고 확인</x:v>
      </x:c>
      <x:c r="U51" s="17" t="str">
        <x:v>상세공고 확인</x:v>
      </x:c>
      <x:c r="V51" s="17" t="str">
        <x:v>목록 항목 확인</x:v>
      </x:c>
      <x:c r="W51" s="17" t="str">
        <x:v>공고 상세에서 확인</x:v>
      </x:c>
      <x:c r="X51" s="18" t="str">
        <x:v>https://job.alio.go.kr/recruitview.do?idx=304706</x:v>
      </x:c>
      <x:c r="Y51" s="1"/>
      <x:c r="Z51" s="1"/>
    </x:row>
    <x:row r="52" ht="54" customHeight="1">
      <x:c r="A52" s="17" t="n">
        <x:v>372</x:v>
      </x:c>
      <x:c r="B52" s="17" t="str">
        <x:v>경북대학교병원</x:v>
      </x:c>
      <x:c r="C52" s="17" t="str">
        <x:v>칠곡경북대학교병원 2026년 9월 3차 임시직원 채용공고(행정, 임상병리사, 보건의료정보관리사, 물리치료사)</x:v>
      </x:c>
      <x:c r="D52" s="17" t="str">
        <x:v>대구</x:v>
      </x:c>
      <x:c r="E52" s="17" t="str">
        <x:v>비정규직</x:v>
      </x:c>
      <x:c r="F52" s="17" t="str">
        <x:v>2026.09.08</x:v>
      </x:c>
      <x:c r="G52" s="17" t="str">
        <x:v>26.09.14 D-5</x:v>
      </x:c>
      <x:c r="H52" s="17" t="str">
        <x:v>기간제·비정규</x:v>
      </x:c>
      <x:c r="I52" s="17" t="str">
        <x:v>세부조건 확인</x:v>
      </x:c>
      <x:c r="J52" s="17" t="str">
        <x:v>제한 문구 미탐지</x:v>
      </x:c>
      <x:c r="K52" s="17" t="str">
        <x:v>상세공고 확인</x:v>
      </x:c>
      <x:c r="L52" s="17" t="str">
        <x:v>상세공고 확인</x:v>
      </x:c>
      <x:c r="M52" s="17" t="str">
        <x:v>상세공고 확인</x:v>
      </x:c>
      <x:c r="N52" s="17" t="str">
        <x:v>상세공고 확인</x:v>
      </x:c>
      <x:c r="O52" s="17" t="str">
        <x:v>상세공고 확인</x:v>
      </x:c>
      <x:c r="P52" s="17" t="str">
        <x:v>상세공고 확인</x:v>
      </x:c>
      <x:c r="Q52" s="17" t="str">
        <x:v>상세공고 확인</x:v>
      </x:c>
      <x:c r="R52" s="17" t="str">
        <x:v>상세공고 확인</x:v>
      </x:c>
      <x:c r="S52" s="17" t="str">
        <x:v>상세공고 확인</x:v>
      </x:c>
      <x:c r="T52" s="17" t="str">
        <x:v>상세공고 확인</x:v>
      </x:c>
      <x:c r="U52" s="17" t="str">
        <x:v>상세공고 확인</x:v>
      </x:c>
      <x:c r="V52" s="17" t="str">
        <x:v>목록 항목 확인</x:v>
      </x:c>
      <x:c r="W52" s="17" t="str">
        <x:v>공고 상세에서 확인</x:v>
      </x:c>
      <x:c r="X52" s="18" t="str">
        <x:v>https://job.alio.go.kr/recruitview.do?idx=304700</x:v>
      </x:c>
      <x:c r="Y52" s="1"/>
      <x:c r="Z52" s="1"/>
    </x:row>
    <x:row r="53" ht="54" customHeight="1">
      <x:c r="A53" s="17" t="n">
        <x:v>371</x:v>
      </x:c>
      <x:c r="B53" s="17" t="str">
        <x:v>한국산업은행</x:v>
      </x:c>
      <x:c r="C53" s="17" t="str">
        <x:v>한국산업은행 2026년 3차 청년인턴 채용공고</x:v>
      </x:c>
      <x:c r="D53" s="17" t="str">
        <x:v>서울 외 14</x:v>
      </x:c>
      <x:c r="E53" s="17" t="str">
        <x:v>청년인턴(체험형)</x:v>
      </x:c>
      <x:c r="F53" s="17" t="str">
        <x:v>2026.09.08</x:v>
      </x:c>
      <x:c r="G53" s="17" t="str">
        <x:v>26.09.22 D-13</x:v>
      </x:c>
      <x:c r="H53" s="17" t="str">
        <x:v>체험형·청년인턴</x:v>
      </x:c>
      <x:c r="I53" s="17" t="str">
        <x:v>우선검토</x:v>
      </x:c>
      <x:c r="J53" s="17" t="str">
        <x:v>제한 문구 미탐지</x:v>
      </x:c>
      <x:c r="K53" s="17" t="str">
        <x:v>상세공고 확인</x:v>
      </x:c>
      <x:c r="L53" s="17" t="str">
        <x:v>상세공고 확인</x:v>
      </x:c>
      <x:c r="M53" s="17" t="str">
        <x:v>상세공고 확인</x:v>
      </x:c>
      <x:c r="N53" s="17" t="str">
        <x:v>상세공고 확인</x:v>
      </x:c>
      <x:c r="O53" s="17" t="str">
        <x:v>상세공고 확인</x:v>
      </x:c>
      <x:c r="P53" s="17" t="str">
        <x:v>상세공고 확인</x:v>
      </x:c>
      <x:c r="Q53" s="17" t="str">
        <x:v>상세공고 확인</x:v>
      </x:c>
      <x:c r="R53" s="17" t="str">
        <x:v>상세공고 확인</x:v>
      </x:c>
      <x:c r="S53" s="17" t="str">
        <x:v>상세공고 확인</x:v>
      </x:c>
      <x:c r="T53" s="17" t="str">
        <x:v>상세공고 확인</x:v>
      </x:c>
      <x:c r="U53" s="17" t="str">
        <x:v>상세공고 확인</x:v>
      </x:c>
      <x:c r="V53" s="17" t="str">
        <x:v>목록 항목 확인</x:v>
      </x:c>
      <x:c r="W53" s="17" t="str">
        <x:v>공고 상세에서 확인</x:v>
      </x:c>
      <x:c r="X53" s="18" t="str">
        <x:v>https://job.alio.go.kr/recruitview.do?idx=304680</x:v>
      </x:c>
      <x:c r="Y53" s="1"/>
      <x:c r="Z53" s="1"/>
    </x:row>
    <x:row r="54" ht="54" customHeight="1">
      <x:c r="A54" s="17" t="n">
        <x:v>370</x:v>
      </x:c>
      <x:c r="B54" s="17" t="str">
        <x:v>한전KDN</x:v>
      </x:c>
      <x:c r="C54" s="17" t="str">
        <x:v>한전KDN(주) 경남사업처 AMI 분야 비정규직 모집공고</x:v>
      </x:c>
      <x:c r="D54" s="17" t="str">
        <x:v>경남</x:v>
      </x:c>
      <x:c r="E54" s="17" t="str">
        <x:v>비정규직</x:v>
      </x:c>
      <x:c r="F54" s="17" t="str">
        <x:v>2026.09.08</x:v>
      </x:c>
      <x:c r="G54" s="17" t="str">
        <x:v>26.09.22 D-13</x:v>
      </x:c>
      <x:c r="H54" s="17" t="str">
        <x:v>기간제·비정규</x:v>
      </x:c>
      <x:c r="I54" s="17" t="str">
        <x:v>세부조건 확인</x:v>
      </x:c>
      <x:c r="J54" s="17" t="str">
        <x:v>제한 문구 미탐지</x:v>
      </x:c>
      <x:c r="K54" s="17" t="str">
        <x:v>상세공고 확인</x:v>
      </x:c>
      <x:c r="L54" s="17" t="str">
        <x:v>상세공고 확인</x:v>
      </x:c>
      <x:c r="M54" s="17" t="str">
        <x:v>상세공고 확인</x:v>
      </x:c>
      <x:c r="N54" s="17" t="str">
        <x:v>상세공고 확인</x:v>
      </x:c>
      <x:c r="O54" s="17" t="str">
        <x:v>상세공고 확인</x:v>
      </x:c>
      <x:c r="P54" s="17" t="str">
        <x:v>상세공고 확인</x:v>
      </x:c>
      <x:c r="Q54" s="17" t="str">
        <x:v>상세공고 확인</x:v>
      </x:c>
      <x:c r="R54" s="17" t="str">
        <x:v>상세공고 확인</x:v>
      </x:c>
      <x:c r="S54" s="17" t="str">
        <x:v>상세공고 확인</x:v>
      </x:c>
      <x:c r="T54" s="17" t="str">
        <x:v>상세공고 확인</x:v>
      </x:c>
      <x:c r="U54" s="17" t="str">
        <x:v>상세공고 확인</x:v>
      </x:c>
      <x:c r="V54" s="17" t="str">
        <x:v>목록 항목 확인</x:v>
      </x:c>
      <x:c r="W54" s="17" t="str">
        <x:v>공고 상세에서 확인</x:v>
      </x:c>
      <x:c r="X54" s="18" t="str">
        <x:v>https://job.alio.go.kr/recruitview.do?idx=304665</x:v>
      </x:c>
      <x:c r="Y54" s="1"/>
      <x:c r="Z54" s="1"/>
    </x:row>
    <x:row r="55" ht="54" customHeight="1">
      <x:c r="A55" s="17" t="n">
        <x:v>369</x:v>
      </x:c>
      <x:c r="B55" s="17" t="str">
        <x:v>한국전력기술주식회사</x:v>
      </x:c>
      <x:c r="C55" s="17" t="str">
        <x:v>2026년도 하반기 정규직(신입사원) 채용공고</x:v>
      </x:c>
      <x:c r="D55" s="17" t="str">
        <x:v>경북</x:v>
      </x:c>
      <x:c r="E55" s="17" t="str">
        <x:v>정규직</x:v>
      </x:c>
      <x:c r="F55" s="17" t="str">
        <x:v>2026.09.07</x:v>
      </x:c>
      <x:c r="G55" s="17" t="str">
        <x:v>26.09.22 D-13</x:v>
      </x:c>
      <x:c r="H55" s="17" t="str">
        <x:v>신입·정규직</x:v>
      </x:c>
      <x:c r="I55" s="17" t="str">
        <x:v>우선검토</x:v>
      </x:c>
      <x:c r="J55" s="17" t="str">
        <x:v>제한 문구 미탐지</x:v>
      </x:c>
      <x:c r="K55" s="17" t="str">
        <x:v>신입</x:v>
      </x:c>
      <x:c r="L55" s="17" t="str">
        <x:v>학력무관,고졸</x:v>
      </x:c>
      <x:c r="M55" s="17" t="str">
        <x:v>109명</x:v>
      </x:c>
      <x:c r="N55" s="17" t="str">
        <x:v>사업관리,경영.회계.사무,문화.예술.디자인.방송,건설,기계,전기.전자,정보통신,환경.에너지.안전</x:v>
      </x:c>
      <x:c r="O55" s="17" t="str">
        <x:v>사회형평 인재, 당사 체험형 인턴 수료자 중 우수인턴 선정자 등</x:v>
      </x:c>
      <x:c r="P55" s="17" t="str">
        <x:v>미탐지(원문 재확인)</x:v>
      </x:c>
      <x:c r="Q55" s="17" t="str">
        <x:v>상세공고 확인</x:v>
      </x:c>
      <x:c r="R55" s="17" t="str">
        <x:v>1. 공통 응시자격 - 채용 전 과정 블라인드 방식 적용 - 입사 예정일에 근무가 가능한 자로, 회사 정년(만60세)에 도달하지 아니한 자 - 회사 인사규정 제8조 결격사유에 해당하지 않는 자(첨부 공고문 참조) - 현재 군 복무 중인 경우, 면접전형 시작일 이전 전역이 가능한 자 2. 채용분야별 응시자격 : 채용공고 참조</x:v>
      </x:c>
      <x:c r="S55" s="17" t="str">
        <x:v>상세공고 확인</x:v>
      </x:c>
      <x:c r="T55" s="17" t="str">
        <x:v>1. 전형절차 : 서류전형 → 필기전형 → 면접전형 → 최종합격 2. 전형별 합격 예정인원 - 채용인원 5명 이하 분야 : (서류) 30배수 / (필기) 5배수 / (최종) 1배수 - 채용인원 5명 초과 분야 : (서류) 30배수 / (필기) 3배수 / (최종) 1배수 * 보훈, 장애인 채용의 경우 응시자격 충족자 전원 서류전형 합격</x:v>
      </x:c>
      <x:c r="U55" s="17" t="str">
        <x:v>전형절차 : 서류전형 → 필기전형 → 면접전형 → 최종합격 2</x:v>
      </x:c>
      <x:c r="V55" s="17" t="str">
        <x:v>상세 페이지 확인</x:v>
      </x:c>
      <x:c r="W55" s="17" t="str">
        <x:v>https://kepco-enc.cairos.co.kr/kepco-enc/</x:v>
      </x:c>
      <x:c r="X55" s="18" t="str">
        <x:v>https://job.alio.go.kr/recruitview.do?idx=304717</x:v>
      </x:c>
      <x:c r="Y55" s="1"/>
      <x:c r="Z55" s="1"/>
    </x:row>
    <x:row r="56" ht="54" customHeight="1">
      <x:c r="A56" s="17" t="n">
        <x:v>368</x:v>
      </x:c>
      <x:c r="B56" s="17" t="str">
        <x:v>한국수목원정원관리원</x:v>
      </x:c>
      <x:c r="C56" s="17" t="str">
        <x:v>한국수목원정원관리원 2026년 제3차 신규직원 채용 공고</x:v>
      </x:c>
      <x:c r="D56" s="17" t="str">
        <x:v>강원 외 3</x:v>
      </x:c>
      <x:c r="E56" s="17" t="str">
        <x:v>무기계약직 외 1</x:v>
      </x:c>
      <x:c r="F56" s="17" t="str">
        <x:v>2026.09.07</x:v>
      </x:c>
      <x:c r="G56" s="17" t="str">
        <x:v>26.09.21 D-12</x:v>
      </x:c>
      <x:c r="H56" s="17" t="str">
        <x:v>무기계약·공무직</x:v>
      </x:c>
      <x:c r="I56" s="17" t="str">
        <x:v>검토</x:v>
      </x:c>
      <x:c r="J56" s="17" t="str">
        <x:v>제한 문구 미탐지</x:v>
      </x:c>
      <x:c r="K56" s="17" t="str">
        <x:v>신입+경력</x:v>
      </x:c>
      <x:c r="L56" s="17" t="str">
        <x:v>학력무관,고졸,석사</x:v>
      </x:c>
      <x:c r="M56" s="17" t="str">
        <x:v>27명</x:v>
      </x:c>
      <x:c r="N56" s="17" t="str">
        <x:v>사업관리,경영.회계.사무,교육.자연.사회과학,문화.예술.디자인.방송,이용.숙박.여행.오락.스포츠,전기.전자,정보통신,환경.에너지.안전,농림어업</x:v>
      </x:c>
      <x:c r="O56" s="17" t="str">
        <x:v>취업지원대상자, 장애인 및 취업보호대상자, 정부권장정책(국민기초생활수급자, 차상위계층, 한부모가족 세대주, 북한이탈주민 보호대상자, 다문화가족의 자녀, 경력단절여성, 자립준비청년 등), 한국사능력검정시험 3급 이상 취득자 등(* 보다 자세한 사항은 첨부파일의 채용공고문 참조)</x:v>
      </x:c>
      <x:c r="P56" s="17" t="str">
        <x:v>명시 있음</x:v>
      </x:c>
      <x:c r="Q56" s="17" t="str">
        <x:v>상세공고 확인</x:v>
      </x:c>
      <x:c r="R56" s="17" t="str">
        <x:v>(일반직) - 4급 : 1. 정부, 공공기관, 사기업 등에서 채용예정 직무 관련 3년 이상 경력이 있는 자 2. 채용직무별 필수자격 사항을 충족하는 자 (일반직, 전시직) - 5급가 : 채용예정 직무를 수행할 수 있다고 인정되는 자(채용직무별 필수자격 및 우대사항 참조) - 5급나 : 공고시작일 기준 최종 학력이 고등학교 졸업(예정)자 중에서 대학에 진학한 적이 없고 학교장 추천을 받은 자 (전문직) - 5급가 : 채용예정 직무 분야와 관련하여 석사학위 이상 취득자 (공무직) - 채용예정 직무를 수행할 수 있다고 인정되는 자(채용직무별 필수자격 및 우대사항 참조) ※ 보다 자세한 사항은 첨부된 채용공고문 참조</x:v>
      </x:c>
      <x:c r="S56" s="17" t="str">
        <x:v>한국사</x:v>
      </x:c>
      <x:c r="T56" s="17" t="str">
        <x:v>(일반직 4급) - 1차(서류) 전형 : 5배수, 경력사항, 자격증, 직무수행계획서 및 자기소개서 - 2차(면접) 전형 : AI면접, 직무발표, 구조화 면접 (일반직, 전시직 5급가·나) - 1차(서류) 전형 : 15배수, 자격증, 영어시험(일반행정만 해당), 직무수행계획서 및 자기소개서 - 2차(필기) 전형 : 5배수, 직무상식시험, 직업기초능력검사, 인성검사 - 3차(면접) 전형 : AI면접, 토론면접, 구조화 면접 (전문직 5급가) - 1차(서류) 전형 : 10배수, 논문(연구실적), 직무수행계획서 및 자기소개서 - 2차(필기) 전형 : 5배수, 직업기초능력검사, 인성검사 - 3차(면접) 전형 : AI면접, 논문실적 발표, 구조화 면접 (공무직) - 1차(서류)전형 : 5배수, 자격증, 직무수행계획서 및 자기소개서 - 2차(면접)전형 : 구조화 면접 ※ 보다 자세한 사항은 첨부된 채용공고문 참조</x:v>
      </x:c>
      <x:c r="U56" s="17" t="str">
        <x:v>(일반직 4급) - 1차(서류) 전형 : 5배수, 경력사항, 자격증, 직무수행계획서 및 자기소개서 - 2차(면접) 전형 : AI면접, 직무발표, 구조화 면접 (일반직, 전시직 5급가·나) - 1차(서류) 전형 : 15배수, 자격증, 영어시험(일반행정만 해당), 직무수행계획서 및 자기소개서 - 2차(필기) 전형 : 5배수, 직무상식시험, 직업기초능력검사, 인성검사 - 3차(면접) 전형 : AI면접, 토론면접, 구조화 면접 (전문직 5급가) - 1차(서류) 전형 : 10배수, 논문(연구실적), 직무수행계획서 및 자기소개서 - 2차(필기) 전형 : 5배수, 직업기초능력검사, 인성검사 - 3차(면접) 전형 : AI면접, 논문실적 발표, 구조화 면접 (공무직) - 1차(서류)전형 : 5배수, 자격증, 직무수행계획서 및 자기소개서 - 2차(면접)전형 : 구조화 면접 ※ 보다 자세한 사항은 첨부된 채용공고문 참조</x:v>
      </x:c>
      <x:c r="V56" s="17" t="str">
        <x:v>상세 페이지 확인</x:v>
      </x:c>
      <x:c r="W56" s="17" t="str">
        <x:v>https://www.koagi.or.kr/www/user/bbs/BD_selectBbsList.do?q_bbsSn=1009</x:v>
      </x:c>
      <x:c r="X56" s="18" t="str">
        <x:v>https://job.alio.go.kr/recruitview.do?idx=304713</x:v>
      </x:c>
      <x:c r="Y56" s="1"/>
      <x:c r="Z56" s="1"/>
    </x:row>
    <x:row r="57" ht="54" customHeight="1">
      <x:c r="A57" s="17" t="n">
        <x:v>367</x:v>
      </x:c>
      <x:c r="B57" s="17" t="str">
        <x:v>학교법인한국폴리텍</x:v>
      </x:c>
      <x:c r="C57" s="17" t="str">
        <x:v>한국폴리텍대학 반도체융합캠퍼스 업무직(대학운영직_조리원) 채용공고</x:v>
      </x:c>
      <x:c r="D57" s="17" t="str">
        <x:v>경기</x:v>
      </x:c>
      <x:c r="E57" s="17" t="str">
        <x:v>무기계약직</x:v>
      </x:c>
      <x:c r="F57" s="17" t="str">
        <x:v>2026.09.07</x:v>
      </x:c>
      <x:c r="G57" s="17" t="str">
        <x:v>26.09.15 D-6</x:v>
      </x:c>
      <x:c r="H57" s="17" t="str">
        <x:v>무기계약·공무직</x:v>
      </x:c>
      <x:c r="I57" s="17" t="str">
        <x:v>세부조건 확인</x:v>
      </x:c>
      <x:c r="J57" s="17" t="str">
        <x:v>제한 문구 미탐지</x:v>
      </x:c>
      <x:c r="K57" s="17" t="str">
        <x:v>상세공고 확인</x:v>
      </x:c>
      <x:c r="L57" s="17" t="str">
        <x:v>상세공고 확인</x:v>
      </x:c>
      <x:c r="M57" s="17" t="str">
        <x:v>상세공고 확인</x:v>
      </x:c>
      <x:c r="N57" s="17" t="str">
        <x:v>상세공고 확인</x:v>
      </x:c>
      <x:c r="O57" s="17" t="str">
        <x:v>상세공고 확인</x:v>
      </x:c>
      <x:c r="P57" s="17" t="str">
        <x:v>상세공고 확인</x:v>
      </x:c>
      <x:c r="Q57" s="17" t="str">
        <x:v>상세공고 확인</x:v>
      </x:c>
      <x:c r="R57" s="17" t="str">
        <x:v>상세공고 확인</x:v>
      </x:c>
      <x:c r="S57" s="17" t="str">
        <x:v>상세공고 확인</x:v>
      </x:c>
      <x:c r="T57" s="17" t="str">
        <x:v>상세공고 확인</x:v>
      </x:c>
      <x:c r="U57" s="17" t="str">
        <x:v>상세공고 확인</x:v>
      </x:c>
      <x:c r="V57" s="17" t="str">
        <x:v>목록 항목 확인</x:v>
      </x:c>
      <x:c r="W57" s="17" t="str">
        <x:v>공고 상세에서 확인</x:v>
      </x:c>
      <x:c r="X57" s="18" t="str">
        <x:v>https://job.alio.go.kr/recruitview.do?idx=304707</x:v>
      </x:c>
      <x:c r="Y57" s="1"/>
      <x:c r="Z57" s="1"/>
    </x:row>
    <x:row r="58" ht="54" customHeight="1">
      <x:c r="A58" s="17" t="n">
        <x:v>366</x:v>
      </x:c>
      <x:c r="B58" s="17" t="str">
        <x:v>분당서울대학교병원</x:v>
      </x:c>
      <x:c r="C58" s="17" t="str">
        <x:v>분당서울대학교병원 진료전문의(소아청소년과 당직전담) 및 진료일반의(내과,성형외과) 채용공고</x:v>
      </x:c>
      <x:c r="D58" s="17" t="str">
        <x:v>경기</x:v>
      </x:c>
      <x:c r="E58" s="17" t="str">
        <x:v>비정규직</x:v>
      </x:c>
      <x:c r="F58" s="17" t="str">
        <x:v>2026.09.07</x:v>
      </x:c>
      <x:c r="G58" s="17" t="str">
        <x:v>26.09.16 D-7</x:v>
      </x:c>
      <x:c r="H58" s="17" t="str">
        <x:v>경력·전문직</x:v>
      </x:c>
      <x:c r="I58" s="17" t="str">
        <x:v>경력·전문 우선</x:v>
      </x:c>
      <x:c r="J58" s="17" t="str">
        <x:v>제한 문구 미탐지</x:v>
      </x:c>
      <x:c r="K58" s="17" t="str">
        <x:v>상세공고 확인</x:v>
      </x:c>
      <x:c r="L58" s="17" t="str">
        <x:v>상세공고 확인</x:v>
      </x:c>
      <x:c r="M58" s="17" t="str">
        <x:v>상세공고 확인</x:v>
      </x:c>
      <x:c r="N58" s="17" t="str">
        <x:v>상세공고 확인</x:v>
      </x:c>
      <x:c r="O58" s="17" t="str">
        <x:v>상세공고 확인</x:v>
      </x:c>
      <x:c r="P58" s="17" t="str">
        <x:v>상세공고 확인</x:v>
      </x:c>
      <x:c r="Q58" s="17" t="str">
        <x:v>상세공고 확인</x:v>
      </x:c>
      <x:c r="R58" s="17" t="str">
        <x:v>상세공고 확인</x:v>
      </x:c>
      <x:c r="S58" s="17" t="str">
        <x:v>상세공고 확인</x:v>
      </x:c>
      <x:c r="T58" s="17" t="str">
        <x:v>상세공고 확인</x:v>
      </x:c>
      <x:c r="U58" s="17" t="str">
        <x:v>상세공고 확인</x:v>
      </x:c>
      <x:c r="V58" s="17" t="str">
        <x:v>목록 항목 확인</x:v>
      </x:c>
      <x:c r="W58" s="17" t="str">
        <x:v>공고 상세에서 확인</x:v>
      </x:c>
      <x:c r="X58" s="18" t="str">
        <x:v>https://job.alio.go.kr/recruitview.do?idx=304705</x:v>
      </x:c>
      <x:c r="Y58" s="1"/>
      <x:c r="Z58" s="1"/>
    </x:row>
    <x:row r="59" ht="54" customHeight="1">
      <x:c r="A59" s="17" t="n">
        <x:v>365</x:v>
      </x:c>
      <x:c r="B59" s="17" t="str">
        <x:v>분당서울대학교병원</x:v>
      </x:c>
      <x:c r="C59" s="17" t="str">
        <x:v>분당서울대학교병원 진료교수요원(핵의학과, 국제진료센터) 채용공고</x:v>
      </x:c>
      <x:c r="D59" s="17" t="str">
        <x:v>경기</x:v>
      </x:c>
      <x:c r="E59" s="17" t="str">
        <x:v>비정규직</x:v>
      </x:c>
      <x:c r="F59" s="17" t="str">
        <x:v>2026.09.07</x:v>
      </x:c>
      <x:c r="G59" s="17" t="str">
        <x:v>26.09.16 D-7</x:v>
      </x:c>
      <x:c r="H59" s="17" t="str">
        <x:v>경력·전문직</x:v>
      </x:c>
      <x:c r="I59" s="17" t="str">
        <x:v>경력·전문 우선</x:v>
      </x:c>
      <x:c r="J59" s="17" t="str">
        <x:v>제한 문구 미탐지</x:v>
      </x:c>
      <x:c r="K59" s="17" t="str">
        <x:v>상세공고 확인</x:v>
      </x:c>
      <x:c r="L59" s="17" t="str">
        <x:v>상세공고 확인</x:v>
      </x:c>
      <x:c r="M59" s="17" t="str">
        <x:v>상세공고 확인</x:v>
      </x:c>
      <x:c r="N59" s="17" t="str">
        <x:v>상세공고 확인</x:v>
      </x:c>
      <x:c r="O59" s="17" t="str">
        <x:v>상세공고 확인</x:v>
      </x:c>
      <x:c r="P59" s="17" t="str">
        <x:v>상세공고 확인</x:v>
      </x:c>
      <x:c r="Q59" s="17" t="str">
        <x:v>상세공고 확인</x:v>
      </x:c>
      <x:c r="R59" s="17" t="str">
        <x:v>상세공고 확인</x:v>
      </x:c>
      <x:c r="S59" s="17" t="str">
        <x:v>상세공고 확인</x:v>
      </x:c>
      <x:c r="T59" s="17" t="str">
        <x:v>상세공고 확인</x:v>
      </x:c>
      <x:c r="U59" s="17" t="str">
        <x:v>상세공고 확인</x:v>
      </x:c>
      <x:c r="V59" s="17" t="str">
        <x:v>목록 항목 확인</x:v>
      </x:c>
      <x:c r="W59" s="17" t="str">
        <x:v>공고 상세에서 확인</x:v>
      </x:c>
      <x:c r="X59" s="18" t="str">
        <x:v>https://job.alio.go.kr/recruitview.do?idx=304704</x:v>
      </x:c>
      <x:c r="Y59" s="1"/>
      <x:c r="Z59" s="1"/>
    </x:row>
    <x:row r="60" ht="54" customHeight="1">
      <x:c r="A60" s="17" t="n">
        <x:v>364</x:v>
      </x:c>
      <x:c r="B60" s="17" t="str">
        <x:v>한국발명진흥회</x:v>
      </x:c>
      <x:c r="C60" s="17" t="str">
        <x:v>2026년 제3차 한국발명진흥회 체험형 인턴 채용(장애인 제한경쟁 및 일반)</x:v>
      </x:c>
      <x:c r="D60" s="17" t="str">
        <x:v>서울</x:v>
      </x:c>
      <x:c r="E60" s="17" t="str">
        <x:v>청년인턴(체험형)</x:v>
      </x:c>
      <x:c r="F60" s="17" t="str">
        <x:v>2026.09.07</x:v>
      </x:c>
      <x:c r="G60" s="17" t="str">
        <x:v>26.09.21 D-12</x:v>
      </x:c>
      <x:c r="H60" s="17" t="str">
        <x:v>제한경쟁·조건부</x:v>
      </x:c>
      <x:c r="I60" s="17" t="str">
        <x:v>조건 충족자만</x:v>
      </x:c>
      <x:c r="J60" s="17" t="str">
        <x:v>장애 관련 제한경쟁</x:v>
      </x:c>
      <x:c r="K60" s="17" t="str">
        <x:v>상세공고 확인</x:v>
      </x:c>
      <x:c r="L60" s="17" t="str">
        <x:v>상세공고 확인</x:v>
      </x:c>
      <x:c r="M60" s="17" t="str">
        <x:v>상세공고 확인</x:v>
      </x:c>
      <x:c r="N60" s="17" t="str">
        <x:v>상세공고 확인</x:v>
      </x:c>
      <x:c r="O60" s="17" t="str">
        <x:v>상세공고 확인</x:v>
      </x:c>
      <x:c r="P60" s="17" t="str">
        <x:v>상세공고 확인</x:v>
      </x:c>
      <x:c r="Q60" s="17" t="str">
        <x:v>상세공고 확인</x:v>
      </x:c>
      <x:c r="R60" s="17" t="str">
        <x:v>상세공고 확인</x:v>
      </x:c>
      <x:c r="S60" s="17" t="str">
        <x:v>상세공고 확인</x:v>
      </x:c>
      <x:c r="T60" s="17" t="str">
        <x:v>상세공고 확인</x:v>
      </x:c>
      <x:c r="U60" s="17" t="str">
        <x:v>상세공고 확인</x:v>
      </x:c>
      <x:c r="V60" s="17" t="str">
        <x:v>목록 항목 확인</x:v>
      </x:c>
      <x:c r="W60" s="17" t="str">
        <x:v>공고 상세에서 확인</x:v>
      </x:c>
      <x:c r="X60" s="18" t="str">
        <x:v>https://job.alio.go.kr/recruitview.do?idx=304703</x:v>
      </x:c>
      <x:c r="Y60" s="1"/>
      <x:c r="Z60" s="1"/>
    </x:row>
    <x:row r="61" ht="54" customHeight="1">
      <x:c r="A61" s="17" t="n">
        <x:v>363</x:v>
      </x:c>
      <x:c r="B61" s="17" t="str">
        <x:v>한국발명진흥회</x:v>
      </x:c>
      <x:c r="C61" s="17" t="str">
        <x:v>2026년 제4차 한국발명진흥회 임시계약직 채용</x:v>
      </x:c>
      <x:c r="D61" s="17" t="str">
        <x:v>서울</x:v>
      </x:c>
      <x:c r="E61" s="17" t="str">
        <x:v>비정규직</x:v>
      </x:c>
      <x:c r="F61" s="17" t="str">
        <x:v>2026.09.07</x:v>
      </x:c>
      <x:c r="G61" s="17" t="str">
        <x:v>26.09.21 D-12</x:v>
      </x:c>
      <x:c r="H61" s="17" t="str">
        <x:v>기간제·비정규</x:v>
      </x:c>
      <x:c r="I61" s="17" t="str">
        <x:v>세부조건 확인</x:v>
      </x:c>
      <x:c r="J61" s="17" t="str">
        <x:v>제한 문구 미탐지</x:v>
      </x:c>
      <x:c r="K61" s="17" t="str">
        <x:v>상세공고 확인</x:v>
      </x:c>
      <x:c r="L61" s="17" t="str">
        <x:v>상세공고 확인</x:v>
      </x:c>
      <x:c r="M61" s="17" t="str">
        <x:v>상세공고 확인</x:v>
      </x:c>
      <x:c r="N61" s="17" t="str">
        <x:v>상세공고 확인</x:v>
      </x:c>
      <x:c r="O61" s="17" t="str">
        <x:v>상세공고 확인</x:v>
      </x:c>
      <x:c r="P61" s="17" t="str">
        <x:v>상세공고 확인</x:v>
      </x:c>
      <x:c r="Q61" s="17" t="str">
        <x:v>상세공고 확인</x:v>
      </x:c>
      <x:c r="R61" s="17" t="str">
        <x:v>상세공고 확인</x:v>
      </x:c>
      <x:c r="S61" s="17" t="str">
        <x:v>상세공고 확인</x:v>
      </x:c>
      <x:c r="T61" s="17" t="str">
        <x:v>상세공고 확인</x:v>
      </x:c>
      <x:c r="U61" s="17" t="str">
        <x:v>상세공고 확인</x:v>
      </x:c>
      <x:c r="V61" s="17" t="str">
        <x:v>목록 항목 확인</x:v>
      </x:c>
      <x:c r="W61" s="17" t="str">
        <x:v>공고 상세에서 확인</x:v>
      </x:c>
      <x:c r="X61" s="18" t="str">
        <x:v>https://job.alio.go.kr/recruitview.do?idx=304702</x:v>
      </x:c>
      <x:c r="Y61" s="1"/>
      <x:c r="Z61" s="1"/>
    </x:row>
    <x:row r="62" ht="54" customHeight="1">
      <x:c r="A62" s="17" t="n">
        <x:v>362</x:v>
      </x:c>
      <x:c r="B62" s="17" t="str">
        <x:v>(재)우체국물류지원단</x:v>
      </x:c>
      <x:c r="C62" s="17" t="str">
        <x:v>우체국물류지원단 경인지사 추석 특별소통 단기 기간제(파렛정리) 채용 공고</x:v>
      </x:c>
      <x:c r="D62" s="17" t="str">
        <x:v>경기</x:v>
      </x:c>
      <x:c r="E62" s="17" t="str">
        <x:v>비정규직</x:v>
      </x:c>
      <x:c r="F62" s="17" t="str">
        <x:v>2026.09.07</x:v>
      </x:c>
      <x:c r="G62" s="17" t="str">
        <x:v>26.09.13 D-4</x:v>
      </x:c>
      <x:c r="H62" s="17" t="str">
        <x:v>기간제·비정규</x:v>
      </x:c>
      <x:c r="I62" s="17" t="str">
        <x:v>세부조건 확인</x:v>
      </x:c>
      <x:c r="J62" s="17" t="str">
        <x:v>제한 문구 미탐지</x:v>
      </x:c>
      <x:c r="K62" s="17" t="str">
        <x:v>상세공고 확인</x:v>
      </x:c>
      <x:c r="L62" s="17" t="str">
        <x:v>상세공고 확인</x:v>
      </x:c>
      <x:c r="M62" s="17" t="str">
        <x:v>상세공고 확인</x:v>
      </x:c>
      <x:c r="N62" s="17" t="str">
        <x:v>상세공고 확인</x:v>
      </x:c>
      <x:c r="O62" s="17" t="str">
        <x:v>상세공고 확인</x:v>
      </x:c>
      <x:c r="P62" s="17" t="str">
        <x:v>상세공고 확인</x:v>
      </x:c>
      <x:c r="Q62" s="17" t="str">
        <x:v>상세공고 확인</x:v>
      </x:c>
      <x:c r="R62" s="17" t="str">
        <x:v>상세공고 확인</x:v>
      </x:c>
      <x:c r="S62" s="17" t="str">
        <x:v>상세공고 확인</x:v>
      </x:c>
      <x:c r="T62" s="17" t="str">
        <x:v>상세공고 확인</x:v>
      </x:c>
      <x:c r="U62" s="17" t="str">
        <x:v>상세공고 확인</x:v>
      </x:c>
      <x:c r="V62" s="17" t="str">
        <x:v>목록 항목 확인</x:v>
      </x:c>
      <x:c r="W62" s="17" t="str">
        <x:v>공고 상세에서 확인</x:v>
      </x:c>
      <x:c r="X62" s="18" t="str">
        <x:v>https://job.alio.go.kr/recruitview.do?idx=304701</x:v>
      </x:c>
      <x:c r="Y62" s="1"/>
      <x:c r="Z62" s="1"/>
    </x:row>
    <x:row r="63" ht="54" customHeight="1">
      <x:c r="A63" s="17" t="n">
        <x:v>361</x:v>
      </x:c>
      <x:c r="B63" s="17" t="str">
        <x:v>한국발명진흥회</x:v>
      </x:c>
      <x:c r="C63" s="17" t="str">
        <x:v>2026년 제3차 한국발명진흥회 전문계약직 채용</x:v>
      </x:c>
      <x:c r="D63" s="17" t="str">
        <x:v>서울</x:v>
      </x:c>
      <x:c r="E63" s="17" t="str">
        <x:v>비정규직</x:v>
      </x:c>
      <x:c r="F63" s="17" t="str">
        <x:v>2026.09.07</x:v>
      </x:c>
      <x:c r="G63" s="17" t="str">
        <x:v>26.09.21 D-12</x:v>
      </x:c>
      <x:c r="H63" s="17" t="str">
        <x:v>기간제·비정규</x:v>
      </x:c>
      <x:c r="I63" s="17" t="str">
        <x:v>세부조건 확인</x:v>
      </x:c>
      <x:c r="J63" s="17" t="str">
        <x:v>제한 문구 미탐지</x:v>
      </x:c>
      <x:c r="K63" s="17" t="str">
        <x:v>상세공고 확인</x:v>
      </x:c>
      <x:c r="L63" s="17" t="str">
        <x:v>상세공고 확인</x:v>
      </x:c>
      <x:c r="M63" s="17" t="str">
        <x:v>상세공고 확인</x:v>
      </x:c>
      <x:c r="N63" s="17" t="str">
        <x:v>상세공고 확인</x:v>
      </x:c>
      <x:c r="O63" s="17" t="str">
        <x:v>상세공고 확인</x:v>
      </x:c>
      <x:c r="P63" s="17" t="str">
        <x:v>상세공고 확인</x:v>
      </x:c>
      <x:c r="Q63" s="17" t="str">
        <x:v>상세공고 확인</x:v>
      </x:c>
      <x:c r="R63" s="17" t="str">
        <x:v>상세공고 확인</x:v>
      </x:c>
      <x:c r="S63" s="17" t="str">
        <x:v>상세공고 확인</x:v>
      </x:c>
      <x:c r="T63" s="17" t="str">
        <x:v>상세공고 확인</x:v>
      </x:c>
      <x:c r="U63" s="17" t="str">
        <x:v>상세공고 확인</x:v>
      </x:c>
      <x:c r="V63" s="17" t="str">
        <x:v>목록 항목 확인</x:v>
      </x:c>
      <x:c r="W63" s="17" t="str">
        <x:v>공고 상세에서 확인</x:v>
      </x:c>
      <x:c r="X63" s="18" t="str">
        <x:v>https://job.alio.go.kr/recruitview.do?idx=304699</x:v>
      </x:c>
      <x:c r="Y63" s="1"/>
      <x:c r="Z63" s="1"/>
    </x:row>
    <x:row r="64" ht="54" customHeight="1">
      <x:c r="A64" s="17" t="n">
        <x:v>360</x:v>
      </x:c>
      <x:c r="B64" s="17" t="str">
        <x:v>한국발명진흥회</x:v>
      </x:c>
      <x:c r="C64" s="17" t="str">
        <x:v>2026년 제2차 한국발명진흥회 공무직 채용</x:v>
      </x:c>
      <x:c r="D64" s="17" t="str">
        <x:v>부산</x:v>
      </x:c>
      <x:c r="E64" s="17" t="str">
        <x:v>무기계약직 외 1</x:v>
      </x:c>
      <x:c r="F64" s="17" t="str">
        <x:v>2026.09.07</x:v>
      </x:c>
      <x:c r="G64" s="17" t="str">
        <x:v>26.09.21 D-12</x:v>
      </x:c>
      <x:c r="H64" s="17" t="str">
        <x:v>무기계약·공무직</x:v>
      </x:c>
      <x:c r="I64" s="17" t="str">
        <x:v>세부조건 확인</x:v>
      </x:c>
      <x:c r="J64" s="17" t="str">
        <x:v>제한 문구 미탐지</x:v>
      </x:c>
      <x:c r="K64" s="17" t="str">
        <x:v>상세공고 확인</x:v>
      </x:c>
      <x:c r="L64" s="17" t="str">
        <x:v>상세공고 확인</x:v>
      </x:c>
      <x:c r="M64" s="17" t="str">
        <x:v>상세공고 확인</x:v>
      </x:c>
      <x:c r="N64" s="17" t="str">
        <x:v>상세공고 확인</x:v>
      </x:c>
      <x:c r="O64" s="17" t="str">
        <x:v>상세공고 확인</x:v>
      </x:c>
      <x:c r="P64" s="17" t="str">
        <x:v>상세공고 확인</x:v>
      </x:c>
      <x:c r="Q64" s="17" t="str">
        <x:v>상세공고 확인</x:v>
      </x:c>
      <x:c r="R64" s="17" t="str">
        <x:v>상세공고 확인</x:v>
      </x:c>
      <x:c r="S64" s="17" t="str">
        <x:v>상세공고 확인</x:v>
      </x:c>
      <x:c r="T64" s="17" t="str">
        <x:v>상세공고 확인</x:v>
      </x:c>
      <x:c r="U64" s="17" t="str">
        <x:v>상세공고 확인</x:v>
      </x:c>
      <x:c r="V64" s="17" t="str">
        <x:v>목록 항목 확인</x:v>
      </x:c>
      <x:c r="W64" s="17" t="str">
        <x:v>공고 상세에서 확인</x:v>
      </x:c>
      <x:c r="X64" s="18" t="str">
        <x:v>https://job.alio.go.kr/recruitview.do?idx=304698</x:v>
      </x:c>
      <x:c r="Y64" s="1"/>
      <x:c r="Z64" s="1"/>
    </x:row>
    <x:row r="65" ht="54" customHeight="1">
      <x:c r="A65" s="17" t="n">
        <x:v>359</x:v>
      </x:c>
      <x:c r="B65" s="17" t="str">
        <x:v>(재)한국보건의료정보원</x:v>
      </x:c>
      <x:c r="C65" s="17" t="str">
        <x:v>2026년 제5차 직원채용 공고</x:v>
      </x:c>
      <x:c r="D65" s="17" t="str">
        <x:v>서울 외 1</x:v>
      </x:c>
      <x:c r="E65" s="17" t="str">
        <x:v>비정규직</x:v>
      </x:c>
      <x:c r="F65" s="17" t="str">
        <x:v>2026.09.07</x:v>
      </x:c>
      <x:c r="G65" s="17" t="str">
        <x:v>26.09.21 D-12</x:v>
      </x:c>
      <x:c r="H65" s="17" t="str">
        <x:v>기간제·비정규</x:v>
      </x:c>
      <x:c r="I65" s="17" t="str">
        <x:v>세부조건 확인</x:v>
      </x:c>
      <x:c r="J65" s="17" t="str">
        <x:v>제한 문구 미탐지</x:v>
      </x:c>
      <x:c r="K65" s="17" t="str">
        <x:v>상세공고 확인</x:v>
      </x:c>
      <x:c r="L65" s="17" t="str">
        <x:v>상세공고 확인</x:v>
      </x:c>
      <x:c r="M65" s="17" t="str">
        <x:v>상세공고 확인</x:v>
      </x:c>
      <x:c r="N65" s="17" t="str">
        <x:v>상세공고 확인</x:v>
      </x:c>
      <x:c r="O65" s="17" t="str">
        <x:v>상세공고 확인</x:v>
      </x:c>
      <x:c r="P65" s="17" t="str">
        <x:v>상세공고 확인</x:v>
      </x:c>
      <x:c r="Q65" s="17" t="str">
        <x:v>상세공고 확인</x:v>
      </x:c>
      <x:c r="R65" s="17" t="str">
        <x:v>상세공고 확인</x:v>
      </x:c>
      <x:c r="S65" s="17" t="str">
        <x:v>상세공고 확인</x:v>
      </x:c>
      <x:c r="T65" s="17" t="str">
        <x:v>상세공고 확인</x:v>
      </x:c>
      <x:c r="U65" s="17" t="str">
        <x:v>상세공고 확인</x:v>
      </x:c>
      <x:c r="V65" s="17" t="str">
        <x:v>목록 항목 확인</x:v>
      </x:c>
      <x:c r="W65" s="17" t="str">
        <x:v>공고 상세에서 확인</x:v>
      </x:c>
      <x:c r="X65" s="18" t="str">
        <x:v>https://job.alio.go.kr/recruitview.do?idx=304697</x:v>
      </x:c>
      <x:c r="Y65" s="1"/>
      <x:c r="Z65" s="1"/>
    </x:row>
    <x:row r="66" ht="54" customHeight="1">
      <x:c r="A66" s="17" t="n">
        <x:v>358</x:v>
      </x:c>
      <x:c r="B66" s="17" t="str">
        <x:v>자동차손해배상진흥원</x:v>
      </x:c>
      <x:c r="C66" s="17" t="str">
        <x:v>자동차손해배상진흥원 청년인턴(체험형) 채용공고</x:v>
      </x:c>
      <x:c r="D66" s="17" t="str">
        <x:v>부산</x:v>
      </x:c>
      <x:c r="E66" s="17" t="str">
        <x:v>청년인턴(체험형)</x:v>
      </x:c>
      <x:c r="F66" s="17" t="str">
        <x:v>2026.09.07</x:v>
      </x:c>
      <x:c r="G66" s="17" t="str">
        <x:v>26.09.21 D-12</x:v>
      </x:c>
      <x:c r="H66" s="17" t="str">
        <x:v>체험형·청년인턴</x:v>
      </x:c>
      <x:c r="I66" s="17" t="str">
        <x:v>우선검토</x:v>
      </x:c>
      <x:c r="J66" s="17" t="str">
        <x:v>제한 문구 미탐지</x:v>
      </x:c>
      <x:c r="K66" s="17" t="str">
        <x:v>상세공고 확인</x:v>
      </x:c>
      <x:c r="L66" s="17" t="str">
        <x:v>상세공고 확인</x:v>
      </x:c>
      <x:c r="M66" s="17" t="str">
        <x:v>상세공고 확인</x:v>
      </x:c>
      <x:c r="N66" s="17" t="str">
        <x:v>상세공고 확인</x:v>
      </x:c>
      <x:c r="O66" s="17" t="str">
        <x:v>상세공고 확인</x:v>
      </x:c>
      <x:c r="P66" s="17" t="str">
        <x:v>상세공고 확인</x:v>
      </x:c>
      <x:c r="Q66" s="17" t="str">
        <x:v>상세공고 확인</x:v>
      </x:c>
      <x:c r="R66" s="17" t="str">
        <x:v>상세공고 확인</x:v>
      </x:c>
      <x:c r="S66" s="17" t="str">
        <x:v>상세공고 확인</x:v>
      </x:c>
      <x:c r="T66" s="17" t="str">
        <x:v>상세공고 확인</x:v>
      </x:c>
      <x:c r="U66" s="17" t="str">
        <x:v>상세공고 확인</x:v>
      </x:c>
      <x:c r="V66" s="17" t="str">
        <x:v>목록 항목 확인</x:v>
      </x:c>
      <x:c r="W66" s="17" t="str">
        <x:v>공고 상세에서 확인</x:v>
      </x:c>
      <x:c r="X66" s="18" t="str">
        <x:v>https://job.alio.go.kr/recruitview.do?idx=304696</x:v>
      </x:c>
      <x:c r="Y66" s="1"/>
      <x:c r="Z66" s="1"/>
    </x:row>
    <x:row r="67" ht="54" customHeight="1">
      <x:c r="A67" s="17" t="n">
        <x:v>357</x:v>
      </x:c>
      <x:c r="B67" s="17" t="str">
        <x:v>자동차손해배상진흥원</x:v>
      </x:c>
      <x:c r="C67" s="17" t="str">
        <x:v>자동차손해배상진흥원 전문직(경력직) 직원 제한경쟁 채용 공고</x:v>
      </x:c>
      <x:c r="D67" s="17" t="str">
        <x:v>서울</x:v>
      </x:c>
      <x:c r="E67" s="17" t="str">
        <x:v>비정규직</x:v>
      </x:c>
      <x:c r="F67" s="17" t="str">
        <x:v>2026.09.07</x:v>
      </x:c>
      <x:c r="G67" s="17" t="str">
        <x:v>26.09.21 D-12</x:v>
      </x:c>
      <x:c r="H67" s="17" t="str">
        <x:v>제한경쟁·조건부</x:v>
      </x:c>
      <x:c r="I67" s="17" t="str">
        <x:v>조건 충족자만</x:v>
      </x:c>
      <x:c r="J67" s="17" t="str">
        <x:v>제한경쟁</x:v>
      </x:c>
      <x:c r="K67" s="17" t="str">
        <x:v>상세공고 확인</x:v>
      </x:c>
      <x:c r="L67" s="17" t="str">
        <x:v>상세공고 확인</x:v>
      </x:c>
      <x:c r="M67" s="17" t="str">
        <x:v>상세공고 확인</x:v>
      </x:c>
      <x:c r="N67" s="17" t="str">
        <x:v>상세공고 확인</x:v>
      </x:c>
      <x:c r="O67" s="17" t="str">
        <x:v>상세공고 확인</x:v>
      </x:c>
      <x:c r="P67" s="17" t="str">
        <x:v>상세공고 확인</x:v>
      </x:c>
      <x:c r="Q67" s="17" t="str">
        <x:v>상세공고 확인</x:v>
      </x:c>
      <x:c r="R67" s="17" t="str">
        <x:v>상세공고 확인</x:v>
      </x:c>
      <x:c r="S67" s="17" t="str">
        <x:v>상세공고 확인</x:v>
      </x:c>
      <x:c r="T67" s="17" t="str">
        <x:v>상세공고 확인</x:v>
      </x:c>
      <x:c r="U67" s="17" t="str">
        <x:v>상세공고 확인</x:v>
      </x:c>
      <x:c r="V67" s="17" t="str">
        <x:v>목록 항목 확인</x:v>
      </x:c>
      <x:c r="W67" s="17" t="str">
        <x:v>공고 상세에서 확인</x:v>
      </x:c>
      <x:c r="X67" s="18" t="str">
        <x:v>https://job.alio.go.kr/recruitview.do?idx=304695</x:v>
      </x:c>
      <x:c r="Y67" s="1"/>
      <x:c r="Z67" s="1"/>
    </x:row>
    <x:row r="68" ht="54" customHeight="1">
      <x:c r="A68" s="17" t="n">
        <x:v>356</x:v>
      </x:c>
      <x:c r="B68" s="17" t="str">
        <x:v>자동차손해배상진흥원</x:v>
      </x:c>
      <x:c r="C68" s="17" t="str">
        <x:v>자동차손해배상진흥원 정규직(경력직) 직원 채용 공고</x:v>
      </x:c>
      <x:c r="D68" s="17" t="str">
        <x:v>서울</x:v>
      </x:c>
      <x:c r="E68" s="17" t="str">
        <x:v>정규직</x:v>
      </x:c>
      <x:c r="F68" s="17" t="str">
        <x:v>2026.09.07</x:v>
      </x:c>
      <x:c r="G68" s="17" t="str">
        <x:v>26.09.21 D-12</x:v>
      </x:c>
      <x:c r="H68" s="17" t="str">
        <x:v>경력·전문직</x:v>
      </x:c>
      <x:c r="I68" s="17" t="str">
        <x:v>경력·전문 우선</x:v>
      </x:c>
      <x:c r="J68" s="17" t="str">
        <x:v>제한 문구 미탐지</x:v>
      </x:c>
      <x:c r="K68" s="17" t="str">
        <x:v>상세공고 확인</x:v>
      </x:c>
      <x:c r="L68" s="17" t="str">
        <x:v>상세공고 확인</x:v>
      </x:c>
      <x:c r="M68" s="17" t="str">
        <x:v>상세공고 확인</x:v>
      </x:c>
      <x:c r="N68" s="17" t="str">
        <x:v>상세공고 확인</x:v>
      </x:c>
      <x:c r="O68" s="17" t="str">
        <x:v>상세공고 확인</x:v>
      </x:c>
      <x:c r="P68" s="17" t="str">
        <x:v>상세공고 확인</x:v>
      </x:c>
      <x:c r="Q68" s="17" t="str">
        <x:v>상세공고 확인</x:v>
      </x:c>
      <x:c r="R68" s="17" t="str">
        <x:v>상세공고 확인</x:v>
      </x:c>
      <x:c r="S68" s="17" t="str">
        <x:v>상세공고 확인</x:v>
      </x:c>
      <x:c r="T68" s="17" t="str">
        <x:v>상세공고 확인</x:v>
      </x:c>
      <x:c r="U68" s="17" t="str">
        <x:v>상세공고 확인</x:v>
      </x:c>
      <x:c r="V68" s="17" t="str">
        <x:v>목록 항목 확인</x:v>
      </x:c>
      <x:c r="W68" s="17" t="str">
        <x:v>공고 상세에서 확인</x:v>
      </x:c>
      <x:c r="X68" s="18" t="str">
        <x:v>https://job.alio.go.kr/recruitview.do?idx=304693</x:v>
      </x:c>
      <x:c r="Y68" s="1"/>
      <x:c r="Z68" s="1"/>
    </x:row>
    <x:row r="69" ht="54" customHeight="1">
      <x:c r="A69" s="17" t="n">
        <x:v>355</x:v>
      </x:c>
      <x:c r="B69" s="17" t="str">
        <x:v>한국도로공사</x:v>
      </x:c>
      <x:c r="C69" s="17" t="str">
        <x:v>한국도로공사 양양지사 기간제근로자(안전순찰원) 채용공고</x:v>
      </x:c>
      <x:c r="D69" s="17" t="str">
        <x:v>강원</x:v>
      </x:c>
      <x:c r="E69" s="17" t="str">
        <x:v>비정규직</x:v>
      </x:c>
      <x:c r="F69" s="17" t="str">
        <x:v>2026.09.07</x:v>
      </x:c>
      <x:c r="G69" s="17" t="str">
        <x:v>26.09.14 D-5</x:v>
      </x:c>
      <x:c r="H69" s="17" t="str">
        <x:v>기간제·비정규</x:v>
      </x:c>
      <x:c r="I69" s="17" t="str">
        <x:v>세부조건 확인</x:v>
      </x:c>
      <x:c r="J69" s="17" t="str">
        <x:v>제한 문구 미탐지</x:v>
      </x:c>
      <x:c r="K69" s="17" t="str">
        <x:v>상세공고 확인</x:v>
      </x:c>
      <x:c r="L69" s="17" t="str">
        <x:v>상세공고 확인</x:v>
      </x:c>
      <x:c r="M69" s="17" t="str">
        <x:v>상세공고 확인</x:v>
      </x:c>
      <x:c r="N69" s="17" t="str">
        <x:v>상세공고 확인</x:v>
      </x:c>
      <x:c r="O69" s="17" t="str">
        <x:v>상세공고 확인</x:v>
      </x:c>
      <x:c r="P69" s="17" t="str">
        <x:v>상세공고 확인</x:v>
      </x:c>
      <x:c r="Q69" s="17" t="str">
        <x:v>상세공고 확인</x:v>
      </x:c>
      <x:c r="R69" s="17" t="str">
        <x:v>상세공고 확인</x:v>
      </x:c>
      <x:c r="S69" s="17" t="str">
        <x:v>상세공고 확인</x:v>
      </x:c>
      <x:c r="T69" s="17" t="str">
        <x:v>상세공고 확인</x:v>
      </x:c>
      <x:c r="U69" s="17" t="str">
        <x:v>상세공고 확인</x:v>
      </x:c>
      <x:c r="V69" s="17" t="str">
        <x:v>목록 항목 확인</x:v>
      </x:c>
      <x:c r="W69" s="17" t="str">
        <x:v>공고 상세에서 확인</x:v>
      </x:c>
      <x:c r="X69" s="18" t="str">
        <x:v>https://job.alio.go.kr/recruitview.do?idx=304690</x:v>
      </x:c>
      <x:c r="Y69" s="1"/>
      <x:c r="Z69" s="1"/>
    </x:row>
    <x:row r="70" ht="54" customHeight="1">
      <x:c r="A70" s="17" t="n">
        <x:v>354</x:v>
      </x:c>
      <x:c r="B70" s="17" t="str">
        <x:v>한국도로공사</x:v>
      </x:c>
      <x:c r="C70" s="17" t="str">
        <x:v>한국도로공사 강릉지사 기간제근로자(상황관리원) 채용공고</x:v>
      </x:c>
      <x:c r="D70" s="17" t="str">
        <x:v>강원</x:v>
      </x:c>
      <x:c r="E70" s="17" t="str">
        <x:v>비정규직</x:v>
      </x:c>
      <x:c r="F70" s="17" t="str">
        <x:v>2026.09.07</x:v>
      </x:c>
      <x:c r="G70" s="17" t="str">
        <x:v>26.09.14 D-5</x:v>
      </x:c>
      <x:c r="H70" s="17" t="str">
        <x:v>기간제·비정규</x:v>
      </x:c>
      <x:c r="I70" s="17" t="str">
        <x:v>세부조건 확인</x:v>
      </x:c>
      <x:c r="J70" s="17" t="str">
        <x:v>제한 문구 미탐지</x:v>
      </x:c>
      <x:c r="K70" s="17" t="str">
        <x:v>상세공고 확인</x:v>
      </x:c>
      <x:c r="L70" s="17" t="str">
        <x:v>상세공고 확인</x:v>
      </x:c>
      <x:c r="M70" s="17" t="str">
        <x:v>상세공고 확인</x:v>
      </x:c>
      <x:c r="N70" s="17" t="str">
        <x:v>상세공고 확인</x:v>
      </x:c>
      <x:c r="O70" s="17" t="str">
        <x:v>상세공고 확인</x:v>
      </x:c>
      <x:c r="P70" s="17" t="str">
        <x:v>상세공고 확인</x:v>
      </x:c>
      <x:c r="Q70" s="17" t="str">
        <x:v>상세공고 확인</x:v>
      </x:c>
      <x:c r="R70" s="17" t="str">
        <x:v>상세공고 확인</x:v>
      </x:c>
      <x:c r="S70" s="17" t="str">
        <x:v>상세공고 확인</x:v>
      </x:c>
      <x:c r="T70" s="17" t="str">
        <x:v>상세공고 확인</x:v>
      </x:c>
      <x:c r="U70" s="17" t="str">
        <x:v>상세공고 확인</x:v>
      </x:c>
      <x:c r="V70" s="17" t="str">
        <x:v>목록 항목 확인</x:v>
      </x:c>
      <x:c r="W70" s="17" t="str">
        <x:v>공고 상세에서 확인</x:v>
      </x:c>
      <x:c r="X70" s="18" t="str">
        <x:v>https://job.alio.go.kr/recruitview.do?idx=304689</x:v>
      </x:c>
      <x:c r="Y70" s="1"/>
      <x:c r="Z70" s="1"/>
    </x:row>
    <x:row r="71" ht="54" customHeight="1">
      <x:c r="A71" s="17" t="n">
        <x:v>353</x:v>
      </x:c>
      <x:c r="B71" s="17" t="str">
        <x:v>한전KPS(주)</x:v>
      </x:c>
      <x:c r="C71" s="17" t="str">
        <x:v>한전KPS(주) 한울3사업소 한울6호기 15차 계획예방정비공사 단기노무원 모집공고(2차)</x:v>
      </x:c>
      <x:c r="D71" s="17" t="str">
        <x:v>경북</x:v>
      </x:c>
      <x:c r="E71" s="17" t="str">
        <x:v>비정규직</x:v>
      </x:c>
      <x:c r="F71" s="17" t="str">
        <x:v>2026.09.07</x:v>
      </x:c>
      <x:c r="G71" s="17" t="str">
        <x:v>26.09.11 D-2</x:v>
      </x:c>
      <x:c r="H71" s="17" t="str">
        <x:v>기간제·비정규</x:v>
      </x:c>
      <x:c r="I71" s="17" t="str">
        <x:v>세부조건 확인</x:v>
      </x:c>
      <x:c r="J71" s="17" t="str">
        <x:v>제한 문구 미탐지</x:v>
      </x:c>
      <x:c r="K71" s="17" t="str">
        <x:v>상세공고 확인</x:v>
      </x:c>
      <x:c r="L71" s="17" t="str">
        <x:v>상세공고 확인</x:v>
      </x:c>
      <x:c r="M71" s="17" t="str">
        <x:v>상세공고 확인</x:v>
      </x:c>
      <x:c r="N71" s="17" t="str">
        <x:v>상세공고 확인</x:v>
      </x:c>
      <x:c r="O71" s="17" t="str">
        <x:v>상세공고 확인</x:v>
      </x:c>
      <x:c r="P71" s="17" t="str">
        <x:v>상세공고 확인</x:v>
      </x:c>
      <x:c r="Q71" s="17" t="str">
        <x:v>상세공고 확인</x:v>
      </x:c>
      <x:c r="R71" s="17" t="str">
        <x:v>상세공고 확인</x:v>
      </x:c>
      <x:c r="S71" s="17" t="str">
        <x:v>상세공고 확인</x:v>
      </x:c>
      <x:c r="T71" s="17" t="str">
        <x:v>상세공고 확인</x:v>
      </x:c>
      <x:c r="U71" s="17" t="str">
        <x:v>상세공고 확인</x:v>
      </x:c>
      <x:c r="V71" s="17" t="str">
        <x:v>목록 항목 확인</x:v>
      </x:c>
      <x:c r="W71" s="17" t="str">
        <x:v>공고 상세에서 확인</x:v>
      </x:c>
      <x:c r="X71" s="18" t="str">
        <x:v>https://job.alio.go.kr/recruitview.do?idx=304688</x:v>
      </x:c>
      <x:c r="Y71" s="1"/>
      <x:c r="Z71" s="1"/>
    </x:row>
    <x:row r="72" ht="54" customHeight="1">
      <x:c r="A72" s="17" t="n">
        <x:v>352</x:v>
      </x:c>
      <x:c r="B72" s="17" t="str">
        <x:v>한국개발연구원</x:v>
      </x:c>
      <x:c r="C72" s="17" t="str">
        <x:v>KDI 초빙연구위원 채용 공고</x:v>
      </x:c>
      <x:c r="D72" s="17" t="str">
        <x:v>세종</x:v>
      </x:c>
      <x:c r="E72" s="17" t="str">
        <x:v>비정규직</x:v>
      </x:c>
      <x:c r="F72" s="17" t="str">
        <x:v>2026.09.07</x:v>
      </x:c>
      <x:c r="G72" s="17" t="str">
        <x:v>26.09.21 D-12</x:v>
      </x:c>
      <x:c r="H72" s="17" t="str">
        <x:v>경력·전문직</x:v>
      </x:c>
      <x:c r="I72" s="17" t="str">
        <x:v>경력·전문 우선</x:v>
      </x:c>
      <x:c r="J72" s="17" t="str">
        <x:v>제한 문구 미탐지</x:v>
      </x:c>
      <x:c r="K72" s="17" t="str">
        <x:v>상세공고 확인</x:v>
      </x:c>
      <x:c r="L72" s="17" t="str">
        <x:v>상세공고 확인</x:v>
      </x:c>
      <x:c r="M72" s="17" t="str">
        <x:v>상세공고 확인</x:v>
      </x:c>
      <x:c r="N72" s="17" t="str">
        <x:v>상세공고 확인</x:v>
      </x:c>
      <x:c r="O72" s="17" t="str">
        <x:v>상세공고 확인</x:v>
      </x:c>
      <x:c r="P72" s="17" t="str">
        <x:v>상세공고 확인</x:v>
      </x:c>
      <x:c r="Q72" s="17" t="str">
        <x:v>상세공고 확인</x:v>
      </x:c>
      <x:c r="R72" s="17" t="str">
        <x:v>상세공고 확인</x:v>
      </x:c>
      <x:c r="S72" s="17" t="str">
        <x:v>상세공고 확인</x:v>
      </x:c>
      <x:c r="T72" s="17" t="str">
        <x:v>상세공고 확인</x:v>
      </x:c>
      <x:c r="U72" s="17" t="str">
        <x:v>상세공고 확인</x:v>
      </x:c>
      <x:c r="V72" s="17" t="str">
        <x:v>목록 항목 확인</x:v>
      </x:c>
      <x:c r="W72" s="17" t="str">
        <x:v>공고 상세에서 확인</x:v>
      </x:c>
      <x:c r="X72" s="18" t="str">
        <x:v>https://job.alio.go.kr/recruitview.do?idx=304687</x:v>
      </x:c>
      <x:c r="Y72" s="1"/>
      <x:c r="Z72" s="1"/>
    </x:row>
    <x:row r="73" ht="54" customHeight="1">
      <x:c r="A73" s="17" t="n">
        <x:v>351</x:v>
      </x:c>
      <x:c r="B73" s="17" t="str">
        <x:v>코레일유통(주)</x:v>
      </x:c>
      <x:c r="C73" s="17" t="str">
        <x:v>코레일유통(주) 2026년 일반직(IT개발) 경력사원 채용공고</x:v>
      </x:c>
      <x:c r="D73" s="17" t="str">
        <x:v>서울</x:v>
      </x:c>
      <x:c r="E73" s="17" t="str">
        <x:v>정규직</x:v>
      </x:c>
      <x:c r="F73" s="17" t="str">
        <x:v>2026.09.07</x:v>
      </x:c>
      <x:c r="G73" s="17" t="str">
        <x:v>26.09.21 D-12</x:v>
      </x:c>
      <x:c r="H73" s="17" t="str">
        <x:v>경력·전문직</x:v>
      </x:c>
      <x:c r="I73" s="17" t="str">
        <x:v>경력·전문 우선</x:v>
      </x:c>
      <x:c r="J73" s="17" t="str">
        <x:v>제한 문구 미탐지</x:v>
      </x:c>
      <x:c r="K73" s="17" t="str">
        <x:v>상세공고 확인</x:v>
      </x:c>
      <x:c r="L73" s="17" t="str">
        <x:v>상세공고 확인</x:v>
      </x:c>
      <x:c r="M73" s="17" t="str">
        <x:v>상세공고 확인</x:v>
      </x:c>
      <x:c r="N73" s="17" t="str">
        <x:v>상세공고 확인</x:v>
      </x:c>
      <x:c r="O73" s="17" t="str">
        <x:v>상세공고 확인</x:v>
      </x:c>
      <x:c r="P73" s="17" t="str">
        <x:v>상세공고 확인</x:v>
      </x:c>
      <x:c r="Q73" s="17" t="str">
        <x:v>상세공고 확인</x:v>
      </x:c>
      <x:c r="R73" s="17" t="str">
        <x:v>상세공고 확인</x:v>
      </x:c>
      <x:c r="S73" s="17" t="str">
        <x:v>상세공고 확인</x:v>
      </x:c>
      <x:c r="T73" s="17" t="str">
        <x:v>상세공고 확인</x:v>
      </x:c>
      <x:c r="U73" s="17" t="str">
        <x:v>상세공고 확인</x:v>
      </x:c>
      <x:c r="V73" s="17" t="str">
        <x:v>목록 항목 확인</x:v>
      </x:c>
      <x:c r="W73" s="17" t="str">
        <x:v>공고 상세에서 확인</x:v>
      </x:c>
      <x:c r="X73" s="18" t="str">
        <x:v>https://job.alio.go.kr/recruitview.do?idx=304686</x:v>
      </x:c>
      <x:c r="Y73" s="1"/>
      <x:c r="Z73" s="1"/>
    </x:row>
    <x:row r="74" ht="54" customHeight="1">
      <x:c r="A74" s="17" t="n">
        <x:v>350</x:v>
      </x:c>
      <x:c r="B74" s="17" t="str">
        <x:v>한전KPS(주)</x:v>
      </x:c>
      <x:c r="C74" s="17" t="str">
        <x:v>한전KPS(주)신서천사업소 26년 7차 경상정비공사 단기노무원 채용</x:v>
      </x:c>
      <x:c r="D74" s="17" t="str">
        <x:v>충남</x:v>
      </x:c>
      <x:c r="E74" s="17" t="str">
        <x:v>비정규직</x:v>
      </x:c>
      <x:c r="F74" s="17" t="str">
        <x:v>2026.09.07</x:v>
      </x:c>
      <x:c r="G74" s="17" t="str">
        <x:v>26.09.09 D+0</x:v>
      </x:c>
      <x:c r="H74" s="17" t="str">
        <x:v>기간제·비정규</x:v>
      </x:c>
      <x:c r="I74" s="17" t="str">
        <x:v>세부조건 확인</x:v>
      </x:c>
      <x:c r="J74" s="17" t="str">
        <x:v>제한 문구 미탐지</x:v>
      </x:c>
      <x:c r="K74" s="17" t="str">
        <x:v>상세공고 확인</x:v>
      </x:c>
      <x:c r="L74" s="17" t="str">
        <x:v>상세공고 확인</x:v>
      </x:c>
      <x:c r="M74" s="17" t="str">
        <x:v>상세공고 확인</x:v>
      </x:c>
      <x:c r="N74" s="17" t="str">
        <x:v>상세공고 확인</x:v>
      </x:c>
      <x:c r="O74" s="17" t="str">
        <x:v>상세공고 확인</x:v>
      </x:c>
      <x:c r="P74" s="17" t="str">
        <x:v>상세공고 확인</x:v>
      </x:c>
      <x:c r="Q74" s="17" t="str">
        <x:v>상세공고 확인</x:v>
      </x:c>
      <x:c r="R74" s="17" t="str">
        <x:v>상세공고 확인</x:v>
      </x:c>
      <x:c r="S74" s="17" t="str">
        <x:v>상세공고 확인</x:v>
      </x:c>
      <x:c r="T74" s="17" t="str">
        <x:v>상세공고 확인</x:v>
      </x:c>
      <x:c r="U74" s="17" t="str">
        <x:v>상세공고 확인</x:v>
      </x:c>
      <x:c r="V74" s="17" t="str">
        <x:v>목록 항목 확인</x:v>
      </x:c>
      <x:c r="W74" s="17" t="str">
        <x:v>공고 상세에서 확인</x:v>
      </x:c>
      <x:c r="X74" s="18" t="str">
        <x:v>https://job.alio.go.kr/recruitview.do?idx=304685</x:v>
      </x:c>
      <x:c r="Y74" s="1"/>
      <x:c r="Z74" s="1"/>
    </x:row>
    <x:row r="75" ht="54" customHeight="1">
      <x:c r="A75" s="17" t="n">
        <x:v>349</x:v>
      </x:c>
      <x:c r="B75" s="17" t="str">
        <x:v>강원대학교치과병원</x:v>
      </x:c>
      <x:c r="C75" s="17" t="str">
        <x:v>계약직(치과위생사)직원 모집 공고</x:v>
      </x:c>
      <x:c r="D75" s="17" t="str">
        <x:v>강원</x:v>
      </x:c>
      <x:c r="E75" s="17" t="str">
        <x:v>비정규직</x:v>
      </x:c>
      <x:c r="F75" s="17" t="str">
        <x:v>2026.09.07</x:v>
      </x:c>
      <x:c r="G75" s="17" t="str">
        <x:v>26.09.16 D-7</x:v>
      </x:c>
      <x:c r="H75" s="17" t="str">
        <x:v>기간제·비정규</x:v>
      </x:c>
      <x:c r="I75" s="17" t="str">
        <x:v>세부조건 확인</x:v>
      </x:c>
      <x:c r="J75" s="17" t="str">
        <x:v>제한 문구 미탐지</x:v>
      </x:c>
      <x:c r="K75" s="17" t="str">
        <x:v>상세공고 확인</x:v>
      </x:c>
      <x:c r="L75" s="17" t="str">
        <x:v>상세공고 확인</x:v>
      </x:c>
      <x:c r="M75" s="17" t="str">
        <x:v>상세공고 확인</x:v>
      </x:c>
      <x:c r="N75" s="17" t="str">
        <x:v>상세공고 확인</x:v>
      </x:c>
      <x:c r="O75" s="17" t="str">
        <x:v>상세공고 확인</x:v>
      </x:c>
      <x:c r="P75" s="17" t="str">
        <x:v>상세공고 확인</x:v>
      </x:c>
      <x:c r="Q75" s="17" t="str">
        <x:v>상세공고 확인</x:v>
      </x:c>
      <x:c r="R75" s="17" t="str">
        <x:v>상세공고 확인</x:v>
      </x:c>
      <x:c r="S75" s="17" t="str">
        <x:v>상세공고 확인</x:v>
      </x:c>
      <x:c r="T75" s="17" t="str">
        <x:v>상세공고 확인</x:v>
      </x:c>
      <x:c r="U75" s="17" t="str">
        <x:v>상세공고 확인</x:v>
      </x:c>
      <x:c r="V75" s="17" t="str">
        <x:v>목록 항목 확인</x:v>
      </x:c>
      <x:c r="W75" s="17" t="str">
        <x:v>공고 상세에서 확인</x:v>
      </x:c>
      <x:c r="X75" s="18" t="str">
        <x:v>https://job.alio.go.kr/recruitview.do?idx=304684</x:v>
      </x:c>
      <x:c r="Y75" s="1"/>
      <x:c r="Z75" s="1"/>
    </x:row>
    <x:row r="76" ht="54" customHeight="1">
      <x:c r="A76" s="17" t="n">
        <x:v>348</x:v>
      </x:c>
      <x:c r="B76" s="17" t="str">
        <x:v>경제인문사회연구회</x:v>
      </x:c>
      <x:c r="C76" s="17" t="str">
        <x:v>2026년도 제9차 직원채용 공고(정규직 부전문위원)</x:v>
      </x:c>
      <x:c r="D76" s="17" t="str">
        <x:v>세종</x:v>
      </x:c>
      <x:c r="E76" s="17" t="str">
        <x:v>정규직</x:v>
      </x:c>
      <x:c r="F76" s="17" t="str">
        <x:v>2026.09.07</x:v>
      </x:c>
      <x:c r="G76" s="17" t="str">
        <x:v>26.09.21 D-12</x:v>
      </x:c>
      <x:c r="H76" s="17" t="str">
        <x:v>정규직(세부 확인)</x:v>
      </x:c>
      <x:c r="I76" s="17" t="str">
        <x:v>검토</x:v>
      </x:c>
      <x:c r="J76" s="17" t="str">
        <x:v>제한 문구 미탐지</x:v>
      </x:c>
      <x:c r="K76" s="17" t="str">
        <x:v>신입+경력</x:v>
      </x:c>
      <x:c r="L76" s="17" t="str">
        <x:v>고졸</x:v>
      </x:c>
      <x:c r="M76" s="17" t="str">
        <x:v>1명</x:v>
      </x:c>
      <x:c r="N76" s="17" t="str">
        <x:v>경영.회계.사무</x:v>
      </x:c>
      <x:c r="O76" s="17" t="str">
        <x:v>취업지원대상자, 장애인, 저소득층, 지역인재, 청년인턴</x:v>
      </x:c>
      <x:c r="P76" s="17" t="str">
        <x:v>명시 있음</x:v>
      </x:c>
      <x:c r="Q76" s="17" t="str">
        <x:v>상세공고 확인</x:v>
      </x:c>
      <x:c r="R76" s="17" t="str">
        <x:v>▶ 만 60세 미만인 사람 ▶ 고등학교 졸업 후 4년 이상 교육 또는 해당 분야 실무 경력 가진 사람 - 상기 요건과 동등한 자격이 있다고 인정되는 사람 ▶ 연구회 「인사규정」 제24조(결격사유)에 해당되지 않는 사람</x:v>
      </x:c>
      <x:c r="S76" s="17" t="str">
        <x:v>의사</x:v>
      </x:c>
      <x:c r="T76" s="17" t="str">
        <x:v>▶ (1차) 서류심사(10월 초): 50배수 이내, 정량 - 교육사항(20점), 자격사항(10점), 정성 - 경력사항(20점), 자기소개서(50점) ▶ (2차) 필기전형(10월 20일~10월 25일 예정): 20배수 이내, 직업기초능력평가(NCS - 의사소통능력, 수리능력, 문제해결능력)(50%), 직무수행능력평가(논술- 직무내용에 대한 사항)(50%) ▶ (3차) 인성검사 및 제출서류 진위확인(11월 초): 필기전형 합격자 대상 온라인 인성검사(면접전형 시 참고자료로 활용) 및 응시요건, 가점사항 등 제출서류 진위 확인 ▶ (4차) 1차 면접심사(12월 초): 5배수 이내, 직업기초능력(60점), 직무수행태도(40점) - 인성 및 직무관련 구조화 면접 ▶ (5차) 2차 면접심사(12월 중): 1배수, 직업기초능력(60점), 직무수행태도(40점) - PT발표, 인성 및 직무관련 구조화 면접 ▶ 합격자 발표: 12월 말, 2차 면접점수 60점 이상인자 중 고득점자 ▶ 임용: 1월 초 예정 ※ 가점(2%~10%)은 각 전형별로 부여하며, 일정은 채용 진행 상황에 따라 일부 변경될 수 있음. ※ 각 전형별 예비합격자를 2명 이내로 선정할 수 있음.</x:v>
      </x:c>
      <x:c r="U76" s="17" t="str">
        <x:v>▶ (1차) 서류심사(10월 초): 50배수 이내, 정량 - 교육사항(20점), 자격사항(10점), 정성 - 경력사항(20점), 자기소개서(50점) ▶ (2차) 필기전형(10월 20일~10월 25일 예정): 20배수 이내, 직업기초능력평가(NCS - 의사소통능력, 수리능력, 문제해결능력)(50%), 직무수행능력평가(논술- 직무내용에 대한 사항)(50%) ▶ (3차) 인성검사 및 제출서류 진위확인(11월 초): 필기전형 합격자 대상 온라인 인성검사(면접전형 시 참고자료로 활용) 및 응시요건, 가점사항 등 제출서류 진위 확인 ▶ (4차) 1차 면접심사(12월 초): 5배수 이내, 직업기초능력(60점), 직무수행태도(40점) - 인성 및 직무관련 구조화 면접 ▶ (5차) 2차 면접심사(12월 중): 1배수, 직업기초능력(60점), 직무수행태도(40점) - PT발표, 인성 및 직무관련 구조화 면접 ▶ 합격자 발표: 12월 말, 2차 면접점수 60점 이상인자 중 고득점자 ▶ 임용: 1월 초 예정 ※ 가점(2%~10%)은 각 전형별로 부여하며, 일정은 채용 진행 상황에 따라 일부 변경될 수 있음</x:v>
      </x:c>
      <x:c r="V76" s="17" t="str">
        <x:v>상세 페이지 확인</x:v>
      </x:c>
      <x:c r="W76" s="17" t="str">
        <x:v>https://nrc.recruiter.co.kr/</x:v>
      </x:c>
      <x:c r="X76" s="18" t="str">
        <x:v>https://job.alio.go.kr/recruitview.do?idx=304682</x:v>
      </x:c>
      <x:c r="Y76" s="1"/>
      <x:c r="Z76" s="1"/>
    </x:row>
    <x:row r="77" ht="54" customHeight="1">
      <x:c r="A77" s="17" t="n">
        <x:v>347</x:v>
      </x:c>
      <x:c r="B77" s="17" t="str">
        <x:v>국립공원공단</x:v>
      </x:c>
      <x:c r="C77" s="17" t="str">
        <x:v>[치악산] 2026 치악산사무소 기간제(국립공원지킴이) 모집 공고</x:v>
      </x:c>
      <x:c r="D77" s="17" t="str">
        <x:v>강원</x:v>
      </x:c>
      <x:c r="E77" s="17" t="str">
        <x:v>비정규직</x:v>
      </x:c>
      <x:c r="F77" s="17" t="str">
        <x:v>2026.09.07</x:v>
      </x:c>
      <x:c r="G77" s="17" t="str">
        <x:v>26.09.17 D-8</x:v>
      </x:c>
      <x:c r="H77" s="17" t="str">
        <x:v>기간제·비정규</x:v>
      </x:c>
      <x:c r="I77" s="17" t="str">
        <x:v>세부조건 확인</x:v>
      </x:c>
      <x:c r="J77" s="17" t="str">
        <x:v>제한 문구 미탐지</x:v>
      </x:c>
      <x:c r="K77" s="17" t="str">
        <x:v>상세공고 확인</x:v>
      </x:c>
      <x:c r="L77" s="17" t="str">
        <x:v>상세공고 확인</x:v>
      </x:c>
      <x:c r="M77" s="17" t="str">
        <x:v>상세공고 확인</x:v>
      </x:c>
      <x:c r="N77" s="17" t="str">
        <x:v>상세공고 확인</x:v>
      </x:c>
      <x:c r="O77" s="17" t="str">
        <x:v>상세공고 확인</x:v>
      </x:c>
      <x:c r="P77" s="17" t="str">
        <x:v>상세공고 확인</x:v>
      </x:c>
      <x:c r="Q77" s="17" t="str">
        <x:v>상세공고 확인</x:v>
      </x:c>
      <x:c r="R77" s="17" t="str">
        <x:v>상세공고 확인</x:v>
      </x:c>
      <x:c r="S77" s="17" t="str">
        <x:v>상세공고 확인</x:v>
      </x:c>
      <x:c r="T77" s="17" t="str">
        <x:v>상세공고 확인</x:v>
      </x:c>
      <x:c r="U77" s="17" t="str">
        <x:v>상세공고 확인</x:v>
      </x:c>
      <x:c r="V77" s="17" t="str">
        <x:v>목록 항목 확인</x:v>
      </x:c>
      <x:c r="W77" s="17" t="str">
        <x:v>공고 상세에서 확인</x:v>
      </x:c>
      <x:c r="X77" s="18" t="str">
        <x:v>https://job.alio.go.kr/recruitview.do?idx=304679</x:v>
      </x:c>
      <x:c r="Y77" s="1"/>
      <x:c r="Z77" s="1"/>
    </x:row>
    <x:row r="78" ht="54" customHeight="1">
      <x:c r="A78" s="17" t="n">
        <x:v>346</x:v>
      </x:c>
      <x:c r="B78" s="17" t="str">
        <x:v>한국수력원자력(주)</x:v>
      </x:c>
      <x:c r="C78" s="17" t="str">
        <x:v>2026년도 제8차 경력사원(5(을)직급·공무직근로자) 선발</x:v>
      </x:c>
      <x:c r="D78" s="17" t="str">
        <x:v>부산 외 5</x:v>
      </x:c>
      <x:c r="E78" s="17" t="str">
        <x:v>무기계약직 외 1</x:v>
      </x:c>
      <x:c r="F78" s="17" t="str">
        <x:v>2026.09.07</x:v>
      </x:c>
      <x:c r="G78" s="17" t="str">
        <x:v>26.09.22 D-13</x:v>
      </x:c>
      <x:c r="H78" s="17" t="str">
        <x:v>경력·전문직</x:v>
      </x:c>
      <x:c r="I78" s="17" t="str">
        <x:v>경력·전문 우선</x:v>
      </x:c>
      <x:c r="J78" s="17" t="str">
        <x:v>제한 문구 미탐지</x:v>
      </x:c>
      <x:c r="K78" s="17" t="str">
        <x:v>상세공고 확인</x:v>
      </x:c>
      <x:c r="L78" s="17" t="str">
        <x:v>상세공고 확인</x:v>
      </x:c>
      <x:c r="M78" s="17" t="str">
        <x:v>상세공고 확인</x:v>
      </x:c>
      <x:c r="N78" s="17" t="str">
        <x:v>상세공고 확인</x:v>
      </x:c>
      <x:c r="O78" s="17" t="str">
        <x:v>상세공고 확인</x:v>
      </x:c>
      <x:c r="P78" s="17" t="str">
        <x:v>상세공고 확인</x:v>
      </x:c>
      <x:c r="Q78" s="17" t="str">
        <x:v>상세공고 확인</x:v>
      </x:c>
      <x:c r="R78" s="17" t="str">
        <x:v>상세공고 확인</x:v>
      </x:c>
      <x:c r="S78" s="17" t="str">
        <x:v>상세공고 확인</x:v>
      </x:c>
      <x:c r="T78" s="17" t="str">
        <x:v>상세공고 확인</x:v>
      </x:c>
      <x:c r="U78" s="17" t="str">
        <x:v>상세공고 확인</x:v>
      </x:c>
      <x:c r="V78" s="17" t="str">
        <x:v>목록 항목 확인</x:v>
      </x:c>
      <x:c r="W78" s="17" t="str">
        <x:v>공고 상세에서 확인</x:v>
      </x:c>
      <x:c r="X78" s="18" t="str">
        <x:v>https://job.alio.go.kr/recruitview.do?idx=304678</x:v>
      </x:c>
      <x:c r="Y78" s="1"/>
      <x:c r="Z78" s="1"/>
    </x:row>
    <x:row r="79" ht="54" customHeight="1">
      <x:c r="A79" s="17" t="n">
        <x:v>345</x:v>
      </x:c>
      <x:c r="B79" s="17" t="str">
        <x:v>국립공원공단</x:v>
      </x:c>
      <x:c r="C79" s="17" t="str">
        <x:v>[새만금환경생태단지관리단] 2026년 새만금환경생태단지관리단 기간제 직원 채용</x:v>
      </x:c>
      <x:c r="D79" s="17" t="str">
        <x:v>전북</x:v>
      </x:c>
      <x:c r="E79" s="17" t="str">
        <x:v>비정규직</x:v>
      </x:c>
      <x:c r="F79" s="17" t="str">
        <x:v>2026.09.07</x:v>
      </x:c>
      <x:c r="G79" s="17" t="str">
        <x:v>26.09.21 D-12</x:v>
      </x:c>
      <x:c r="H79" s="17" t="str">
        <x:v>기간제·비정규</x:v>
      </x:c>
      <x:c r="I79" s="17" t="str">
        <x:v>세부조건 확인</x:v>
      </x:c>
      <x:c r="J79" s="17" t="str">
        <x:v>제한 문구 미탐지</x:v>
      </x:c>
      <x:c r="K79" s="17" t="str">
        <x:v>상세공고 확인</x:v>
      </x:c>
      <x:c r="L79" s="17" t="str">
        <x:v>상세공고 확인</x:v>
      </x:c>
      <x:c r="M79" s="17" t="str">
        <x:v>상세공고 확인</x:v>
      </x:c>
      <x:c r="N79" s="17" t="str">
        <x:v>상세공고 확인</x:v>
      </x:c>
      <x:c r="O79" s="17" t="str">
        <x:v>상세공고 확인</x:v>
      </x:c>
      <x:c r="P79" s="17" t="str">
        <x:v>상세공고 확인</x:v>
      </x:c>
      <x:c r="Q79" s="17" t="str">
        <x:v>상세공고 확인</x:v>
      </x:c>
      <x:c r="R79" s="17" t="str">
        <x:v>상세공고 확인</x:v>
      </x:c>
      <x:c r="S79" s="17" t="str">
        <x:v>상세공고 확인</x:v>
      </x:c>
      <x:c r="T79" s="17" t="str">
        <x:v>상세공고 확인</x:v>
      </x:c>
      <x:c r="U79" s="17" t="str">
        <x:v>상세공고 확인</x:v>
      </x:c>
      <x:c r="V79" s="17" t="str">
        <x:v>목록 항목 확인</x:v>
      </x:c>
      <x:c r="W79" s="17" t="str">
        <x:v>공고 상세에서 확인</x:v>
      </x:c>
      <x:c r="X79" s="18" t="str">
        <x:v>https://job.alio.go.kr/recruitview.do?idx=304677</x:v>
      </x:c>
      <x:c r="Y79" s="1"/>
      <x:c r="Z79" s="1"/>
    </x:row>
    <x:row r="80" ht="54" customHeight="1">
      <x:c r="A80" s="17" t="n">
        <x:v>344</x:v>
      </x:c>
      <x:c r="B80" s="17" t="str">
        <x:v>근로복지공단</x:v>
      </x:c>
      <x:c r="C80" s="17" t="str">
        <x:v>[태백병원] 공무직(전기기계통신기사-기계분야) 채용 공고</x:v>
      </x:c>
      <x:c r="D80" s="17" t="str">
        <x:v>강원</x:v>
      </x:c>
      <x:c r="E80" s="17" t="str">
        <x:v>무기계약직</x:v>
      </x:c>
      <x:c r="F80" s="17" t="str">
        <x:v>2026.09.07</x:v>
      </x:c>
      <x:c r="G80" s="17" t="str">
        <x:v>26.09.14 D-5</x:v>
      </x:c>
      <x:c r="H80" s="17" t="str">
        <x:v>무기계약·공무직</x:v>
      </x:c>
      <x:c r="I80" s="17" t="str">
        <x:v>세부조건 확인</x:v>
      </x:c>
      <x:c r="J80" s="17" t="str">
        <x:v>제한 문구 미탐지</x:v>
      </x:c>
      <x:c r="K80" s="17" t="str">
        <x:v>상세공고 확인</x:v>
      </x:c>
      <x:c r="L80" s="17" t="str">
        <x:v>상세공고 확인</x:v>
      </x:c>
      <x:c r="M80" s="17" t="str">
        <x:v>상세공고 확인</x:v>
      </x:c>
      <x:c r="N80" s="17" t="str">
        <x:v>상세공고 확인</x:v>
      </x:c>
      <x:c r="O80" s="17" t="str">
        <x:v>상세공고 확인</x:v>
      </x:c>
      <x:c r="P80" s="17" t="str">
        <x:v>상세공고 확인</x:v>
      </x:c>
      <x:c r="Q80" s="17" t="str">
        <x:v>상세공고 확인</x:v>
      </x:c>
      <x:c r="R80" s="17" t="str">
        <x:v>상세공고 확인</x:v>
      </x:c>
      <x:c r="S80" s="17" t="str">
        <x:v>상세공고 확인</x:v>
      </x:c>
      <x:c r="T80" s="17" t="str">
        <x:v>상세공고 확인</x:v>
      </x:c>
      <x:c r="U80" s="17" t="str">
        <x:v>상세공고 확인</x:v>
      </x:c>
      <x:c r="V80" s="17" t="str">
        <x:v>목록 항목 확인</x:v>
      </x:c>
      <x:c r="W80" s="17" t="str">
        <x:v>공고 상세에서 확인</x:v>
      </x:c>
      <x:c r="X80" s="18" t="str">
        <x:v>https://job.alio.go.kr/recruitview.do?idx=304676</x:v>
      </x:c>
      <x:c r="Y80" s="1"/>
      <x:c r="Z80" s="1"/>
    </x:row>
    <x:row r="81" ht="54" customHeight="1">
      <x:c r="A81" s="17" t="n">
        <x:v>343</x:v>
      </x:c>
      <x:c r="B81" s="17" t="str">
        <x:v>근로복지공단</x:v>
      </x:c>
      <x:c r="C81" s="17" t="str">
        <x:v>[태백병원] 기간제 의사(응급실전담의) 채용 공고</x:v>
      </x:c>
      <x:c r="D81" s="17" t="str">
        <x:v>강원</x:v>
      </x:c>
      <x:c r="E81" s="17" t="str">
        <x:v>비정규직</x:v>
      </x:c>
      <x:c r="F81" s="17" t="str">
        <x:v>2026.09.07</x:v>
      </x:c>
      <x:c r="G81" s="17" t="str">
        <x:v>26.09.14 D-5</x:v>
      </x:c>
      <x:c r="H81" s="17" t="str">
        <x:v>기간제·비정규</x:v>
      </x:c>
      <x:c r="I81" s="17" t="str">
        <x:v>세부조건 확인</x:v>
      </x:c>
      <x:c r="J81" s="17" t="str">
        <x:v>제한 문구 미탐지</x:v>
      </x:c>
      <x:c r="K81" s="17" t="str">
        <x:v>상세공고 확인</x:v>
      </x:c>
      <x:c r="L81" s="17" t="str">
        <x:v>상세공고 확인</x:v>
      </x:c>
      <x:c r="M81" s="17" t="str">
        <x:v>상세공고 확인</x:v>
      </x:c>
      <x:c r="N81" s="17" t="str">
        <x:v>상세공고 확인</x:v>
      </x:c>
      <x:c r="O81" s="17" t="str">
        <x:v>상세공고 확인</x:v>
      </x:c>
      <x:c r="P81" s="17" t="str">
        <x:v>상세공고 확인</x:v>
      </x:c>
      <x:c r="Q81" s="17" t="str">
        <x:v>상세공고 확인</x:v>
      </x:c>
      <x:c r="R81" s="17" t="str">
        <x:v>상세공고 확인</x:v>
      </x:c>
      <x:c r="S81" s="17" t="str">
        <x:v>상세공고 확인</x:v>
      </x:c>
      <x:c r="T81" s="17" t="str">
        <x:v>상세공고 확인</x:v>
      </x:c>
      <x:c r="U81" s="17" t="str">
        <x:v>상세공고 확인</x:v>
      </x:c>
      <x:c r="V81" s="17" t="str">
        <x:v>목록 항목 확인</x:v>
      </x:c>
      <x:c r="W81" s="17" t="str">
        <x:v>공고 상세에서 확인</x:v>
      </x:c>
      <x:c r="X81" s="18" t="str">
        <x:v>https://job.alio.go.kr/recruitview.do?idx=304675</x:v>
      </x:c>
      <x:c r="Y81" s="1"/>
      <x:c r="Z81" s="1"/>
    </x:row>
    <x:row r="82" ht="54" customHeight="1">
      <x:c r="A82" s="17" t="n">
        <x:v>342</x:v>
      </x:c>
      <x:c r="B82" s="17" t="str">
        <x:v>근로복지공단</x:v>
      </x:c>
      <x:c r="C82" s="17" t="str">
        <x:v>[근로복지공단] 기술기능직(기술) 5급 채용 공고</x:v>
      </x:c>
      <x:c r="D82" s="17" t="str">
        <x:v>울산</x:v>
      </x:c>
      <x:c r="E82" s="17" t="str">
        <x:v>정규직</x:v>
      </x:c>
      <x:c r="F82" s="17" t="str">
        <x:v>2026.09.07</x:v>
      </x:c>
      <x:c r="G82" s="17" t="str">
        <x:v>26.09.21 D-12</x:v>
      </x:c>
      <x:c r="H82" s="17" t="str">
        <x:v>정규직(세부 확인)</x:v>
      </x:c>
      <x:c r="I82" s="17" t="str">
        <x:v>세부조건 확인</x:v>
      </x:c>
      <x:c r="J82" s="17" t="str">
        <x:v>제한 문구 미탐지</x:v>
      </x:c>
      <x:c r="K82" s="17" t="str">
        <x:v>상세공고 확인</x:v>
      </x:c>
      <x:c r="L82" s="17" t="str">
        <x:v>상세공고 확인</x:v>
      </x:c>
      <x:c r="M82" s="17" t="str">
        <x:v>상세공고 확인</x:v>
      </x:c>
      <x:c r="N82" s="17" t="str">
        <x:v>상세공고 확인</x:v>
      </x:c>
      <x:c r="O82" s="17" t="str">
        <x:v>상세공고 확인</x:v>
      </x:c>
      <x:c r="P82" s="17" t="str">
        <x:v>상세공고 확인</x:v>
      </x:c>
      <x:c r="Q82" s="17" t="str">
        <x:v>상세공고 확인</x:v>
      </x:c>
      <x:c r="R82" s="17" t="str">
        <x:v>상세공고 확인</x:v>
      </x:c>
      <x:c r="S82" s="17" t="str">
        <x:v>상세공고 확인</x:v>
      </x:c>
      <x:c r="T82" s="17" t="str">
        <x:v>상세공고 확인</x:v>
      </x:c>
      <x:c r="U82" s="17" t="str">
        <x:v>상세공고 확인</x:v>
      </x:c>
      <x:c r="V82" s="17" t="str">
        <x:v>목록 항목 확인</x:v>
      </x:c>
      <x:c r="W82" s="17" t="str">
        <x:v>공고 상세에서 확인</x:v>
      </x:c>
      <x:c r="X82" s="18" t="str">
        <x:v>https://job.alio.go.kr/recruitview.do?idx=304674</x:v>
      </x:c>
      <x:c r="Y82" s="1"/>
      <x:c r="Z82" s="1"/>
    </x:row>
    <x:row r="83" ht="54" customHeight="1">
      <x:c r="A83" s="17" t="n">
        <x:v>341</x:v>
      </x:c>
      <x:c r="B83" s="17" t="str">
        <x:v>(재)한국통계정보원</x:v>
      </x:c>
      <x:c r="C83" s="17" t="str">
        <x:v>[제2026-09] 한국통계정보원 기간제 근로자 채용 공고</x:v>
      </x:c>
      <x:c r="D83" s="17" t="str">
        <x:v>대전</x:v>
      </x:c>
      <x:c r="E83" s="17" t="str">
        <x:v>비정규직</x:v>
      </x:c>
      <x:c r="F83" s="17" t="str">
        <x:v>2026.09.07</x:v>
      </x:c>
      <x:c r="G83" s="17" t="str">
        <x:v>26.09.16 D-7</x:v>
      </x:c>
      <x:c r="H83" s="17" t="str">
        <x:v>기간제·비정규</x:v>
      </x:c>
      <x:c r="I83" s="17" t="str">
        <x:v>세부조건 확인</x:v>
      </x:c>
      <x:c r="J83" s="17" t="str">
        <x:v>제한 문구 미탐지</x:v>
      </x:c>
      <x:c r="K83" s="17" t="str">
        <x:v>상세공고 확인</x:v>
      </x:c>
      <x:c r="L83" s="17" t="str">
        <x:v>상세공고 확인</x:v>
      </x:c>
      <x:c r="M83" s="17" t="str">
        <x:v>상세공고 확인</x:v>
      </x:c>
      <x:c r="N83" s="17" t="str">
        <x:v>상세공고 확인</x:v>
      </x:c>
      <x:c r="O83" s="17" t="str">
        <x:v>상세공고 확인</x:v>
      </x:c>
      <x:c r="P83" s="17" t="str">
        <x:v>상세공고 확인</x:v>
      </x:c>
      <x:c r="Q83" s="17" t="str">
        <x:v>상세공고 확인</x:v>
      </x:c>
      <x:c r="R83" s="17" t="str">
        <x:v>상세공고 확인</x:v>
      </x:c>
      <x:c r="S83" s="17" t="str">
        <x:v>상세공고 확인</x:v>
      </x:c>
      <x:c r="T83" s="17" t="str">
        <x:v>상세공고 확인</x:v>
      </x:c>
      <x:c r="U83" s="17" t="str">
        <x:v>상세공고 확인</x:v>
      </x:c>
      <x:c r="V83" s="17" t="str">
        <x:v>목록 항목 확인</x:v>
      </x:c>
      <x:c r="W83" s="17" t="str">
        <x:v>공고 상세에서 확인</x:v>
      </x:c>
      <x:c r="X83" s="18" t="str">
        <x:v>https://job.alio.go.kr/recruitview.do?idx=304672</x:v>
      </x:c>
      <x:c r="Y83" s="1"/>
      <x:c r="Z83" s="1"/>
    </x:row>
    <x:row r="84" ht="54" customHeight="1">
      <x:c r="A84" s="17" t="n">
        <x:v>340</x:v>
      </x:c>
      <x:c r="B84" s="17" t="str">
        <x:v>한전KPS(주)</x:v>
      </x:c>
      <x:c r="C84" s="17" t="str">
        <x:v>한전KPS(주) 대외사업센터 단기노무원 채용 공고(당진 GS EPS)</x:v>
      </x:c>
      <x:c r="D84" s="17" t="str">
        <x:v>충남</x:v>
      </x:c>
      <x:c r="E84" s="17" t="str">
        <x:v>비정규직</x:v>
      </x:c>
      <x:c r="F84" s="17" t="str">
        <x:v>2026.09.07</x:v>
      </x:c>
      <x:c r="G84" s="17" t="str">
        <x:v>26.09.09 D+0</x:v>
      </x:c>
      <x:c r="H84" s="17" t="str">
        <x:v>기간제·비정규</x:v>
      </x:c>
      <x:c r="I84" s="17" t="str">
        <x:v>세부조건 확인</x:v>
      </x:c>
      <x:c r="J84" s="17" t="str">
        <x:v>제한 문구 미탐지</x:v>
      </x:c>
      <x:c r="K84" s="17" t="str">
        <x:v>상세공고 확인</x:v>
      </x:c>
      <x:c r="L84" s="17" t="str">
        <x:v>상세공고 확인</x:v>
      </x:c>
      <x:c r="M84" s="17" t="str">
        <x:v>상세공고 확인</x:v>
      </x:c>
      <x:c r="N84" s="17" t="str">
        <x:v>상세공고 확인</x:v>
      </x:c>
      <x:c r="O84" s="17" t="str">
        <x:v>상세공고 확인</x:v>
      </x:c>
      <x:c r="P84" s="17" t="str">
        <x:v>상세공고 확인</x:v>
      </x:c>
      <x:c r="Q84" s="17" t="str">
        <x:v>상세공고 확인</x:v>
      </x:c>
      <x:c r="R84" s="17" t="str">
        <x:v>상세공고 확인</x:v>
      </x:c>
      <x:c r="S84" s="17" t="str">
        <x:v>상세공고 확인</x:v>
      </x:c>
      <x:c r="T84" s="17" t="str">
        <x:v>상세공고 확인</x:v>
      </x:c>
      <x:c r="U84" s="17" t="str">
        <x:v>상세공고 확인</x:v>
      </x:c>
      <x:c r="V84" s="17" t="str">
        <x:v>목록 항목 확인</x:v>
      </x:c>
      <x:c r="W84" s="17" t="str">
        <x:v>공고 상세에서 확인</x:v>
      </x:c>
      <x:c r="X84" s="18" t="str">
        <x:v>https://job.alio.go.kr/recruitview.do?idx=304671</x:v>
      </x:c>
      <x:c r="Y84" s="1"/>
      <x:c r="Z84" s="1"/>
    </x:row>
    <x:row r="85" ht="54" customHeight="1">
      <x:c r="A85" s="17" t="n">
        <x:v>339</x:v>
      </x:c>
      <x:c r="B85" s="17" t="str">
        <x:v>한전KPS(주)</x:v>
      </x:c>
      <x:c r="C85" s="17" t="str">
        <x:v>한전KPS(주) 대외사업센터 단기노무원 채용 공고(당진 현대그린파워 #6)</x:v>
      </x:c>
      <x:c r="D85" s="17" t="str">
        <x:v>충남</x:v>
      </x:c>
      <x:c r="E85" s="17" t="str">
        <x:v>비정규직</x:v>
      </x:c>
      <x:c r="F85" s="17" t="str">
        <x:v>2026.09.07</x:v>
      </x:c>
      <x:c r="G85" s="17" t="str">
        <x:v>26.09.09 D+0</x:v>
      </x:c>
      <x:c r="H85" s="17" t="str">
        <x:v>기간제·비정규</x:v>
      </x:c>
      <x:c r="I85" s="17" t="str">
        <x:v>세부조건 확인</x:v>
      </x:c>
      <x:c r="J85" s="17" t="str">
        <x:v>제한 문구 미탐지</x:v>
      </x:c>
      <x:c r="K85" s="17" t="str">
        <x:v>상세공고 확인</x:v>
      </x:c>
      <x:c r="L85" s="17" t="str">
        <x:v>상세공고 확인</x:v>
      </x:c>
      <x:c r="M85" s="17" t="str">
        <x:v>상세공고 확인</x:v>
      </x:c>
      <x:c r="N85" s="17" t="str">
        <x:v>상세공고 확인</x:v>
      </x:c>
      <x:c r="O85" s="17" t="str">
        <x:v>상세공고 확인</x:v>
      </x:c>
      <x:c r="P85" s="17" t="str">
        <x:v>상세공고 확인</x:v>
      </x:c>
      <x:c r="Q85" s="17" t="str">
        <x:v>상세공고 확인</x:v>
      </x:c>
      <x:c r="R85" s="17" t="str">
        <x:v>상세공고 확인</x:v>
      </x:c>
      <x:c r="S85" s="17" t="str">
        <x:v>상세공고 확인</x:v>
      </x:c>
      <x:c r="T85" s="17" t="str">
        <x:v>상세공고 확인</x:v>
      </x:c>
      <x:c r="U85" s="17" t="str">
        <x:v>상세공고 확인</x:v>
      </x:c>
      <x:c r="V85" s="17" t="str">
        <x:v>목록 항목 확인</x:v>
      </x:c>
      <x:c r="W85" s="17" t="str">
        <x:v>공고 상세에서 확인</x:v>
      </x:c>
      <x:c r="X85" s="18" t="str">
        <x:v>https://job.alio.go.kr/recruitview.do?idx=304670</x:v>
      </x:c>
      <x:c r="Y85" s="1"/>
      <x:c r="Z85" s="1"/>
    </x:row>
    <x:row r="86" ht="54" customHeight="1">
      <x:c r="A86" s="17" t="n">
        <x:v>338</x:v>
      </x:c>
      <x:c r="B86" s="17" t="str">
        <x:v>한국청소년상담복지개발원</x:v>
      </x:c>
      <x:c r="C86" s="17" t="str">
        <x:v>제2026-3호 국립중앙청소년디딤센터 직원(공무직, 기간제(휴직대체)) 모집</x:v>
      </x:c>
      <x:c r="D86" s="17" t="str">
        <x:v>경기</x:v>
      </x:c>
      <x:c r="E86" s="17" t="str">
        <x:v>무기계약직 외 1</x:v>
      </x:c>
      <x:c r="F86" s="17" t="str">
        <x:v>2026.09.07</x:v>
      </x:c>
      <x:c r="G86" s="17" t="str">
        <x:v>26.09.21 D-12</x:v>
      </x:c>
      <x:c r="H86" s="17" t="str">
        <x:v>무기계약·공무직</x:v>
      </x:c>
      <x:c r="I86" s="17" t="str">
        <x:v>세부조건 확인</x:v>
      </x:c>
      <x:c r="J86" s="17" t="str">
        <x:v>제한 문구 미탐지</x:v>
      </x:c>
      <x:c r="K86" s="17" t="str">
        <x:v>상세공고 확인</x:v>
      </x:c>
      <x:c r="L86" s="17" t="str">
        <x:v>상세공고 확인</x:v>
      </x:c>
      <x:c r="M86" s="17" t="str">
        <x:v>상세공고 확인</x:v>
      </x:c>
      <x:c r="N86" s="17" t="str">
        <x:v>상세공고 확인</x:v>
      </x:c>
      <x:c r="O86" s="17" t="str">
        <x:v>상세공고 확인</x:v>
      </x:c>
      <x:c r="P86" s="17" t="str">
        <x:v>상세공고 확인</x:v>
      </x:c>
      <x:c r="Q86" s="17" t="str">
        <x:v>상세공고 확인</x:v>
      </x:c>
      <x:c r="R86" s="17" t="str">
        <x:v>상세공고 확인</x:v>
      </x:c>
      <x:c r="S86" s="17" t="str">
        <x:v>상세공고 확인</x:v>
      </x:c>
      <x:c r="T86" s="17" t="str">
        <x:v>상세공고 확인</x:v>
      </x:c>
      <x:c r="U86" s="17" t="str">
        <x:v>상세공고 확인</x:v>
      </x:c>
      <x:c r="V86" s="17" t="str">
        <x:v>목록 항목 확인</x:v>
      </x:c>
      <x:c r="W86" s="17" t="str">
        <x:v>공고 상세에서 확인</x:v>
      </x:c>
      <x:c r="X86" s="18" t="str">
        <x:v>https://job.alio.go.kr/recruitview.do?idx=304669</x:v>
      </x:c>
      <x:c r="Y86" s="1"/>
      <x:c r="Z86" s="1"/>
    </x:row>
    <x:row r="87" ht="54" customHeight="1">
      <x:c r="A87" s="17" t="n">
        <x:v>337</x:v>
      </x:c>
      <x:c r="B87" s="17" t="str">
        <x:v>한국여성과학기술인육성재단</x:v>
      </x:c>
      <x:c r="C87" s="17" t="str">
        <x:v>2026년도 제5차 하반기 체험형 청년인턴 채용 공고</x:v>
      </x:c>
      <x:c r="D87" s="17" t="str">
        <x:v>서울</x:v>
      </x:c>
      <x:c r="E87" s="17" t="str">
        <x:v>청년인턴(체험형)</x:v>
      </x:c>
      <x:c r="F87" s="17" t="str">
        <x:v>2026.09.07</x:v>
      </x:c>
      <x:c r="G87" s="17" t="str">
        <x:v>26.09.22 D-13</x:v>
      </x:c>
      <x:c r="H87" s="17" t="str">
        <x:v>체험형·청년인턴</x:v>
      </x:c>
      <x:c r="I87" s="17" t="str">
        <x:v>우선검토</x:v>
      </x:c>
      <x:c r="J87" s="17" t="str">
        <x:v>제한 문구 미탐지</x:v>
      </x:c>
      <x:c r="K87" s="17" t="str">
        <x:v>상세공고 확인</x:v>
      </x:c>
      <x:c r="L87" s="17" t="str">
        <x:v>상세공고 확인</x:v>
      </x:c>
      <x:c r="M87" s="17" t="str">
        <x:v>상세공고 확인</x:v>
      </x:c>
      <x:c r="N87" s="17" t="str">
        <x:v>상세공고 확인</x:v>
      </x:c>
      <x:c r="O87" s="17" t="str">
        <x:v>상세공고 확인</x:v>
      </x:c>
      <x:c r="P87" s="17" t="str">
        <x:v>상세공고 확인</x:v>
      </x:c>
      <x:c r="Q87" s="17" t="str">
        <x:v>상세공고 확인</x:v>
      </x:c>
      <x:c r="R87" s="17" t="str">
        <x:v>상세공고 확인</x:v>
      </x:c>
      <x:c r="S87" s="17" t="str">
        <x:v>상세공고 확인</x:v>
      </x:c>
      <x:c r="T87" s="17" t="str">
        <x:v>상세공고 확인</x:v>
      </x:c>
      <x:c r="U87" s="17" t="str">
        <x:v>상세공고 확인</x:v>
      </x:c>
      <x:c r="V87" s="17" t="str">
        <x:v>목록 항목 확인</x:v>
      </x:c>
      <x:c r="W87" s="17" t="str">
        <x:v>공고 상세에서 확인</x:v>
      </x:c>
      <x:c r="X87" s="18" t="str">
        <x:v>https://job.alio.go.kr/recruitview.do?idx=304667</x:v>
      </x:c>
      <x:c r="Y87" s="1"/>
      <x:c r="Z87" s="1"/>
    </x:row>
    <x:row r="88" ht="54" customHeight="1">
      <x:c r="A88" s="17" t="n">
        <x:v>336</x:v>
      </x:c>
      <x:c r="B88" s="17" t="str">
        <x:v>한전KDN</x:v>
      </x:c>
      <x:c r="C88" s="17" t="str">
        <x:v>한전KDN(주) 부산본부 전력통신팀 정보통신설비 작업원(현장보조원) 모집공고</x:v>
      </x:c>
      <x:c r="D88" s="17" t="str">
        <x:v>부산</x:v>
      </x:c>
      <x:c r="E88" s="17" t="str">
        <x:v>비정규직</x:v>
      </x:c>
      <x:c r="F88" s="17" t="str">
        <x:v>2026.09.07</x:v>
      </x:c>
      <x:c r="G88" s="17" t="str">
        <x:v>26.09.21 D-12</x:v>
      </x:c>
      <x:c r="H88" s="17" t="str">
        <x:v>기간제·비정규</x:v>
      </x:c>
      <x:c r="I88" s="17" t="str">
        <x:v>세부조건 확인</x:v>
      </x:c>
      <x:c r="J88" s="17" t="str">
        <x:v>제한 문구 미탐지</x:v>
      </x:c>
      <x:c r="K88" s="17" t="str">
        <x:v>상세공고 확인</x:v>
      </x:c>
      <x:c r="L88" s="17" t="str">
        <x:v>상세공고 확인</x:v>
      </x:c>
      <x:c r="M88" s="17" t="str">
        <x:v>상세공고 확인</x:v>
      </x:c>
      <x:c r="N88" s="17" t="str">
        <x:v>상세공고 확인</x:v>
      </x:c>
      <x:c r="O88" s="17" t="str">
        <x:v>상세공고 확인</x:v>
      </x:c>
      <x:c r="P88" s="17" t="str">
        <x:v>상세공고 확인</x:v>
      </x:c>
      <x:c r="Q88" s="17" t="str">
        <x:v>상세공고 확인</x:v>
      </x:c>
      <x:c r="R88" s="17" t="str">
        <x:v>상세공고 확인</x:v>
      </x:c>
      <x:c r="S88" s="17" t="str">
        <x:v>상세공고 확인</x:v>
      </x:c>
      <x:c r="T88" s="17" t="str">
        <x:v>상세공고 확인</x:v>
      </x:c>
      <x:c r="U88" s="17" t="str">
        <x:v>상세공고 확인</x:v>
      </x:c>
      <x:c r="V88" s="17" t="str">
        <x:v>목록 항목 확인</x:v>
      </x:c>
      <x:c r="W88" s="17" t="str">
        <x:v>공고 상세에서 확인</x:v>
      </x:c>
      <x:c r="X88" s="18" t="str">
        <x:v>https://job.alio.go.kr/recruitview.do?idx=304666</x:v>
      </x:c>
      <x:c r="Y88" s="1"/>
      <x:c r="Z88" s="1"/>
    </x:row>
    <x:row r="89" ht="54" customHeight="1">
      <x:c r="A89" s="17" t="n">
        <x:v>335</x:v>
      </x:c>
      <x:c r="B89" s="17" t="str">
        <x:v>정보통신정책연구원</x:v>
      </x:c>
      <x:c r="C89" s="17" t="str">
        <x:v>2026년 계약직연구원 공개채용(국제개발협력)</x:v>
      </x:c>
      <x:c r="D89" s="17" t="str">
        <x:v>충북</x:v>
      </x:c>
      <x:c r="E89" s="17" t="str">
        <x:v>비정규직</x:v>
      </x:c>
      <x:c r="F89" s="17" t="str">
        <x:v>2026.09.07</x:v>
      </x:c>
      <x:c r="G89" s="17" t="str">
        <x:v>26.09.22 D-13</x:v>
      </x:c>
      <x:c r="H89" s="17" t="str">
        <x:v>기간제·비정규</x:v>
      </x:c>
      <x:c r="I89" s="17" t="str">
        <x:v>세부조건 확인</x:v>
      </x:c>
      <x:c r="J89" s="17" t="str">
        <x:v>제한 문구 미탐지</x:v>
      </x:c>
      <x:c r="K89" s="17" t="str">
        <x:v>상세공고 확인</x:v>
      </x:c>
      <x:c r="L89" s="17" t="str">
        <x:v>상세공고 확인</x:v>
      </x:c>
      <x:c r="M89" s="17" t="str">
        <x:v>상세공고 확인</x:v>
      </x:c>
      <x:c r="N89" s="17" t="str">
        <x:v>상세공고 확인</x:v>
      </x:c>
      <x:c r="O89" s="17" t="str">
        <x:v>상세공고 확인</x:v>
      </x:c>
      <x:c r="P89" s="17" t="str">
        <x:v>상세공고 확인</x:v>
      </x:c>
      <x:c r="Q89" s="17" t="str">
        <x:v>상세공고 확인</x:v>
      </x:c>
      <x:c r="R89" s="17" t="str">
        <x:v>상세공고 확인</x:v>
      </x:c>
      <x:c r="S89" s="17" t="str">
        <x:v>상세공고 확인</x:v>
      </x:c>
      <x:c r="T89" s="17" t="str">
        <x:v>상세공고 확인</x:v>
      </x:c>
      <x:c r="U89" s="17" t="str">
        <x:v>상세공고 확인</x:v>
      </x:c>
      <x:c r="V89" s="17" t="str">
        <x:v>목록 항목 확인</x:v>
      </x:c>
      <x:c r="W89" s="17" t="str">
        <x:v>공고 상세에서 확인</x:v>
      </x:c>
      <x:c r="X89" s="18" t="str">
        <x:v>https://job.alio.go.kr/recruitview.do?idx=304664</x:v>
      </x:c>
      <x:c r="Y89" s="1"/>
      <x:c r="Z89" s="1"/>
    </x:row>
    <x:row r="90" ht="54" customHeight="1">
      <x:c r="A90" s="17" t="n">
        <x:v>334</x:v>
      </x:c>
      <x:c r="B90" s="17" t="str">
        <x:v>한전KDN</x:v>
      </x:c>
      <x:c r="C90" s="17" t="str">
        <x:v>한전KDN(주) 울산지사 26년 AMI 통신망 보강공사 일용근로자 모집공고</x:v>
      </x:c>
      <x:c r="D90" s="17" t="str">
        <x:v>울산</x:v>
      </x:c>
      <x:c r="E90" s="17" t="str">
        <x:v>비정규직</x:v>
      </x:c>
      <x:c r="F90" s="17" t="str">
        <x:v>2026.09.07</x:v>
      </x:c>
      <x:c r="G90" s="17" t="str">
        <x:v>26.09.21 D-12</x:v>
      </x:c>
      <x:c r="H90" s="17" t="str">
        <x:v>기간제·비정규</x:v>
      </x:c>
      <x:c r="I90" s="17" t="str">
        <x:v>세부조건 확인</x:v>
      </x:c>
      <x:c r="J90" s="17" t="str">
        <x:v>제한 문구 미탐지</x:v>
      </x:c>
      <x:c r="K90" s="17" t="str">
        <x:v>상세공고 확인</x:v>
      </x:c>
      <x:c r="L90" s="17" t="str">
        <x:v>상세공고 확인</x:v>
      </x:c>
      <x:c r="M90" s="17" t="str">
        <x:v>상세공고 확인</x:v>
      </x:c>
      <x:c r="N90" s="17" t="str">
        <x:v>상세공고 확인</x:v>
      </x:c>
      <x:c r="O90" s="17" t="str">
        <x:v>상세공고 확인</x:v>
      </x:c>
      <x:c r="P90" s="17" t="str">
        <x:v>상세공고 확인</x:v>
      </x:c>
      <x:c r="Q90" s="17" t="str">
        <x:v>상세공고 확인</x:v>
      </x:c>
      <x:c r="R90" s="17" t="str">
        <x:v>상세공고 확인</x:v>
      </x:c>
      <x:c r="S90" s="17" t="str">
        <x:v>상세공고 확인</x:v>
      </x:c>
      <x:c r="T90" s="17" t="str">
        <x:v>상세공고 확인</x:v>
      </x:c>
      <x:c r="U90" s="17" t="str">
        <x:v>상세공고 확인</x:v>
      </x:c>
      <x:c r="V90" s="17" t="str">
        <x:v>목록 항목 확인</x:v>
      </x:c>
      <x:c r="W90" s="17" t="str">
        <x:v>공고 상세에서 확인</x:v>
      </x:c>
      <x:c r="X90" s="18" t="str">
        <x:v>https://job.alio.go.kr/recruitview.do?idx=304663</x:v>
      </x:c>
      <x:c r="Y90" s="1"/>
      <x:c r="Z90" s="1"/>
    </x:row>
    <x:row r="91" ht="54" customHeight="1">
      <x:c r="A91" s="17" t="n">
        <x:v>333</x:v>
      </x:c>
      <x:c r="B91" s="17" t="str">
        <x:v>한국고용정보원</x:v>
      </x:c>
      <x:c r="C91" s="17" t="str">
        <x:v>2026년도 한국고용정보원 2차 직원 채용 공고</x:v>
      </x:c>
      <x:c r="D91" s="17" t="str">
        <x:v>인천 외 1</x:v>
      </x:c>
      <x:c r="E91" s="17" t="str">
        <x:v>무기계약직 외 1</x:v>
      </x:c>
      <x:c r="F91" s="17" t="str">
        <x:v>2026.09.07</x:v>
      </x:c>
      <x:c r="G91" s="17" t="str">
        <x:v>26.09.22 D-13</x:v>
      </x:c>
      <x:c r="H91" s="17" t="str">
        <x:v>무기계약·공무직</x:v>
      </x:c>
      <x:c r="I91" s="17" t="str">
        <x:v>세부조건 확인</x:v>
      </x:c>
      <x:c r="J91" s="17" t="str">
        <x:v>제한 문구 미탐지</x:v>
      </x:c>
      <x:c r="K91" s="17" t="str">
        <x:v>상세공고 확인</x:v>
      </x:c>
      <x:c r="L91" s="17" t="str">
        <x:v>상세공고 확인</x:v>
      </x:c>
      <x:c r="M91" s="17" t="str">
        <x:v>상세공고 확인</x:v>
      </x:c>
      <x:c r="N91" s="17" t="str">
        <x:v>상세공고 확인</x:v>
      </x:c>
      <x:c r="O91" s="17" t="str">
        <x:v>상세공고 확인</x:v>
      </x:c>
      <x:c r="P91" s="17" t="str">
        <x:v>상세공고 확인</x:v>
      </x:c>
      <x:c r="Q91" s="17" t="str">
        <x:v>상세공고 확인</x:v>
      </x:c>
      <x:c r="R91" s="17" t="str">
        <x:v>상세공고 확인</x:v>
      </x:c>
      <x:c r="S91" s="17" t="str">
        <x:v>상세공고 확인</x:v>
      </x:c>
      <x:c r="T91" s="17" t="str">
        <x:v>상세공고 확인</x:v>
      </x:c>
      <x:c r="U91" s="17" t="str">
        <x:v>상세공고 확인</x:v>
      </x:c>
      <x:c r="V91" s="17" t="str">
        <x:v>목록 항목 확인</x:v>
      </x:c>
      <x:c r="W91" s="17" t="str">
        <x:v>공고 상세에서 확인</x:v>
      </x:c>
      <x:c r="X91" s="18" t="str">
        <x:v>https://job.alio.go.kr/recruitview.do?idx=304653</x:v>
      </x:c>
      <x:c r="Y91" s="1"/>
      <x:c r="Z91" s="1"/>
    </x:row>
    <x:row r="92" ht="54" customHeight="1">
      <x:c r="A92" s="17" t="n">
        <x:v>332</x:v>
      </x:c>
      <x:c r="B92" s="17" t="str">
        <x:v>동남권원자력의학원</x:v>
      </x:c>
      <x:c r="C92" s="17" t="str">
        <x:v>[직원채용] 정규직 약무직(방사성의약품연구팀) 공개 채용(재공고)</x:v>
      </x:c>
      <x:c r="D92" s="17" t="str">
        <x:v>부산</x:v>
      </x:c>
      <x:c r="E92" s="17" t="str">
        <x:v>정규직</x:v>
      </x:c>
      <x:c r="F92" s="17" t="str">
        <x:v>2026.09.07</x:v>
      </x:c>
      <x:c r="G92" s="17" t="str">
        <x:v>26.09.21 D-12</x:v>
      </x:c>
      <x:c r="H92" s="17" t="str">
        <x:v>정규직(세부 확인)</x:v>
      </x:c>
      <x:c r="I92" s="17" t="str">
        <x:v>세부조건 확인</x:v>
      </x:c>
      <x:c r="J92" s="17" t="str">
        <x:v>제한 문구 미탐지</x:v>
      </x:c>
      <x:c r="K92" s="17" t="str">
        <x:v>상세공고 확인</x:v>
      </x:c>
      <x:c r="L92" s="17" t="str">
        <x:v>상세공고 확인</x:v>
      </x:c>
      <x:c r="M92" s="17" t="str">
        <x:v>상세공고 확인</x:v>
      </x:c>
      <x:c r="N92" s="17" t="str">
        <x:v>상세공고 확인</x:v>
      </x:c>
      <x:c r="O92" s="17" t="str">
        <x:v>상세공고 확인</x:v>
      </x:c>
      <x:c r="P92" s="17" t="str">
        <x:v>상세공고 확인</x:v>
      </x:c>
      <x:c r="Q92" s="17" t="str">
        <x:v>상세공고 확인</x:v>
      </x:c>
      <x:c r="R92" s="17" t="str">
        <x:v>상세공고 확인</x:v>
      </x:c>
      <x:c r="S92" s="17" t="str">
        <x:v>상세공고 확인</x:v>
      </x:c>
      <x:c r="T92" s="17" t="str">
        <x:v>상세공고 확인</x:v>
      </x:c>
      <x:c r="U92" s="17" t="str">
        <x:v>상세공고 확인</x:v>
      </x:c>
      <x:c r="V92" s="17" t="str">
        <x:v>목록 항목 확인</x:v>
      </x:c>
      <x:c r="W92" s="17" t="str">
        <x:v>공고 상세에서 확인</x:v>
      </x:c>
      <x:c r="X92" s="18" t="str">
        <x:v>https://job.alio.go.kr/recruitview.do?idx=304650</x:v>
      </x:c>
      <x:c r="Y92" s="1"/>
      <x:c r="Z92" s="1"/>
    </x:row>
    <x:row r="93" ht="54" customHeight="1">
      <x:c r="A93" s="17" t="n">
        <x:v>331</x:v>
      </x:c>
      <x:c r="B93" s="17" t="str">
        <x:v>서울대학교병원</x:v>
      </x:c>
      <x:c r="C93" s="17" t="str">
        <x:v>진료교수요원 및 진료의 공개 채용</x:v>
      </x:c>
      <x:c r="D93" s="17" t="str">
        <x:v>서울</x:v>
      </x:c>
      <x:c r="E93" s="17" t="str">
        <x:v>비정규직</x:v>
      </x:c>
      <x:c r="F93" s="17" t="str">
        <x:v>2026.09.07</x:v>
      </x:c>
      <x:c r="G93" s="17" t="str">
        <x:v>26.09.14 D-5</x:v>
      </x:c>
      <x:c r="H93" s="17" t="str">
        <x:v>경력·전문직</x:v>
      </x:c>
      <x:c r="I93" s="17" t="str">
        <x:v>경력·전문 우선</x:v>
      </x:c>
      <x:c r="J93" s="17" t="str">
        <x:v>제한 문구 미탐지</x:v>
      </x:c>
      <x:c r="K93" s="17" t="str">
        <x:v>상세공고 확인</x:v>
      </x:c>
      <x:c r="L93" s="17" t="str">
        <x:v>상세공고 확인</x:v>
      </x:c>
      <x:c r="M93" s="17" t="str">
        <x:v>상세공고 확인</x:v>
      </x:c>
      <x:c r="N93" s="17" t="str">
        <x:v>상세공고 확인</x:v>
      </x:c>
      <x:c r="O93" s="17" t="str">
        <x:v>상세공고 확인</x:v>
      </x:c>
      <x:c r="P93" s="17" t="str">
        <x:v>상세공고 확인</x:v>
      </x:c>
      <x:c r="Q93" s="17" t="str">
        <x:v>상세공고 확인</x:v>
      </x:c>
      <x:c r="R93" s="17" t="str">
        <x:v>상세공고 확인</x:v>
      </x:c>
      <x:c r="S93" s="17" t="str">
        <x:v>상세공고 확인</x:v>
      </x:c>
      <x:c r="T93" s="17" t="str">
        <x:v>상세공고 확인</x:v>
      </x:c>
      <x:c r="U93" s="17" t="str">
        <x:v>상세공고 확인</x:v>
      </x:c>
      <x:c r="V93" s="17" t="str">
        <x:v>목록 항목 확인</x:v>
      </x:c>
      <x:c r="W93" s="17" t="str">
        <x:v>공고 상세에서 확인</x:v>
      </x:c>
      <x:c r="X93" s="18" t="str">
        <x:v>https://job.alio.go.kr/recruitview.do?idx=304647</x:v>
      </x:c>
      <x:c r="Y93" s="1"/>
      <x:c r="Z93" s="1"/>
    </x:row>
    <x:row r="94" ht="54" customHeight="1">
      <x:c r="A94" s="17" t="n">
        <x:v>330</x:v>
      </x:c>
      <x:c r="B94" s="17" t="str">
        <x:v>한국교통안전공단</x:v>
      </x:c>
      <x:c r="C94" s="17" t="str">
        <x:v>2026년 제4차 한국교통안전공단 기간제근로자(자동차정보처 사무보조_장애) 채용</x:v>
      </x:c>
      <x:c r="D94" s="17" t="str">
        <x:v>경북</x:v>
      </x:c>
      <x:c r="E94" s="17" t="str">
        <x:v>청년인턴(체험형)</x:v>
      </x:c>
      <x:c r="F94" s="17" t="str">
        <x:v>2026.09.07</x:v>
      </x:c>
      <x:c r="G94" s="17" t="str">
        <x:v>26.09.22 D-13</x:v>
      </x:c>
      <x:c r="H94" s="17" t="str">
        <x:v>제한경쟁·조건부</x:v>
      </x:c>
      <x:c r="I94" s="17" t="str">
        <x:v>조건 충족자만</x:v>
      </x:c>
      <x:c r="J94" s="17" t="str">
        <x:v>장애 관련 제한경쟁</x:v>
      </x:c>
      <x:c r="K94" s="17" t="str">
        <x:v>상세공고 확인</x:v>
      </x:c>
      <x:c r="L94" s="17" t="str">
        <x:v>상세공고 확인</x:v>
      </x:c>
      <x:c r="M94" s="17" t="str">
        <x:v>상세공고 확인</x:v>
      </x:c>
      <x:c r="N94" s="17" t="str">
        <x:v>상세공고 확인</x:v>
      </x:c>
      <x:c r="O94" s="17" t="str">
        <x:v>상세공고 확인</x:v>
      </x:c>
      <x:c r="P94" s="17" t="str">
        <x:v>상세공고 확인</x:v>
      </x:c>
      <x:c r="Q94" s="17" t="str">
        <x:v>상세공고 확인</x:v>
      </x:c>
      <x:c r="R94" s="17" t="str">
        <x:v>상세공고 확인</x:v>
      </x:c>
      <x:c r="S94" s="17" t="str">
        <x:v>상세공고 확인</x:v>
      </x:c>
      <x:c r="T94" s="17" t="str">
        <x:v>상세공고 확인</x:v>
      </x:c>
      <x:c r="U94" s="17" t="str">
        <x:v>상세공고 확인</x:v>
      </x:c>
      <x:c r="V94" s="17" t="str">
        <x:v>목록 항목 확인</x:v>
      </x:c>
      <x:c r="W94" s="17" t="str">
        <x:v>공고 상세에서 확인</x:v>
      </x:c>
      <x:c r="X94" s="18" t="str">
        <x:v>https://job.alio.go.kr/recruitview.do?idx=304634</x:v>
      </x:c>
      <x:c r="Y94" s="1"/>
      <x:c r="Z94" s="1"/>
    </x:row>
    <x:row r="95" ht="54" customHeight="1">
      <x:c r="A95" s="17" t="n">
        <x:v>329</x:v>
      </x:c>
      <x:c r="B95" s="17" t="str">
        <x:v>한국인터넷진흥원</x:v>
      </x:c>
      <x:c r="C95" s="17" t="str">
        <x:v>2026년 한국인터넷진흥원 체험형 청년인턴 채용 공고</x:v>
      </x:c>
      <x:c r="D95" s="17" t="str">
        <x:v>서울 외 1</x:v>
      </x:c>
      <x:c r="E95" s="17" t="str">
        <x:v>비정규직 외 1</x:v>
      </x:c>
      <x:c r="F95" s="17" t="str">
        <x:v>2026.09.07</x:v>
      </x:c>
      <x:c r="G95" s="17" t="str">
        <x:v>26.09.21 D-12</x:v>
      </x:c>
      <x:c r="H95" s="17" t="str">
        <x:v>체험형·청년인턴</x:v>
      </x:c>
      <x:c r="I95" s="17" t="str">
        <x:v>우선검토</x:v>
      </x:c>
      <x:c r="J95" s="17" t="str">
        <x:v>제한 문구 미탐지</x:v>
      </x:c>
      <x:c r="K95" s="17" t="str">
        <x:v>상세공고 확인</x:v>
      </x:c>
      <x:c r="L95" s="17" t="str">
        <x:v>상세공고 확인</x:v>
      </x:c>
      <x:c r="M95" s="17" t="str">
        <x:v>상세공고 확인</x:v>
      </x:c>
      <x:c r="N95" s="17" t="str">
        <x:v>상세공고 확인</x:v>
      </x:c>
      <x:c r="O95" s="17" t="str">
        <x:v>상세공고 확인</x:v>
      </x:c>
      <x:c r="P95" s="17" t="str">
        <x:v>상세공고 확인</x:v>
      </x:c>
      <x:c r="Q95" s="17" t="str">
        <x:v>상세공고 확인</x:v>
      </x:c>
      <x:c r="R95" s="17" t="str">
        <x:v>상세공고 확인</x:v>
      </x:c>
      <x:c r="S95" s="17" t="str">
        <x:v>상세공고 확인</x:v>
      </x:c>
      <x:c r="T95" s="17" t="str">
        <x:v>상세공고 확인</x:v>
      </x:c>
      <x:c r="U95" s="17" t="str">
        <x:v>상세공고 확인</x:v>
      </x:c>
      <x:c r="V95" s="17" t="str">
        <x:v>목록 항목 확인</x:v>
      </x:c>
      <x:c r="W95" s="17" t="str">
        <x:v>공고 상세에서 확인</x:v>
      </x:c>
      <x:c r="X95" s="18" t="str">
        <x:v>https://job.alio.go.kr/recruitview.do?idx=304632</x:v>
      </x:c>
      <x:c r="Y95" s="1"/>
      <x:c r="Z95" s="1"/>
    </x:row>
    <x:row r="96" ht="54" customHeight="1">
      <x:c r="A96" s="17" t="n">
        <x:v>328</x:v>
      </x:c>
      <x:c r="B96" s="17" t="str">
        <x:v>한국교통안전공단</x:v>
      </x:c>
      <x:c r="C96" s="17" t="str">
        <x:v>2026년 제4차 한국교통안전공단 김천드론자격센터 기간제근로자 채용 공고</x:v>
      </x:c>
      <x:c r="D96" s="17" t="str">
        <x:v>경북</x:v>
      </x:c>
      <x:c r="E96" s="17" t="str">
        <x:v>비정규직</x:v>
      </x:c>
      <x:c r="F96" s="17" t="str">
        <x:v>2026.09.07</x:v>
      </x:c>
      <x:c r="G96" s="17" t="str">
        <x:v>26.09.22 D-13</x:v>
      </x:c>
      <x:c r="H96" s="17" t="str">
        <x:v>기간제·비정규</x:v>
      </x:c>
      <x:c r="I96" s="17" t="str">
        <x:v>세부조건 확인</x:v>
      </x:c>
      <x:c r="J96" s="17" t="str">
        <x:v>제한 문구 미탐지</x:v>
      </x:c>
      <x:c r="K96" s="17" t="str">
        <x:v>상세공고 확인</x:v>
      </x:c>
      <x:c r="L96" s="17" t="str">
        <x:v>상세공고 확인</x:v>
      </x:c>
      <x:c r="M96" s="17" t="str">
        <x:v>상세공고 확인</x:v>
      </x:c>
      <x:c r="N96" s="17" t="str">
        <x:v>상세공고 확인</x:v>
      </x:c>
      <x:c r="O96" s="17" t="str">
        <x:v>상세공고 확인</x:v>
      </x:c>
      <x:c r="P96" s="17" t="str">
        <x:v>상세공고 확인</x:v>
      </x:c>
      <x:c r="Q96" s="17" t="str">
        <x:v>상세공고 확인</x:v>
      </x:c>
      <x:c r="R96" s="17" t="str">
        <x:v>상세공고 확인</x:v>
      </x:c>
      <x:c r="S96" s="17" t="str">
        <x:v>상세공고 확인</x:v>
      </x:c>
      <x:c r="T96" s="17" t="str">
        <x:v>상세공고 확인</x:v>
      </x:c>
      <x:c r="U96" s="17" t="str">
        <x:v>상세공고 확인</x:v>
      </x:c>
      <x:c r="V96" s="17" t="str">
        <x:v>목록 항목 확인</x:v>
      </x:c>
      <x:c r="W96" s="17" t="str">
        <x:v>공고 상세에서 확인</x:v>
      </x:c>
      <x:c r="X96" s="18" t="str">
        <x:v>https://job.alio.go.kr/recruitview.do?idx=304631</x:v>
      </x:c>
      <x:c r="Y96" s="1"/>
      <x:c r="Z96" s="1"/>
    </x:row>
    <x:row r="97" ht="54" customHeight="1">
      <x:c r="A97" s="17" t="n">
        <x:v>327</x:v>
      </x:c>
      <x:c r="B97" s="17" t="str">
        <x:v>한국교통안전공단</x:v>
      </x:c>
      <x:c r="C97" s="17" t="str">
        <x:v>2026년 제4차 한국교통안전공단 항공안전실 기간제근로자 채용공고</x:v>
      </x:c>
      <x:c r="D97" s="17" t="str">
        <x:v>경북</x:v>
      </x:c>
      <x:c r="E97" s="17" t="str">
        <x:v>청년인턴(체험형)</x:v>
      </x:c>
      <x:c r="F97" s="17" t="str">
        <x:v>2026.09.07</x:v>
      </x:c>
      <x:c r="G97" s="17" t="str">
        <x:v>26.09.22 D-13</x:v>
      </x:c>
      <x:c r="H97" s="17" t="str">
        <x:v>체험형·청년인턴</x:v>
      </x:c>
      <x:c r="I97" s="17" t="str">
        <x:v>우선검토</x:v>
      </x:c>
      <x:c r="J97" s="17" t="str">
        <x:v>제한 문구 미탐지</x:v>
      </x:c>
      <x:c r="K97" s="17" t="str">
        <x:v>상세공고 확인</x:v>
      </x:c>
      <x:c r="L97" s="17" t="str">
        <x:v>상세공고 확인</x:v>
      </x:c>
      <x:c r="M97" s="17" t="str">
        <x:v>상세공고 확인</x:v>
      </x:c>
      <x:c r="N97" s="17" t="str">
        <x:v>상세공고 확인</x:v>
      </x:c>
      <x:c r="O97" s="17" t="str">
        <x:v>상세공고 확인</x:v>
      </x:c>
      <x:c r="P97" s="17" t="str">
        <x:v>상세공고 확인</x:v>
      </x:c>
      <x:c r="Q97" s="17" t="str">
        <x:v>상세공고 확인</x:v>
      </x:c>
      <x:c r="R97" s="17" t="str">
        <x:v>상세공고 확인</x:v>
      </x:c>
      <x:c r="S97" s="17" t="str">
        <x:v>상세공고 확인</x:v>
      </x:c>
      <x:c r="T97" s="17" t="str">
        <x:v>상세공고 확인</x:v>
      </x:c>
      <x:c r="U97" s="17" t="str">
        <x:v>상세공고 확인</x:v>
      </x:c>
      <x:c r="V97" s="17" t="str">
        <x:v>목록 항목 확인</x:v>
      </x:c>
      <x:c r="W97" s="17" t="str">
        <x:v>공고 상세에서 확인</x:v>
      </x:c>
      <x:c r="X97" s="18" t="str">
        <x:v>https://job.alio.go.kr/recruitview.do?idx=304629</x:v>
      </x:c>
      <x:c r="Y97" s="1"/>
      <x:c r="Z97" s="1"/>
    </x:row>
    <x:row r="98" ht="54" customHeight="1">
      <x:c r="A98" s="17" t="n">
        <x:v>326</x:v>
      </x:c>
      <x:c r="B98" s="17" t="str">
        <x:v>한국교통안전공단</x:v>
      </x:c>
      <x:c r="C98" s="17" t="str">
        <x:v>2026년 제4차 한국교통안전공단 첨단검사전략처 기간제근로자(청년인턴 사무_자립준비) 채용 공고</x:v>
      </x:c>
      <x:c r="D98" s="17" t="str">
        <x:v>경북</x:v>
      </x:c>
      <x:c r="E98" s="17" t="str">
        <x:v>청년인턴(체험형)</x:v>
      </x:c>
      <x:c r="F98" s="17" t="str">
        <x:v>2026.09.07</x:v>
      </x:c>
      <x:c r="G98" s="17" t="str">
        <x:v>26.09.22 D-13</x:v>
      </x:c>
      <x:c r="H98" s="17" t="str">
        <x:v>제한경쟁·조건부</x:v>
      </x:c>
      <x:c r="I98" s="17" t="str">
        <x:v>조건 충족자만</x:v>
      </x:c>
      <x:c r="J98" s="17" t="str">
        <x:v>기타 제한경쟁 가능</x:v>
      </x:c>
      <x:c r="K98" s="17" t="str">
        <x:v>상세공고 확인</x:v>
      </x:c>
      <x:c r="L98" s="17" t="str">
        <x:v>상세공고 확인</x:v>
      </x:c>
      <x:c r="M98" s="17" t="str">
        <x:v>상세공고 확인</x:v>
      </x:c>
      <x:c r="N98" s="17" t="str">
        <x:v>상세공고 확인</x:v>
      </x:c>
      <x:c r="O98" s="17" t="str">
        <x:v>상세공고 확인</x:v>
      </x:c>
      <x:c r="P98" s="17" t="str">
        <x:v>상세공고 확인</x:v>
      </x:c>
      <x:c r="Q98" s="17" t="str">
        <x:v>상세공고 확인</x:v>
      </x:c>
      <x:c r="R98" s="17" t="str">
        <x:v>상세공고 확인</x:v>
      </x:c>
      <x:c r="S98" s="17" t="str">
        <x:v>상세공고 확인</x:v>
      </x:c>
      <x:c r="T98" s="17" t="str">
        <x:v>상세공고 확인</x:v>
      </x:c>
      <x:c r="U98" s="17" t="str">
        <x:v>상세공고 확인</x:v>
      </x:c>
      <x:c r="V98" s="17" t="str">
        <x:v>목록 항목 확인</x:v>
      </x:c>
      <x:c r="W98" s="17" t="str">
        <x:v>공고 상세에서 확인</x:v>
      </x:c>
      <x:c r="X98" s="18" t="str">
        <x:v>https://job.alio.go.kr/recruitview.do?idx=304625</x:v>
      </x:c>
      <x:c r="Y98" s="1"/>
      <x:c r="Z98" s="1"/>
    </x:row>
    <x:row r="99" ht="54" customHeight="1">
      <x:c r="A99" s="17" t="n">
        <x:v>325</x:v>
      </x:c>
      <x:c r="B99" s="17" t="str">
        <x:v>KDI국제정책대학원</x:v>
      </x:c>
      <x:c r="C99" s="17" t="str">
        <x:v>[KDI국제정책대학원] 2026년 제9차 인턴 직원 채용(하반기 KOICA YP)</x:v>
      </x:c>
      <x:c r="D99" s="17" t="str">
        <x:v>세종</x:v>
      </x:c>
      <x:c r="E99" s="17" t="str">
        <x:v>비정규직</x:v>
      </x:c>
      <x:c r="F99" s="17" t="str">
        <x:v>2026.09.07</x:v>
      </x:c>
      <x:c r="G99" s="17" t="str">
        <x:v>26.09.22 D-13</x:v>
      </x:c>
      <x:c r="H99" s="17" t="str">
        <x:v>기간제·비정규</x:v>
      </x:c>
      <x:c r="I99" s="17" t="str">
        <x:v>세부조건 확인</x:v>
      </x:c>
      <x:c r="J99" s="17" t="str">
        <x:v>제한 문구 미탐지</x:v>
      </x:c>
      <x:c r="K99" s="17" t="str">
        <x:v>상세공고 확인</x:v>
      </x:c>
      <x:c r="L99" s="17" t="str">
        <x:v>상세공고 확인</x:v>
      </x:c>
      <x:c r="M99" s="17" t="str">
        <x:v>상세공고 확인</x:v>
      </x:c>
      <x:c r="N99" s="17" t="str">
        <x:v>상세공고 확인</x:v>
      </x:c>
      <x:c r="O99" s="17" t="str">
        <x:v>상세공고 확인</x:v>
      </x:c>
      <x:c r="P99" s="17" t="str">
        <x:v>상세공고 확인</x:v>
      </x:c>
      <x:c r="Q99" s="17" t="str">
        <x:v>상세공고 확인</x:v>
      </x:c>
      <x:c r="R99" s="17" t="str">
        <x:v>상세공고 확인</x:v>
      </x:c>
      <x:c r="S99" s="17" t="str">
        <x:v>상세공고 확인</x:v>
      </x:c>
      <x:c r="T99" s="17" t="str">
        <x:v>상세공고 확인</x:v>
      </x:c>
      <x:c r="U99" s="17" t="str">
        <x:v>상세공고 확인</x:v>
      </x:c>
      <x:c r="V99" s="17" t="str">
        <x:v>목록 항목 확인</x:v>
      </x:c>
      <x:c r="W99" s="17" t="str">
        <x:v>공고 상세에서 확인</x:v>
      </x:c>
      <x:c r="X99" s="18" t="str">
        <x:v>https://job.alio.go.kr/recruitview.do?idx=304611</x:v>
      </x:c>
      <x:c r="Y99" s="1"/>
      <x:c r="Z99" s="1"/>
    </x:row>
    <x:row r="100" ht="54" customHeight="1">
      <x:c r="A100" s="17" t="n">
        <x:v>324</x:v>
      </x:c>
      <x:c r="B100" s="17" t="str">
        <x:v>한전KDN</x:v>
      </x:c>
      <x:c r="C100" s="17" t="str">
        <x:v>한전KDN(주) 경기북부사업처 저압AMI 통신망 보강공사 작업원 모집</x:v>
      </x:c>
      <x:c r="D100" s="17" t="str">
        <x:v>경기</x:v>
      </x:c>
      <x:c r="E100" s="17" t="str">
        <x:v>비정규직</x:v>
      </x:c>
      <x:c r="F100" s="17" t="str">
        <x:v>2026.09.07</x:v>
      </x:c>
      <x:c r="G100" s="17" t="str">
        <x:v>26.09.21 D-12</x:v>
      </x:c>
      <x:c r="H100" s="17" t="str">
        <x:v>기간제·비정규</x:v>
      </x:c>
      <x:c r="I100" s="17" t="str">
        <x:v>세부조건 확인</x:v>
      </x:c>
      <x:c r="J100" s="17" t="str">
        <x:v>제한 문구 미탐지</x:v>
      </x:c>
      <x:c r="K100" s="17" t="str">
        <x:v>상세공고 확인</x:v>
      </x:c>
      <x:c r="L100" s="17" t="str">
        <x:v>상세공고 확인</x:v>
      </x:c>
      <x:c r="M100" s="17" t="str">
        <x:v>상세공고 확인</x:v>
      </x:c>
      <x:c r="N100" s="17" t="str">
        <x:v>상세공고 확인</x:v>
      </x:c>
      <x:c r="O100" s="17" t="str">
        <x:v>상세공고 확인</x:v>
      </x:c>
      <x:c r="P100" s="17" t="str">
        <x:v>상세공고 확인</x:v>
      </x:c>
      <x:c r="Q100" s="17" t="str">
        <x:v>상세공고 확인</x:v>
      </x:c>
      <x:c r="R100" s="17" t="str">
        <x:v>상세공고 확인</x:v>
      </x:c>
      <x:c r="S100" s="17" t="str">
        <x:v>상세공고 확인</x:v>
      </x:c>
      <x:c r="T100" s="17" t="str">
        <x:v>상세공고 확인</x:v>
      </x:c>
      <x:c r="U100" s="17" t="str">
        <x:v>상세공고 확인</x:v>
      </x:c>
      <x:c r="V100" s="17" t="str">
        <x:v>목록 항목 확인</x:v>
      </x:c>
      <x:c r="W100" s="17" t="str">
        <x:v>공고 상세에서 확인</x:v>
      </x:c>
      <x:c r="X100" s="18" t="str">
        <x:v>https://job.alio.go.kr/recruitview.do?idx=304608</x:v>
      </x:c>
      <x:c r="Y100" s="1"/>
      <x:c r="Z100" s="1"/>
    </x:row>
    <x:row r="101" ht="54" customHeight="1">
      <x:c r="A101" s="17" t="n">
        <x:v>323</x:v>
      </x:c>
      <x:c r="B101" s="17" t="str">
        <x:v>한국교통안전공단</x:v>
      </x:c>
      <x:c r="C101" s="17" t="str">
        <x:v>2026년 제4차 한국교통안전공단 자율주행본부 기간제근로자 채용 공고</x:v>
      </x:c>
      <x:c r="D101" s="17" t="str">
        <x:v>경기</x:v>
      </x:c>
      <x:c r="E101" s="17" t="str">
        <x:v>비정규직 외 1</x:v>
      </x:c>
      <x:c r="F101" s="17" t="str">
        <x:v>2026.09.07</x:v>
      </x:c>
      <x:c r="G101" s="17" t="str">
        <x:v>26.09.22 D-13</x:v>
      </x:c>
      <x:c r="H101" s="17" t="str">
        <x:v>기간제·비정규</x:v>
      </x:c>
      <x:c r="I101" s="17" t="str">
        <x:v>세부조건 확인</x:v>
      </x:c>
      <x:c r="J101" s="17" t="str">
        <x:v>제한 문구 미탐지</x:v>
      </x:c>
      <x:c r="K101" s="17" t="str">
        <x:v>상세공고 확인</x:v>
      </x:c>
      <x:c r="L101" s="17" t="str">
        <x:v>상세공고 확인</x:v>
      </x:c>
      <x:c r="M101" s="17" t="str">
        <x:v>상세공고 확인</x:v>
      </x:c>
      <x:c r="N101" s="17" t="str">
        <x:v>상세공고 확인</x:v>
      </x:c>
      <x:c r="O101" s="17" t="str">
        <x:v>상세공고 확인</x:v>
      </x:c>
      <x:c r="P101" s="17" t="str">
        <x:v>상세공고 확인</x:v>
      </x:c>
      <x:c r="Q101" s="17" t="str">
        <x:v>상세공고 확인</x:v>
      </x:c>
      <x:c r="R101" s="17" t="str">
        <x:v>상세공고 확인</x:v>
      </x:c>
      <x:c r="S101" s="17" t="str">
        <x:v>상세공고 확인</x:v>
      </x:c>
      <x:c r="T101" s="17" t="str">
        <x:v>상세공고 확인</x:v>
      </x:c>
      <x:c r="U101" s="17" t="str">
        <x:v>상세공고 확인</x:v>
      </x:c>
      <x:c r="V101" s="17" t="str">
        <x:v>목록 항목 확인</x:v>
      </x:c>
      <x:c r="W101" s="17" t="str">
        <x:v>공고 상세에서 확인</x:v>
      </x:c>
      <x:c r="X101" s="18" t="str">
        <x:v>https://job.alio.go.kr/recruitview.do?idx=304607</x:v>
      </x:c>
      <x:c r="Y101" s="1"/>
      <x:c r="Z101" s="1"/>
    </x:row>
    <x:row r="102" ht="54" customHeight="1">
      <x:c r="A102" s="17" t="n">
        <x:v>322</x:v>
      </x:c>
      <x:c r="B102" s="17" t="str">
        <x:v>한국교통안전공단</x:v>
      </x:c>
      <x:c r="C102" s="17" t="str">
        <x:v>2026년 제4차 한국교통안전공단 철도안전처 기간제근로자 채용 공고</x:v>
      </x:c>
      <x:c r="D102" s="17" t="str">
        <x:v>경북</x:v>
      </x:c>
      <x:c r="E102" s="17" t="str">
        <x:v>비정규직</x:v>
      </x:c>
      <x:c r="F102" s="17" t="str">
        <x:v>2026.09.07</x:v>
      </x:c>
      <x:c r="G102" s="17" t="str">
        <x:v>26.09.22 D-13</x:v>
      </x:c>
      <x:c r="H102" s="17" t="str">
        <x:v>기간제·비정규</x:v>
      </x:c>
      <x:c r="I102" s="17" t="str">
        <x:v>세부조건 확인</x:v>
      </x:c>
      <x:c r="J102" s="17" t="str">
        <x:v>제한 문구 미탐지</x:v>
      </x:c>
      <x:c r="K102" s="17" t="str">
        <x:v>상세공고 확인</x:v>
      </x:c>
      <x:c r="L102" s="17" t="str">
        <x:v>상세공고 확인</x:v>
      </x:c>
      <x:c r="M102" s="17" t="str">
        <x:v>상세공고 확인</x:v>
      </x:c>
      <x:c r="N102" s="17" t="str">
        <x:v>상세공고 확인</x:v>
      </x:c>
      <x:c r="O102" s="17" t="str">
        <x:v>상세공고 확인</x:v>
      </x:c>
      <x:c r="P102" s="17" t="str">
        <x:v>상세공고 확인</x:v>
      </x:c>
      <x:c r="Q102" s="17" t="str">
        <x:v>상세공고 확인</x:v>
      </x:c>
      <x:c r="R102" s="17" t="str">
        <x:v>상세공고 확인</x:v>
      </x:c>
      <x:c r="S102" s="17" t="str">
        <x:v>상세공고 확인</x:v>
      </x:c>
      <x:c r="T102" s="17" t="str">
        <x:v>상세공고 확인</x:v>
      </x:c>
      <x:c r="U102" s="17" t="str">
        <x:v>상세공고 확인</x:v>
      </x:c>
      <x:c r="V102" s="17" t="str">
        <x:v>목록 항목 확인</x:v>
      </x:c>
      <x:c r="W102" s="17" t="str">
        <x:v>공고 상세에서 확인</x:v>
      </x:c>
      <x:c r="X102" s="18" t="str">
        <x:v>https://job.alio.go.kr/recruitview.do?idx=304606</x:v>
      </x:c>
      <x:c r="Y102" s="1"/>
      <x:c r="Z102" s="1"/>
    </x:row>
    <x:row r="103" ht="54" customHeight="1">
      <x:c r="A103" s="17" t="n">
        <x:v>321</x:v>
      </x:c>
      <x:c r="B103" s="17" t="str">
        <x:v>한국교통안전공단</x:v>
      </x:c>
      <x:c r="C103" s="17" t="str">
        <x:v>2026년 제4차 한국교통안전공단 자동차안전하자심의위원회 사무국 기간제근로자 채용 공고</x:v>
      </x:c>
      <x:c r="D103" s="17" t="str">
        <x:v>경기</x:v>
      </x:c>
      <x:c r="E103" s="17" t="str">
        <x:v>청년인턴(체험형)</x:v>
      </x:c>
      <x:c r="F103" s="17" t="str">
        <x:v>2026.09.07</x:v>
      </x:c>
      <x:c r="G103" s="17" t="str">
        <x:v>26.09.22 D-13</x:v>
      </x:c>
      <x:c r="H103" s="17" t="str">
        <x:v>체험형·청년인턴</x:v>
      </x:c>
      <x:c r="I103" s="17" t="str">
        <x:v>우선검토</x:v>
      </x:c>
      <x:c r="J103" s="17" t="str">
        <x:v>제한 문구 미탐지</x:v>
      </x:c>
      <x:c r="K103" s="17" t="str">
        <x:v>상세공고 확인</x:v>
      </x:c>
      <x:c r="L103" s="17" t="str">
        <x:v>상세공고 확인</x:v>
      </x:c>
      <x:c r="M103" s="17" t="str">
        <x:v>상세공고 확인</x:v>
      </x:c>
      <x:c r="N103" s="17" t="str">
        <x:v>상세공고 확인</x:v>
      </x:c>
      <x:c r="O103" s="17" t="str">
        <x:v>상세공고 확인</x:v>
      </x:c>
      <x:c r="P103" s="17" t="str">
        <x:v>상세공고 확인</x:v>
      </x:c>
      <x:c r="Q103" s="17" t="str">
        <x:v>상세공고 확인</x:v>
      </x:c>
      <x:c r="R103" s="17" t="str">
        <x:v>상세공고 확인</x:v>
      </x:c>
      <x:c r="S103" s="17" t="str">
        <x:v>상세공고 확인</x:v>
      </x:c>
      <x:c r="T103" s="17" t="str">
        <x:v>상세공고 확인</x:v>
      </x:c>
      <x:c r="U103" s="17" t="str">
        <x:v>상세공고 확인</x:v>
      </x:c>
      <x:c r="V103" s="17" t="str">
        <x:v>목록 항목 확인</x:v>
      </x:c>
      <x:c r="W103" s="17" t="str">
        <x:v>공고 상세에서 확인</x:v>
      </x:c>
      <x:c r="X103" s="18" t="str">
        <x:v>https://job.alio.go.kr/recruitview.do?idx=304603</x:v>
      </x:c>
      <x:c r="Y103" s="1"/>
      <x:c r="Z103" s="1"/>
    </x:row>
    <x:row r="104" ht="54" customHeight="1">
      <x:c r="A104" s="17" t="n">
        <x:v>320</x:v>
      </x:c>
      <x:c r="B104" s="17" t="str">
        <x:v>한국교통안전공단</x:v>
      </x:c>
      <x:c r="C104" s="17" t="str">
        <x:v>2026년 제4차 한국교통안전공단 경기남부본부 기간제근로자 채용공고</x:v>
      </x:c>
      <x:c r="D104" s="17" t="str">
        <x:v>경기</x:v>
      </x:c>
      <x:c r="E104" s="17" t="str">
        <x:v>청년인턴(체험형)</x:v>
      </x:c>
      <x:c r="F104" s="17" t="str">
        <x:v>2026.09.07</x:v>
      </x:c>
      <x:c r="G104" s="17" t="str">
        <x:v>26.09.22 D-13</x:v>
      </x:c>
      <x:c r="H104" s="17" t="str">
        <x:v>체험형·청년인턴</x:v>
      </x:c>
      <x:c r="I104" s="17" t="str">
        <x:v>우선검토</x:v>
      </x:c>
      <x:c r="J104" s="17" t="str">
        <x:v>제한 문구 미탐지</x:v>
      </x:c>
      <x:c r="K104" s="17" t="str">
        <x:v>상세공고 확인</x:v>
      </x:c>
      <x:c r="L104" s="17" t="str">
        <x:v>상세공고 확인</x:v>
      </x:c>
      <x:c r="M104" s="17" t="str">
        <x:v>상세공고 확인</x:v>
      </x:c>
      <x:c r="N104" s="17" t="str">
        <x:v>상세공고 확인</x:v>
      </x:c>
      <x:c r="O104" s="17" t="str">
        <x:v>상세공고 확인</x:v>
      </x:c>
      <x:c r="P104" s="17" t="str">
        <x:v>상세공고 확인</x:v>
      </x:c>
      <x:c r="Q104" s="17" t="str">
        <x:v>상세공고 확인</x:v>
      </x:c>
      <x:c r="R104" s="17" t="str">
        <x:v>상세공고 확인</x:v>
      </x:c>
      <x:c r="S104" s="17" t="str">
        <x:v>상세공고 확인</x:v>
      </x:c>
      <x:c r="T104" s="17" t="str">
        <x:v>상세공고 확인</x:v>
      </x:c>
      <x:c r="U104" s="17" t="str">
        <x:v>상세공고 확인</x:v>
      </x:c>
      <x:c r="V104" s="17" t="str">
        <x:v>목록 항목 확인</x:v>
      </x:c>
      <x:c r="W104" s="17" t="str">
        <x:v>공고 상세에서 확인</x:v>
      </x:c>
      <x:c r="X104" s="18" t="str">
        <x:v>https://job.alio.go.kr/recruitview.do?idx=304601</x:v>
      </x:c>
      <x:c r="Y104" s="1"/>
      <x:c r="Z104" s="1"/>
    </x:row>
    <x:row r="105" ht="54" customHeight="1">
      <x:c r="A105" s="17" t="n">
        <x:v>319</x:v>
      </x:c>
      <x:c r="B105" s="17" t="str">
        <x:v>한국교통안전공단</x:v>
      </x:c>
      <x:c r="C105" s="17" t="str">
        <x:v>2026년 제4차 한국교통안전공단 경남본부 기간제근로자 채용공고</x:v>
      </x:c>
      <x:c r="D105" s="17" t="str">
        <x:v>경남</x:v>
      </x:c>
      <x:c r="E105" s="17" t="str">
        <x:v>청년인턴(체험형)</x:v>
      </x:c>
      <x:c r="F105" s="17" t="str">
        <x:v>2026.09.07</x:v>
      </x:c>
      <x:c r="G105" s="17" t="str">
        <x:v>26.09.22 D-13</x:v>
      </x:c>
      <x:c r="H105" s="17" t="str">
        <x:v>체험형·청년인턴</x:v>
      </x:c>
      <x:c r="I105" s="17" t="str">
        <x:v>우선검토</x:v>
      </x:c>
      <x:c r="J105" s="17" t="str">
        <x:v>제한 문구 미탐지</x:v>
      </x:c>
      <x:c r="K105" s="17" t="str">
        <x:v>상세공고 확인</x:v>
      </x:c>
      <x:c r="L105" s="17" t="str">
        <x:v>상세공고 확인</x:v>
      </x:c>
      <x:c r="M105" s="17" t="str">
        <x:v>상세공고 확인</x:v>
      </x:c>
      <x:c r="N105" s="17" t="str">
        <x:v>상세공고 확인</x:v>
      </x:c>
      <x:c r="O105" s="17" t="str">
        <x:v>상세공고 확인</x:v>
      </x:c>
      <x:c r="P105" s="17" t="str">
        <x:v>상세공고 확인</x:v>
      </x:c>
      <x:c r="Q105" s="17" t="str">
        <x:v>상세공고 확인</x:v>
      </x:c>
      <x:c r="R105" s="17" t="str">
        <x:v>상세공고 확인</x:v>
      </x:c>
      <x:c r="S105" s="17" t="str">
        <x:v>상세공고 확인</x:v>
      </x:c>
      <x:c r="T105" s="17" t="str">
        <x:v>상세공고 확인</x:v>
      </x:c>
      <x:c r="U105" s="17" t="str">
        <x:v>상세공고 확인</x:v>
      </x:c>
      <x:c r="V105" s="17" t="str">
        <x:v>목록 항목 확인</x:v>
      </x:c>
      <x:c r="W105" s="17" t="str">
        <x:v>공고 상세에서 확인</x:v>
      </x:c>
      <x:c r="X105" s="18" t="str">
        <x:v>https://job.alio.go.kr/recruitview.do?idx=304600</x:v>
      </x:c>
      <x:c r="Y105" s="1"/>
      <x:c r="Z105" s="1"/>
    </x:row>
    <x:row r="106" ht="54" customHeight="1">
      <x:c r="A106" s="17" t="n">
        <x:v>318</x:v>
      </x:c>
      <x:c r="B106" s="17" t="str">
        <x:v>한국교통안전공단</x:v>
      </x:c>
      <x:c r="C106" s="17" t="str">
        <x:v>2026년 제4차 한국교통안전공단 경기북부본부 기간제근로자 채용 공고</x:v>
      </x:c>
      <x:c r="D106" s="17" t="str">
        <x:v>경기</x:v>
      </x:c>
      <x:c r="E106" s="17" t="str">
        <x:v>청년인턴(체험형)</x:v>
      </x:c>
      <x:c r="F106" s="17" t="str">
        <x:v>2026.09.07</x:v>
      </x:c>
      <x:c r="G106" s="17" t="str">
        <x:v>26.09.22 D-13</x:v>
      </x:c>
      <x:c r="H106" s="17" t="str">
        <x:v>체험형·청년인턴</x:v>
      </x:c>
      <x:c r="I106" s="17" t="str">
        <x:v>우선검토</x:v>
      </x:c>
      <x:c r="J106" s="17" t="str">
        <x:v>제한 문구 미탐지</x:v>
      </x:c>
      <x:c r="K106" s="17" t="str">
        <x:v>상세공고 확인</x:v>
      </x:c>
      <x:c r="L106" s="17" t="str">
        <x:v>상세공고 확인</x:v>
      </x:c>
      <x:c r="M106" s="17" t="str">
        <x:v>상세공고 확인</x:v>
      </x:c>
      <x:c r="N106" s="17" t="str">
        <x:v>상세공고 확인</x:v>
      </x:c>
      <x:c r="O106" s="17" t="str">
        <x:v>상세공고 확인</x:v>
      </x:c>
      <x:c r="P106" s="17" t="str">
        <x:v>상세공고 확인</x:v>
      </x:c>
      <x:c r="Q106" s="17" t="str">
        <x:v>상세공고 확인</x:v>
      </x:c>
      <x:c r="R106" s="17" t="str">
        <x:v>상세공고 확인</x:v>
      </x:c>
      <x:c r="S106" s="17" t="str">
        <x:v>상세공고 확인</x:v>
      </x:c>
      <x:c r="T106" s="17" t="str">
        <x:v>상세공고 확인</x:v>
      </x:c>
      <x:c r="U106" s="17" t="str">
        <x:v>상세공고 확인</x:v>
      </x:c>
      <x:c r="V106" s="17" t="str">
        <x:v>목록 항목 확인</x:v>
      </x:c>
      <x:c r="W106" s="17" t="str">
        <x:v>공고 상세에서 확인</x:v>
      </x:c>
      <x:c r="X106" s="18" t="str">
        <x:v>https://job.alio.go.kr/recruitview.do?idx=304597</x:v>
      </x:c>
      <x:c r="Y106" s="1"/>
      <x:c r="Z106" s="1"/>
    </x:row>
    <x:row r="107" ht="54" customHeight="1">
      <x:c r="A107" s="17" t="n">
        <x:v>317</x:v>
      </x:c>
      <x:c r="B107" s="17" t="str">
        <x:v>한국교통안전공단</x:v>
      </x:c>
      <x:c r="C107" s="17" t="str">
        <x:v>2026년 제4차 한국교통안전공단 철도기술처 기간제근로자 채용 공고</x:v>
      </x:c>
      <x:c r="D107" s="17" t="str">
        <x:v>경북</x:v>
      </x:c>
      <x:c r="E107" s="17" t="str">
        <x:v>비정규직</x:v>
      </x:c>
      <x:c r="F107" s="17" t="str">
        <x:v>2026.09.07</x:v>
      </x:c>
      <x:c r="G107" s="17" t="str">
        <x:v>26.09.22 D-13</x:v>
      </x:c>
      <x:c r="H107" s="17" t="str">
        <x:v>기간제·비정규</x:v>
      </x:c>
      <x:c r="I107" s="17" t="str">
        <x:v>세부조건 확인</x:v>
      </x:c>
      <x:c r="J107" s="17" t="str">
        <x:v>제한 문구 미탐지</x:v>
      </x:c>
      <x:c r="K107" s="17" t="str">
        <x:v>상세공고 확인</x:v>
      </x:c>
      <x:c r="L107" s="17" t="str">
        <x:v>상세공고 확인</x:v>
      </x:c>
      <x:c r="M107" s="17" t="str">
        <x:v>상세공고 확인</x:v>
      </x:c>
      <x:c r="N107" s="17" t="str">
        <x:v>상세공고 확인</x:v>
      </x:c>
      <x:c r="O107" s="17" t="str">
        <x:v>상세공고 확인</x:v>
      </x:c>
      <x:c r="P107" s="17" t="str">
        <x:v>상세공고 확인</x:v>
      </x:c>
      <x:c r="Q107" s="17" t="str">
        <x:v>상세공고 확인</x:v>
      </x:c>
      <x:c r="R107" s="17" t="str">
        <x:v>상세공고 확인</x:v>
      </x:c>
      <x:c r="S107" s="17" t="str">
        <x:v>상세공고 확인</x:v>
      </x:c>
      <x:c r="T107" s="17" t="str">
        <x:v>상세공고 확인</x:v>
      </x:c>
      <x:c r="U107" s="17" t="str">
        <x:v>상세공고 확인</x:v>
      </x:c>
      <x:c r="V107" s="17" t="str">
        <x:v>목록 항목 확인</x:v>
      </x:c>
      <x:c r="W107" s="17" t="str">
        <x:v>공고 상세에서 확인</x:v>
      </x:c>
      <x:c r="X107" s="18" t="str">
        <x:v>https://job.alio.go.kr/recruitview.do?idx=304596</x:v>
      </x:c>
      <x:c r="Y107" s="1"/>
      <x:c r="Z107" s="1"/>
    </x:row>
    <x:row r="108" ht="54" customHeight="1">
      <x:c r="A108" s="17" t="n">
        <x:v>316</x:v>
      </x:c>
      <x:c r="B108" s="17" t="str">
        <x:v>한국교통안전공단</x:v>
      </x:c>
      <x:c r="C108" s="17" t="str">
        <x:v>2026년 제4차 한국교통안전공단 울산본부 기간제근로자 청년인턴(사무_장애) 채용공고</x:v>
      </x:c>
      <x:c r="D108" s="17" t="str">
        <x:v>울산</x:v>
      </x:c>
      <x:c r="E108" s="17" t="str">
        <x:v>청년인턴(체험형)</x:v>
      </x:c>
      <x:c r="F108" s="17" t="str">
        <x:v>2026.09.07</x:v>
      </x:c>
      <x:c r="G108" s="17" t="str">
        <x:v>26.09.22 D-13</x:v>
      </x:c>
      <x:c r="H108" s="17" t="str">
        <x:v>제한경쟁·조건부</x:v>
      </x:c>
      <x:c r="I108" s="17" t="str">
        <x:v>조건 충족자만</x:v>
      </x:c>
      <x:c r="J108" s="17" t="str">
        <x:v>장애 관련 제한경쟁</x:v>
      </x:c>
      <x:c r="K108" s="17" t="str">
        <x:v>상세공고 확인</x:v>
      </x:c>
      <x:c r="L108" s="17" t="str">
        <x:v>상세공고 확인</x:v>
      </x:c>
      <x:c r="M108" s="17" t="str">
        <x:v>상세공고 확인</x:v>
      </x:c>
      <x:c r="N108" s="17" t="str">
        <x:v>상세공고 확인</x:v>
      </x:c>
      <x:c r="O108" s="17" t="str">
        <x:v>상세공고 확인</x:v>
      </x:c>
      <x:c r="P108" s="17" t="str">
        <x:v>상세공고 확인</x:v>
      </x:c>
      <x:c r="Q108" s="17" t="str">
        <x:v>상세공고 확인</x:v>
      </x:c>
      <x:c r="R108" s="17" t="str">
        <x:v>상세공고 확인</x:v>
      </x:c>
      <x:c r="S108" s="17" t="str">
        <x:v>상세공고 확인</x:v>
      </x:c>
      <x:c r="T108" s="17" t="str">
        <x:v>상세공고 확인</x:v>
      </x:c>
      <x:c r="U108" s="17" t="str">
        <x:v>상세공고 확인</x:v>
      </x:c>
      <x:c r="V108" s="17" t="str">
        <x:v>목록 항목 확인</x:v>
      </x:c>
      <x:c r="W108" s="17" t="str">
        <x:v>공고 상세에서 확인</x:v>
      </x:c>
      <x:c r="X108" s="18" t="str">
        <x:v>https://job.alio.go.kr/recruitview.do?idx=304593</x:v>
      </x:c>
      <x:c r="Y108" s="1"/>
      <x:c r="Z108" s="1"/>
    </x:row>
    <x:row r="109" ht="54" customHeight="1">
      <x:c r="A109" s="17" t="n">
        <x:v>315</x:v>
      </x:c>
      <x:c r="B109" s="17" t="str">
        <x:v>한국교통안전공단</x:v>
      </x:c>
      <x:c r="C109" s="17" t="str">
        <x:v>2026년 제4차 한국교통안전공단 안전연구처 기간제근로자 채용 공고</x:v>
      </x:c>
      <x:c r="D109" s="17" t="str">
        <x:v>경기</x:v>
      </x:c>
      <x:c r="E109" s="17" t="str">
        <x:v>비정규직</x:v>
      </x:c>
      <x:c r="F109" s="17" t="str">
        <x:v>2026.09.07</x:v>
      </x:c>
      <x:c r="G109" s="17" t="str">
        <x:v>26.09.22 D-13</x:v>
      </x:c>
      <x:c r="H109" s="17" t="str">
        <x:v>기간제·비정규</x:v>
      </x:c>
      <x:c r="I109" s="17" t="str">
        <x:v>세부조건 확인</x:v>
      </x:c>
      <x:c r="J109" s="17" t="str">
        <x:v>제한 문구 미탐지</x:v>
      </x:c>
      <x:c r="K109" s="17" t="str">
        <x:v>상세공고 확인</x:v>
      </x:c>
      <x:c r="L109" s="17" t="str">
        <x:v>상세공고 확인</x:v>
      </x:c>
      <x:c r="M109" s="17" t="str">
        <x:v>상세공고 확인</x:v>
      </x:c>
      <x:c r="N109" s="17" t="str">
        <x:v>상세공고 확인</x:v>
      </x:c>
      <x:c r="O109" s="17" t="str">
        <x:v>상세공고 확인</x:v>
      </x:c>
      <x:c r="P109" s="17" t="str">
        <x:v>상세공고 확인</x:v>
      </x:c>
      <x:c r="Q109" s="17" t="str">
        <x:v>상세공고 확인</x:v>
      </x:c>
      <x:c r="R109" s="17" t="str">
        <x:v>상세공고 확인</x:v>
      </x:c>
      <x:c r="S109" s="17" t="str">
        <x:v>상세공고 확인</x:v>
      </x:c>
      <x:c r="T109" s="17" t="str">
        <x:v>상세공고 확인</x:v>
      </x:c>
      <x:c r="U109" s="17" t="str">
        <x:v>상세공고 확인</x:v>
      </x:c>
      <x:c r="V109" s="17" t="str">
        <x:v>목록 항목 확인</x:v>
      </x:c>
      <x:c r="W109" s="17" t="str">
        <x:v>공고 상세에서 확인</x:v>
      </x:c>
      <x:c r="X109" s="18" t="str">
        <x:v>https://job.alio.go.kr/recruitview.do?idx=304592</x:v>
      </x:c>
      <x:c r="Y109" s="1"/>
      <x:c r="Z109" s="1"/>
    </x:row>
    <x:row r="110" ht="54" customHeight="1">
      <x:c r="A110" s="17" t="n">
        <x:v>314</x:v>
      </x:c>
      <x:c r="B110" s="17" t="str">
        <x:v>한국교통안전공단</x:v>
      </x:c>
      <x:c r="C110" s="17" t="str">
        <x:v>2026년 제4차 한국교통안전공단 첨단연구개발처 기간제근로자 채용공고</x:v>
      </x:c>
      <x:c r="D110" s="17" t="str">
        <x:v>경북</x:v>
      </x:c>
      <x:c r="E110" s="17" t="str">
        <x:v>비정규직</x:v>
      </x:c>
      <x:c r="F110" s="17" t="str">
        <x:v>2026.09.07</x:v>
      </x:c>
      <x:c r="G110" s="17" t="str">
        <x:v>26.09.22 D-13</x:v>
      </x:c>
      <x:c r="H110" s="17" t="str">
        <x:v>기간제·비정규</x:v>
      </x:c>
      <x:c r="I110" s="17" t="str">
        <x:v>세부조건 확인</x:v>
      </x:c>
      <x:c r="J110" s="17" t="str">
        <x:v>제한 문구 미탐지</x:v>
      </x:c>
      <x:c r="K110" s="17" t="str">
        <x:v>상세공고 확인</x:v>
      </x:c>
      <x:c r="L110" s="17" t="str">
        <x:v>상세공고 확인</x:v>
      </x:c>
      <x:c r="M110" s="17" t="str">
        <x:v>상세공고 확인</x:v>
      </x:c>
      <x:c r="N110" s="17" t="str">
        <x:v>상세공고 확인</x:v>
      </x:c>
      <x:c r="O110" s="17" t="str">
        <x:v>상세공고 확인</x:v>
      </x:c>
      <x:c r="P110" s="17" t="str">
        <x:v>상세공고 확인</x:v>
      </x:c>
      <x:c r="Q110" s="17" t="str">
        <x:v>상세공고 확인</x:v>
      </x:c>
      <x:c r="R110" s="17" t="str">
        <x:v>상세공고 확인</x:v>
      </x:c>
      <x:c r="S110" s="17" t="str">
        <x:v>상세공고 확인</x:v>
      </x:c>
      <x:c r="T110" s="17" t="str">
        <x:v>상세공고 확인</x:v>
      </x:c>
      <x:c r="U110" s="17" t="str">
        <x:v>상세공고 확인</x:v>
      </x:c>
      <x:c r="V110" s="17" t="str">
        <x:v>목록 항목 확인</x:v>
      </x:c>
      <x:c r="W110" s="17" t="str">
        <x:v>공고 상세에서 확인</x:v>
      </x:c>
      <x:c r="X110" s="18" t="str">
        <x:v>https://job.alio.go.kr/recruitview.do?idx=304585</x:v>
      </x:c>
      <x:c r="Y110" s="1"/>
      <x:c r="Z110" s="1"/>
    </x:row>
    <x:row r="111" ht="54" customHeight="1">
      <x:c r="A111" s="17" t="n">
        <x:v>313</x:v>
      </x:c>
      <x:c r="B111" s="17" t="str">
        <x:v>한국교통안전공단</x:v>
      </x:c>
      <x:c r="C111" s="17" t="str">
        <x:v>2026년 제4차 한국교통안전공단 인천본부 기간제근로자 채용 공고</x:v>
      </x:c>
      <x:c r="D111" s="17" t="str">
        <x:v>인천 외 1</x:v>
      </x:c>
      <x:c r="E111" s="17" t="str">
        <x:v>청년인턴(체험형)</x:v>
      </x:c>
      <x:c r="F111" s="17" t="str">
        <x:v>2026.09.07</x:v>
      </x:c>
      <x:c r="G111" s="17" t="str">
        <x:v>26.09.22 D-13</x:v>
      </x:c>
      <x:c r="H111" s="17" t="str">
        <x:v>체험형·청년인턴</x:v>
      </x:c>
      <x:c r="I111" s="17" t="str">
        <x:v>우선검토</x:v>
      </x:c>
      <x:c r="J111" s="17" t="str">
        <x:v>제한 문구 미탐지</x:v>
      </x:c>
      <x:c r="K111" s="17" t="str">
        <x:v>상세공고 확인</x:v>
      </x:c>
      <x:c r="L111" s="17" t="str">
        <x:v>상세공고 확인</x:v>
      </x:c>
      <x:c r="M111" s="17" t="str">
        <x:v>상세공고 확인</x:v>
      </x:c>
      <x:c r="N111" s="17" t="str">
        <x:v>상세공고 확인</x:v>
      </x:c>
      <x:c r="O111" s="17" t="str">
        <x:v>상세공고 확인</x:v>
      </x:c>
      <x:c r="P111" s="17" t="str">
        <x:v>상세공고 확인</x:v>
      </x:c>
      <x:c r="Q111" s="17" t="str">
        <x:v>상세공고 확인</x:v>
      </x:c>
      <x:c r="R111" s="17" t="str">
        <x:v>상세공고 확인</x:v>
      </x:c>
      <x:c r="S111" s="17" t="str">
        <x:v>상세공고 확인</x:v>
      </x:c>
      <x:c r="T111" s="17" t="str">
        <x:v>상세공고 확인</x:v>
      </x:c>
      <x:c r="U111" s="17" t="str">
        <x:v>상세공고 확인</x:v>
      </x:c>
      <x:c r="V111" s="17" t="str">
        <x:v>목록 항목 확인</x:v>
      </x:c>
      <x:c r="W111" s="17" t="str">
        <x:v>공고 상세에서 확인</x:v>
      </x:c>
      <x:c r="X111" s="18" t="str">
        <x:v>https://job.alio.go.kr/recruitview.do?idx=304584</x:v>
      </x:c>
      <x:c r="Y111" s="1"/>
      <x:c r="Z111" s="1"/>
    </x:row>
    <x:row r="112" ht="54" customHeight="1">
      <x:c r="A112" s="17" t="n">
        <x:v>312</x:v>
      </x:c>
      <x:c r="B112" s="17" t="str">
        <x:v>한국교통안전공단</x:v>
      </x:c>
      <x:c r="C112" s="17" t="str">
        <x:v>2026년 제4차 한국교통안전공단 결함정책처 기간제근로자 채용 공고</x:v>
      </x:c>
      <x:c r="D112" s="17" t="str">
        <x:v>경기</x:v>
      </x:c>
      <x:c r="E112" s="17" t="str">
        <x:v>비정규직</x:v>
      </x:c>
      <x:c r="F112" s="17" t="str">
        <x:v>2026.09.07</x:v>
      </x:c>
      <x:c r="G112" s="17" t="str">
        <x:v>26.09.22 D-13</x:v>
      </x:c>
      <x:c r="H112" s="17" t="str">
        <x:v>기간제·비정규</x:v>
      </x:c>
      <x:c r="I112" s="17" t="str">
        <x:v>세부조건 확인</x:v>
      </x:c>
      <x:c r="J112" s="17" t="str">
        <x:v>제한 문구 미탐지</x:v>
      </x:c>
      <x:c r="K112" s="17" t="str">
        <x:v>상세공고 확인</x:v>
      </x:c>
      <x:c r="L112" s="17" t="str">
        <x:v>상세공고 확인</x:v>
      </x:c>
      <x:c r="M112" s="17" t="str">
        <x:v>상세공고 확인</x:v>
      </x:c>
      <x:c r="N112" s="17" t="str">
        <x:v>상세공고 확인</x:v>
      </x:c>
      <x:c r="O112" s="17" t="str">
        <x:v>상세공고 확인</x:v>
      </x:c>
      <x:c r="P112" s="17" t="str">
        <x:v>상세공고 확인</x:v>
      </x:c>
      <x:c r="Q112" s="17" t="str">
        <x:v>상세공고 확인</x:v>
      </x:c>
      <x:c r="R112" s="17" t="str">
        <x:v>상세공고 확인</x:v>
      </x:c>
      <x:c r="S112" s="17" t="str">
        <x:v>상세공고 확인</x:v>
      </x:c>
      <x:c r="T112" s="17" t="str">
        <x:v>상세공고 확인</x:v>
      </x:c>
      <x:c r="U112" s="17" t="str">
        <x:v>상세공고 확인</x:v>
      </x:c>
      <x:c r="V112" s="17" t="str">
        <x:v>목록 항목 확인</x:v>
      </x:c>
      <x:c r="W112" s="17" t="str">
        <x:v>공고 상세에서 확인</x:v>
      </x:c>
      <x:c r="X112" s="18" t="str">
        <x:v>https://job.alio.go.kr/recruitview.do?idx=304583</x:v>
      </x:c>
      <x:c r="Y112" s="1"/>
      <x:c r="Z112" s="1"/>
    </x:row>
    <x:row r="113" ht="54" customHeight="1">
      <x:c r="A113" s="17" t="n">
        <x:v>311</x:v>
      </x:c>
      <x:c r="B113" s="17" t="str">
        <x:v>한국교통안전공단</x:v>
      </x:c>
      <x:c r="C113" s="17" t="str">
        <x:v>2026년 제4차 한국교통안전공단 모빌리티지원센터 정책지원처 기간제근로자 채용 공고</x:v>
      </x:c>
      <x:c r="D113" s="17" t="str">
        <x:v>경북</x:v>
      </x:c>
      <x:c r="E113" s="17" t="str">
        <x:v>청년인턴(체험형)</x:v>
      </x:c>
      <x:c r="F113" s="17" t="str">
        <x:v>2026.09.07</x:v>
      </x:c>
      <x:c r="G113" s="17" t="str">
        <x:v>26.09.22 D-13</x:v>
      </x:c>
      <x:c r="H113" s="17" t="str">
        <x:v>체험형·청년인턴</x:v>
      </x:c>
      <x:c r="I113" s="17" t="str">
        <x:v>우선검토</x:v>
      </x:c>
      <x:c r="J113" s="17" t="str">
        <x:v>제한 문구 미탐지</x:v>
      </x:c>
      <x:c r="K113" s="17" t="str">
        <x:v>상세공고 확인</x:v>
      </x:c>
      <x:c r="L113" s="17" t="str">
        <x:v>상세공고 확인</x:v>
      </x:c>
      <x:c r="M113" s="17" t="str">
        <x:v>상세공고 확인</x:v>
      </x:c>
      <x:c r="N113" s="17" t="str">
        <x:v>상세공고 확인</x:v>
      </x:c>
      <x:c r="O113" s="17" t="str">
        <x:v>상세공고 확인</x:v>
      </x:c>
      <x:c r="P113" s="17" t="str">
        <x:v>상세공고 확인</x:v>
      </x:c>
      <x:c r="Q113" s="17" t="str">
        <x:v>상세공고 확인</x:v>
      </x:c>
      <x:c r="R113" s="17" t="str">
        <x:v>상세공고 확인</x:v>
      </x:c>
      <x:c r="S113" s="17" t="str">
        <x:v>상세공고 확인</x:v>
      </x:c>
      <x:c r="T113" s="17" t="str">
        <x:v>상세공고 확인</x:v>
      </x:c>
      <x:c r="U113" s="17" t="str">
        <x:v>상세공고 확인</x:v>
      </x:c>
      <x:c r="V113" s="17" t="str">
        <x:v>목록 항목 확인</x:v>
      </x:c>
      <x:c r="W113" s="17" t="str">
        <x:v>공고 상세에서 확인</x:v>
      </x:c>
      <x:c r="X113" s="18" t="str">
        <x:v>https://job.alio.go.kr/recruitview.do?idx=304578</x:v>
      </x:c>
      <x:c r="Y113" s="1"/>
      <x:c r="Z113" s="1"/>
    </x:row>
    <x:row r="114" ht="54" customHeight="1">
      <x:c r="A114" s="17" t="n">
        <x:v>310</x:v>
      </x:c>
      <x:c r="B114" s="17" t="str">
        <x:v>한국교통안전공단</x:v>
      </x:c>
      <x:c r="C114" s="17" t="str">
        <x:v>2026년 제4차 한국교통안전공단 대구경북본부 기간제근로자 채용공고</x:v>
      </x:c>
      <x:c r="D114" s="17" t="str">
        <x:v>대구 외 1</x:v>
      </x:c>
      <x:c r="E114" s="17" t="str">
        <x:v>청년인턴(체험형)</x:v>
      </x:c>
      <x:c r="F114" s="17" t="str">
        <x:v>2026.09.07</x:v>
      </x:c>
      <x:c r="G114" s="17" t="str">
        <x:v>26.09.22 D-13</x:v>
      </x:c>
      <x:c r="H114" s="17" t="str">
        <x:v>체험형·청년인턴</x:v>
      </x:c>
      <x:c r="I114" s="17" t="str">
        <x:v>우선검토</x:v>
      </x:c>
      <x:c r="J114" s="17" t="str">
        <x:v>제한 문구 미탐지</x:v>
      </x:c>
      <x:c r="K114" s="17" t="str">
        <x:v>상세공고 확인</x:v>
      </x:c>
      <x:c r="L114" s="17" t="str">
        <x:v>상세공고 확인</x:v>
      </x:c>
      <x:c r="M114" s="17" t="str">
        <x:v>상세공고 확인</x:v>
      </x:c>
      <x:c r="N114" s="17" t="str">
        <x:v>상세공고 확인</x:v>
      </x:c>
      <x:c r="O114" s="17" t="str">
        <x:v>상세공고 확인</x:v>
      </x:c>
      <x:c r="P114" s="17" t="str">
        <x:v>상세공고 확인</x:v>
      </x:c>
      <x:c r="Q114" s="17" t="str">
        <x:v>상세공고 확인</x:v>
      </x:c>
      <x:c r="R114" s="17" t="str">
        <x:v>상세공고 확인</x:v>
      </x:c>
      <x:c r="S114" s="17" t="str">
        <x:v>상세공고 확인</x:v>
      </x:c>
      <x:c r="T114" s="17" t="str">
        <x:v>상세공고 확인</x:v>
      </x:c>
      <x:c r="U114" s="17" t="str">
        <x:v>상세공고 확인</x:v>
      </x:c>
      <x:c r="V114" s="17" t="str">
        <x:v>목록 항목 확인</x:v>
      </x:c>
      <x:c r="W114" s="17" t="str">
        <x:v>공고 상세에서 확인</x:v>
      </x:c>
      <x:c r="X114" s="18" t="str">
        <x:v>https://job.alio.go.kr/recruitview.do?idx=304572</x:v>
      </x:c>
      <x:c r="Y114" s="1"/>
      <x:c r="Z114" s="1"/>
    </x:row>
    <x:row r="115" ht="54" customHeight="1">
      <x:c r="A115" s="17" t="n">
        <x:v>309</x:v>
      </x:c>
      <x:c r="B115" s="17" t="str">
        <x:v>한국교통안전공단</x:v>
      </x:c>
      <x:c r="C115" s="17" t="str">
        <x:v>2026년 제4차 한국교통안전공단 부산본부 기간제근로자 채용공고</x:v>
      </x:c>
      <x:c r="D115" s="17" t="str">
        <x:v>부산</x:v>
      </x:c>
      <x:c r="E115" s="17" t="str">
        <x:v>청년인턴(체험형)</x:v>
      </x:c>
      <x:c r="F115" s="17" t="str">
        <x:v>2026.09.07</x:v>
      </x:c>
      <x:c r="G115" s="17" t="str">
        <x:v>26.09.22 D-13</x:v>
      </x:c>
      <x:c r="H115" s="17" t="str">
        <x:v>체험형·청년인턴</x:v>
      </x:c>
      <x:c r="I115" s="17" t="str">
        <x:v>우선검토</x:v>
      </x:c>
      <x:c r="J115" s="17" t="str">
        <x:v>제한 문구 미탐지</x:v>
      </x:c>
      <x:c r="K115" s="17" t="str">
        <x:v>상세공고 확인</x:v>
      </x:c>
      <x:c r="L115" s="17" t="str">
        <x:v>상세공고 확인</x:v>
      </x:c>
      <x:c r="M115" s="17" t="str">
        <x:v>상세공고 확인</x:v>
      </x:c>
      <x:c r="N115" s="17" t="str">
        <x:v>상세공고 확인</x:v>
      </x:c>
      <x:c r="O115" s="17" t="str">
        <x:v>상세공고 확인</x:v>
      </x:c>
      <x:c r="P115" s="17" t="str">
        <x:v>상세공고 확인</x:v>
      </x:c>
      <x:c r="Q115" s="17" t="str">
        <x:v>상세공고 확인</x:v>
      </x:c>
      <x:c r="R115" s="17" t="str">
        <x:v>상세공고 확인</x:v>
      </x:c>
      <x:c r="S115" s="17" t="str">
        <x:v>상세공고 확인</x:v>
      </x:c>
      <x:c r="T115" s="17" t="str">
        <x:v>상세공고 확인</x:v>
      </x:c>
      <x:c r="U115" s="17" t="str">
        <x:v>상세공고 확인</x:v>
      </x:c>
      <x:c r="V115" s="17" t="str">
        <x:v>목록 항목 확인</x:v>
      </x:c>
      <x:c r="W115" s="17" t="str">
        <x:v>공고 상세에서 확인</x:v>
      </x:c>
      <x:c r="X115" s="18" t="str">
        <x:v>https://job.alio.go.kr/recruitview.do?idx=304569</x:v>
      </x:c>
      <x:c r="Y115" s="1"/>
      <x:c r="Z115" s="1"/>
    </x:row>
    <x:row r="116" ht="54" customHeight="1">
      <x:c r="A116" s="17" t="n">
        <x:v>308</x:v>
      </x:c>
      <x:c r="B116" s="17" t="str">
        <x:v>한국교통안전공단</x:v>
      </x:c>
      <x:c r="C116" s="17" t="str">
        <x:v>2026년 제4차 한국교통안전공단 제주본부 기간제근로자 채용공고</x:v>
      </x:c>
      <x:c r="D116" s="17" t="str">
        <x:v>제주</x:v>
      </x:c>
      <x:c r="E116" s="17" t="str">
        <x:v>청년인턴(체험형)</x:v>
      </x:c>
      <x:c r="F116" s="17" t="str">
        <x:v>2026.09.07</x:v>
      </x:c>
      <x:c r="G116" s="17" t="str">
        <x:v>26.09.22 D-13</x:v>
      </x:c>
      <x:c r="H116" s="17" t="str">
        <x:v>체험형·청년인턴</x:v>
      </x:c>
      <x:c r="I116" s="17" t="str">
        <x:v>우선검토</x:v>
      </x:c>
      <x:c r="J116" s="17" t="str">
        <x:v>제한 문구 미탐지</x:v>
      </x:c>
      <x:c r="K116" s="17" t="str">
        <x:v>상세공고 확인</x:v>
      </x:c>
      <x:c r="L116" s="17" t="str">
        <x:v>상세공고 확인</x:v>
      </x:c>
      <x:c r="M116" s="17" t="str">
        <x:v>상세공고 확인</x:v>
      </x:c>
      <x:c r="N116" s="17" t="str">
        <x:v>상세공고 확인</x:v>
      </x:c>
      <x:c r="O116" s="17" t="str">
        <x:v>상세공고 확인</x:v>
      </x:c>
      <x:c r="P116" s="17" t="str">
        <x:v>상세공고 확인</x:v>
      </x:c>
      <x:c r="Q116" s="17" t="str">
        <x:v>상세공고 확인</x:v>
      </x:c>
      <x:c r="R116" s="17" t="str">
        <x:v>상세공고 확인</x:v>
      </x:c>
      <x:c r="S116" s="17" t="str">
        <x:v>상세공고 확인</x:v>
      </x:c>
      <x:c r="T116" s="17" t="str">
        <x:v>상세공고 확인</x:v>
      </x:c>
      <x:c r="U116" s="17" t="str">
        <x:v>상세공고 확인</x:v>
      </x:c>
      <x:c r="V116" s="17" t="str">
        <x:v>목록 항목 확인</x:v>
      </x:c>
      <x:c r="W116" s="17" t="str">
        <x:v>공고 상세에서 확인</x:v>
      </x:c>
      <x:c r="X116" s="18" t="str">
        <x:v>https://job.alio.go.kr/recruitview.do?idx=304559</x:v>
      </x:c>
      <x:c r="Y116" s="1"/>
      <x:c r="Z116" s="1"/>
    </x:row>
    <x:row r="117" ht="54" customHeight="1">
      <x:c r="A117" s="17" t="n">
        <x:v>307</x:v>
      </x:c>
      <x:c r="B117" s="17" t="str">
        <x:v>한국교통안전공단</x:v>
      </x:c>
      <x:c r="C117" s="17" t="str">
        <x:v>2026년 한국교통안전공단 서울본부 기간제근로자 채용(통합4차) 공고</x:v>
      </x:c>
      <x:c r="D117" s="17" t="str">
        <x:v>서울</x:v>
      </x:c>
      <x:c r="E117" s="17" t="str">
        <x:v>비정규직 외 1</x:v>
      </x:c>
      <x:c r="F117" s="17" t="str">
        <x:v>2026.09.07</x:v>
      </x:c>
      <x:c r="G117" s="17" t="str">
        <x:v>26.09.22 D-13</x:v>
      </x:c>
      <x:c r="H117" s="17" t="str">
        <x:v>기간제·비정규</x:v>
      </x:c>
      <x:c r="I117" s="17" t="str">
        <x:v>세부조건 확인</x:v>
      </x:c>
      <x:c r="J117" s="17" t="str">
        <x:v>제한 문구 미탐지</x:v>
      </x:c>
      <x:c r="K117" s="17" t="str">
        <x:v>상세공고 확인</x:v>
      </x:c>
      <x:c r="L117" s="17" t="str">
        <x:v>상세공고 확인</x:v>
      </x:c>
      <x:c r="M117" s="17" t="str">
        <x:v>상세공고 확인</x:v>
      </x:c>
      <x:c r="N117" s="17" t="str">
        <x:v>상세공고 확인</x:v>
      </x:c>
      <x:c r="O117" s="17" t="str">
        <x:v>상세공고 확인</x:v>
      </x:c>
      <x:c r="P117" s="17" t="str">
        <x:v>상세공고 확인</x:v>
      </x:c>
      <x:c r="Q117" s="17" t="str">
        <x:v>상세공고 확인</x:v>
      </x:c>
      <x:c r="R117" s="17" t="str">
        <x:v>상세공고 확인</x:v>
      </x:c>
      <x:c r="S117" s="17" t="str">
        <x:v>상세공고 확인</x:v>
      </x:c>
      <x:c r="T117" s="17" t="str">
        <x:v>상세공고 확인</x:v>
      </x:c>
      <x:c r="U117" s="17" t="str">
        <x:v>상세공고 확인</x:v>
      </x:c>
      <x:c r="V117" s="17" t="str">
        <x:v>목록 항목 확인</x:v>
      </x:c>
      <x:c r="W117" s="17" t="str">
        <x:v>공고 상세에서 확인</x:v>
      </x:c>
      <x:c r="X117" s="18" t="str">
        <x:v>https://job.alio.go.kr/recruitview.do?idx=304556</x:v>
      </x:c>
      <x:c r="Y117" s="1"/>
      <x:c r="Z117" s="1"/>
    </x:row>
    <x:row r="118" ht="54" customHeight="1">
      <x:c r="A118" s="17" t="n">
        <x:v>306</x:v>
      </x:c>
      <x:c r="B118" s="17" t="str">
        <x:v>한국교통안전공단</x:v>
      </x:c>
      <x:c r="C118" s="17" t="str">
        <x:v>2026년 제4차 한국교통안전공단 대전세종충남본부 기간제근로자(청년인턴(사무_장애)) 채용공고</x:v>
      </x:c>
      <x:c r="D118" s="17" t="str">
        <x:v>대전 외 2</x:v>
      </x:c>
      <x:c r="E118" s="17" t="str">
        <x:v>청년인턴(체험형)</x:v>
      </x:c>
      <x:c r="F118" s="17" t="str">
        <x:v>2026.09.07</x:v>
      </x:c>
      <x:c r="G118" s="17" t="str">
        <x:v>26.09.22 D-13</x:v>
      </x:c>
      <x:c r="H118" s="17" t="str">
        <x:v>제한경쟁·조건부</x:v>
      </x:c>
      <x:c r="I118" s="17" t="str">
        <x:v>조건 충족자만</x:v>
      </x:c>
      <x:c r="J118" s="17" t="str">
        <x:v>장애 관련 제한경쟁</x:v>
      </x:c>
      <x:c r="K118" s="17" t="str">
        <x:v>상세공고 확인</x:v>
      </x:c>
      <x:c r="L118" s="17" t="str">
        <x:v>상세공고 확인</x:v>
      </x:c>
      <x:c r="M118" s="17" t="str">
        <x:v>상세공고 확인</x:v>
      </x:c>
      <x:c r="N118" s="17" t="str">
        <x:v>상세공고 확인</x:v>
      </x:c>
      <x:c r="O118" s="17" t="str">
        <x:v>상세공고 확인</x:v>
      </x:c>
      <x:c r="P118" s="17" t="str">
        <x:v>상세공고 확인</x:v>
      </x:c>
      <x:c r="Q118" s="17" t="str">
        <x:v>상세공고 확인</x:v>
      </x:c>
      <x:c r="R118" s="17" t="str">
        <x:v>상세공고 확인</x:v>
      </x:c>
      <x:c r="S118" s="17" t="str">
        <x:v>상세공고 확인</x:v>
      </x:c>
      <x:c r="T118" s="17" t="str">
        <x:v>상세공고 확인</x:v>
      </x:c>
      <x:c r="U118" s="17" t="str">
        <x:v>상세공고 확인</x:v>
      </x:c>
      <x:c r="V118" s="17" t="str">
        <x:v>목록 항목 확인</x:v>
      </x:c>
      <x:c r="W118" s="17" t="str">
        <x:v>공고 상세에서 확인</x:v>
      </x:c>
      <x:c r="X118" s="18" t="str">
        <x:v>https://job.alio.go.kr/recruitview.do?idx=304550</x:v>
      </x:c>
      <x:c r="Y118" s="1"/>
      <x:c r="Z118" s="1"/>
    </x:row>
    <x:row r="119" ht="54" customHeight="1">
      <x:c r="A119" s="17" t="n">
        <x:v>305</x:v>
      </x:c>
      <x:c r="B119" s="17" t="str">
        <x:v>한국교통안전공단</x:v>
      </x:c>
      <x:c r="C119" s="17" t="str">
        <x:v>2026년 제4차 한국교통안전공단 시흥드론교육센터 기간제근로자 채용공고</x:v>
      </x:c>
      <x:c r="D119" s="17" t="str">
        <x:v>경기</x:v>
      </x:c>
      <x:c r="E119" s="17" t="str">
        <x:v>비정규직 외 1</x:v>
      </x:c>
      <x:c r="F119" s="17" t="str">
        <x:v>2026.09.07</x:v>
      </x:c>
      <x:c r="G119" s="17" t="str">
        <x:v>26.09.22 D-13</x:v>
      </x:c>
      <x:c r="H119" s="17" t="str">
        <x:v>기간제·비정규</x:v>
      </x:c>
      <x:c r="I119" s="17" t="str">
        <x:v>세부조건 확인</x:v>
      </x:c>
      <x:c r="J119" s="17" t="str">
        <x:v>제한 문구 미탐지</x:v>
      </x:c>
      <x:c r="K119" s="17" t="str">
        <x:v>상세공고 확인</x:v>
      </x:c>
      <x:c r="L119" s="17" t="str">
        <x:v>상세공고 확인</x:v>
      </x:c>
      <x:c r="M119" s="17" t="str">
        <x:v>상세공고 확인</x:v>
      </x:c>
      <x:c r="N119" s="17" t="str">
        <x:v>상세공고 확인</x:v>
      </x:c>
      <x:c r="O119" s="17" t="str">
        <x:v>상세공고 확인</x:v>
      </x:c>
      <x:c r="P119" s="17" t="str">
        <x:v>상세공고 확인</x:v>
      </x:c>
      <x:c r="Q119" s="17" t="str">
        <x:v>상세공고 확인</x:v>
      </x:c>
      <x:c r="R119" s="17" t="str">
        <x:v>상세공고 확인</x:v>
      </x:c>
      <x:c r="S119" s="17" t="str">
        <x:v>상세공고 확인</x:v>
      </x:c>
      <x:c r="T119" s="17" t="str">
        <x:v>상세공고 확인</x:v>
      </x:c>
      <x:c r="U119" s="17" t="str">
        <x:v>상세공고 확인</x:v>
      </x:c>
      <x:c r="V119" s="17" t="str">
        <x:v>목록 항목 확인</x:v>
      </x:c>
      <x:c r="W119" s="17" t="str">
        <x:v>공고 상세에서 확인</x:v>
      </x:c>
      <x:c r="X119" s="18" t="str">
        <x:v>https://job.alio.go.kr/recruitview.do?idx=304547</x:v>
      </x:c>
      <x:c r="Y119" s="1"/>
      <x:c r="Z119" s="1"/>
    </x:row>
    <x:row r="120" ht="54" customHeight="1">
      <x:c r="A120" s="17" t="n">
        <x:v>304</x:v>
      </x:c>
      <x:c r="B120" s="17" t="str">
        <x:v>한국교통안전공단</x:v>
      </x:c>
      <x:c r="C120" s="17" t="str">
        <x:v>한국교통안전공단 경영지원본부 운영지원처 2026-제4차 기간제근로자 채용(청년인턴 사무_자립준비)</x:v>
      </x:c>
      <x:c r="D120" s="17" t="str">
        <x:v>경북</x:v>
      </x:c>
      <x:c r="E120" s="17" t="str">
        <x:v>청년인턴(체험형)</x:v>
      </x:c>
      <x:c r="F120" s="17" t="str">
        <x:v>2026.09.07</x:v>
      </x:c>
      <x:c r="G120" s="17" t="str">
        <x:v>26.09.22 D-13</x:v>
      </x:c>
      <x:c r="H120" s="17" t="str">
        <x:v>제한경쟁·조건부</x:v>
      </x:c>
      <x:c r="I120" s="17" t="str">
        <x:v>조건 충족자만</x:v>
      </x:c>
      <x:c r="J120" s="17" t="str">
        <x:v>기타 제한경쟁 가능</x:v>
      </x:c>
      <x:c r="K120" s="17" t="str">
        <x:v>상세공고 확인</x:v>
      </x:c>
      <x:c r="L120" s="17" t="str">
        <x:v>상세공고 확인</x:v>
      </x:c>
      <x:c r="M120" s="17" t="str">
        <x:v>상세공고 확인</x:v>
      </x:c>
      <x:c r="N120" s="17" t="str">
        <x:v>상세공고 확인</x:v>
      </x:c>
      <x:c r="O120" s="17" t="str">
        <x:v>상세공고 확인</x:v>
      </x:c>
      <x:c r="P120" s="17" t="str">
        <x:v>상세공고 확인</x:v>
      </x:c>
      <x:c r="Q120" s="17" t="str">
        <x:v>상세공고 확인</x:v>
      </x:c>
      <x:c r="R120" s="17" t="str">
        <x:v>상세공고 확인</x:v>
      </x:c>
      <x:c r="S120" s="17" t="str">
        <x:v>상세공고 확인</x:v>
      </x:c>
      <x:c r="T120" s="17" t="str">
        <x:v>상세공고 확인</x:v>
      </x:c>
      <x:c r="U120" s="17" t="str">
        <x:v>상세공고 확인</x:v>
      </x:c>
      <x:c r="V120" s="17" t="str">
        <x:v>목록 항목 확인</x:v>
      </x:c>
      <x:c r="W120" s="17" t="str">
        <x:v>공고 상세에서 확인</x:v>
      </x:c>
      <x:c r="X120" s="18" t="str">
        <x:v>https://job.alio.go.kr/recruitview.do?idx=304541</x:v>
      </x:c>
      <x:c r="Y120" s="1"/>
      <x:c r="Z120" s="1"/>
    </x:row>
    <x:row r="121" ht="54" customHeight="1">
      <x:c r="A121" s="17" t="n">
        <x:v>303</x:v>
      </x:c>
      <x:c r="B121" s="17" t="str">
        <x:v>한국환경연구원</x:v>
      </x:c>
      <x:c r="C121" s="17" t="str">
        <x:v>한국환경연구원 2026년 하반기 KOICA 영프로페셔널(YP인턴) 공개채용</x:v>
      </x:c>
      <x:c r="D121" s="17" t="str">
        <x:v>세종</x:v>
      </x:c>
      <x:c r="E121" s="17" t="str">
        <x:v>청년인턴(체험형)</x:v>
      </x:c>
      <x:c r="F121" s="17" t="str">
        <x:v>2026.09.07</x:v>
      </x:c>
      <x:c r="G121" s="17" t="str">
        <x:v>26.09.22 D-13</x:v>
      </x:c>
      <x:c r="H121" s="17" t="str">
        <x:v>체험형·청년인턴</x:v>
      </x:c>
      <x:c r="I121" s="17" t="str">
        <x:v>우선검토</x:v>
      </x:c>
      <x:c r="J121" s="17" t="str">
        <x:v>제한 문구 미탐지</x:v>
      </x:c>
      <x:c r="K121" s="17" t="str">
        <x:v>상세공고 확인</x:v>
      </x:c>
      <x:c r="L121" s="17" t="str">
        <x:v>상세공고 확인</x:v>
      </x:c>
      <x:c r="M121" s="17" t="str">
        <x:v>상세공고 확인</x:v>
      </x:c>
      <x:c r="N121" s="17" t="str">
        <x:v>상세공고 확인</x:v>
      </x:c>
      <x:c r="O121" s="17" t="str">
        <x:v>상세공고 확인</x:v>
      </x:c>
      <x:c r="P121" s="17" t="str">
        <x:v>상세공고 확인</x:v>
      </x:c>
      <x:c r="Q121" s="17" t="str">
        <x:v>상세공고 확인</x:v>
      </x:c>
      <x:c r="R121" s="17" t="str">
        <x:v>상세공고 확인</x:v>
      </x:c>
      <x:c r="S121" s="17" t="str">
        <x:v>상세공고 확인</x:v>
      </x:c>
      <x:c r="T121" s="17" t="str">
        <x:v>상세공고 확인</x:v>
      </x:c>
      <x:c r="U121" s="17" t="str">
        <x:v>상세공고 확인</x:v>
      </x:c>
      <x:c r="V121" s="17" t="str">
        <x:v>목록 항목 확인</x:v>
      </x:c>
      <x:c r="W121" s="17" t="str">
        <x:v>공고 상세에서 확인</x:v>
      </x:c>
      <x:c r="X121" s="18" t="str">
        <x:v>https://job.alio.go.kr/recruitview.do?idx=304528</x:v>
      </x:c>
      <x:c r="Y121" s="1"/>
      <x:c r="Z121" s="1"/>
    </x:row>
    <x:row r="122" ht="54" customHeight="1">
      <x:c r="A122" s="17" t="n">
        <x:v>302</x:v>
      </x:c>
      <x:c r="B122" s="17" t="str">
        <x:v>경북대학교병원</x:v>
      </x:c>
      <x:c r="C122" s="17" t="str">
        <x:v>칠곡경북대학교병원 2026년 9월 2차 임시직원 채용공고(행정, 사회복지사)</x:v>
      </x:c>
      <x:c r="D122" s="17" t="str">
        <x:v>대구</x:v>
      </x:c>
      <x:c r="E122" s="17" t="str">
        <x:v>비정규직</x:v>
      </x:c>
      <x:c r="F122" s="17" t="str">
        <x:v>2026.09.05</x:v>
      </x:c>
      <x:c r="G122" s="17" t="str">
        <x:v>26.09.10 D-1</x:v>
      </x:c>
      <x:c r="H122" s="17" t="str">
        <x:v>기간제·비정규</x:v>
      </x:c>
      <x:c r="I122" s="17" t="str">
        <x:v>세부조건 확인</x:v>
      </x:c>
      <x:c r="J122" s="17" t="str">
        <x:v>제한 문구 미탐지</x:v>
      </x:c>
      <x:c r="K122" s="17" t="str">
        <x:v>상세공고 확인</x:v>
      </x:c>
      <x:c r="L122" s="17" t="str">
        <x:v>상세공고 확인</x:v>
      </x:c>
      <x:c r="M122" s="17" t="str">
        <x:v>상세공고 확인</x:v>
      </x:c>
      <x:c r="N122" s="17" t="str">
        <x:v>상세공고 확인</x:v>
      </x:c>
      <x:c r="O122" s="17" t="str">
        <x:v>상세공고 확인</x:v>
      </x:c>
      <x:c r="P122" s="17" t="str">
        <x:v>상세공고 확인</x:v>
      </x:c>
      <x:c r="Q122" s="17" t="str">
        <x:v>상세공고 확인</x:v>
      </x:c>
      <x:c r="R122" s="17" t="str">
        <x:v>상세공고 확인</x:v>
      </x:c>
      <x:c r="S122" s="17" t="str">
        <x:v>상세공고 확인</x:v>
      </x:c>
      <x:c r="T122" s="17" t="str">
        <x:v>상세공고 확인</x:v>
      </x:c>
      <x:c r="U122" s="17" t="str">
        <x:v>상세공고 확인</x:v>
      </x:c>
      <x:c r="V122" s="17" t="str">
        <x:v>목록 항목 확인</x:v>
      </x:c>
      <x:c r="W122" s="17" t="str">
        <x:v>공고 상세에서 확인</x:v>
      </x:c>
      <x:c r="X122" s="18" t="str">
        <x:v>https://job.alio.go.kr/recruitview.do?idx=304662</x:v>
      </x:c>
      <x:c r="Y122" s="1"/>
      <x:c r="Z122" s="1"/>
    </x:row>
    <x:row r="123" ht="54" customHeight="1">
      <x:c r="A123" s="17" t="n">
        <x:v>301</x:v>
      </x:c>
      <x:c r="B123" s="17" t="str">
        <x:v>한전KPS(주)</x:v>
      </x:c>
      <x:c r="C123" s="17" t="str">
        <x:v>한전KPS(주) 서울경기전력지사 성남지점 부지정리원 모집</x:v>
      </x:c>
      <x:c r="D123" s="17" t="str">
        <x:v>경기</x:v>
      </x:c>
      <x:c r="E123" s="17" t="str">
        <x:v>비정규직</x:v>
      </x:c>
      <x:c r="F123" s="17" t="str">
        <x:v>2026.09.05</x:v>
      </x:c>
      <x:c r="G123" s="17" t="str">
        <x:v>26.09.11 D-2</x:v>
      </x:c>
      <x:c r="H123" s="17" t="str">
        <x:v>기간제·비정규</x:v>
      </x:c>
      <x:c r="I123" s="17" t="str">
        <x:v>세부조건 확인</x:v>
      </x:c>
      <x:c r="J123" s="17" t="str">
        <x:v>제한 문구 미탐지</x:v>
      </x:c>
      <x:c r="K123" s="17" t="str">
        <x:v>상세공고 확인</x:v>
      </x:c>
      <x:c r="L123" s="17" t="str">
        <x:v>상세공고 확인</x:v>
      </x:c>
      <x:c r="M123" s="17" t="str">
        <x:v>상세공고 확인</x:v>
      </x:c>
      <x:c r="N123" s="17" t="str">
        <x:v>상세공고 확인</x:v>
      </x:c>
      <x:c r="O123" s="17" t="str">
        <x:v>상세공고 확인</x:v>
      </x:c>
      <x:c r="P123" s="17" t="str">
        <x:v>상세공고 확인</x:v>
      </x:c>
      <x:c r="Q123" s="17" t="str">
        <x:v>상세공고 확인</x:v>
      </x:c>
      <x:c r="R123" s="17" t="str">
        <x:v>상세공고 확인</x:v>
      </x:c>
      <x:c r="S123" s="17" t="str">
        <x:v>상세공고 확인</x:v>
      </x:c>
      <x:c r="T123" s="17" t="str">
        <x:v>상세공고 확인</x:v>
      </x:c>
      <x:c r="U123" s="17" t="str">
        <x:v>상세공고 확인</x:v>
      </x:c>
      <x:c r="V123" s="17" t="str">
        <x:v>목록 항목 확인</x:v>
      </x:c>
      <x:c r="W123" s="17" t="str">
        <x:v>공고 상세에서 확인</x:v>
      </x:c>
      <x:c r="X123" s="18" t="str">
        <x:v>https://job.alio.go.kr/recruitview.do?idx=304644</x:v>
      </x:c>
      <x:c r="Y123" s="1"/>
      <x:c r="Z123" s="1"/>
    </x:row>
    <x:row r="124" ht="54" customHeight="1">
      <x:c r="A124" s="17" t="n">
        <x:v>300</x:v>
      </x:c>
      <x:c r="B124" s="17" t="str">
        <x:v>제주대학교병원</x:v>
      </x:c>
      <x:c r="C124" s="17" t="str">
        <x:v>제주대학교병원 사업인력 계약직(권역난임·임산부심리상담센터_임상심리사 또는 사회복지사 또는 간호사, 권역정신응급의료센터_보안인력, 지역장애인보건의료센터_사회복지사) 모집공고</x:v>
      </x:c>
      <x:c r="D124" s="17" t="str">
        <x:v>제주</x:v>
      </x:c>
      <x:c r="E124" s="17" t="str">
        <x:v>비정규직</x:v>
      </x:c>
      <x:c r="F124" s="17" t="str">
        <x:v>2026.09.04</x:v>
      </x:c>
      <x:c r="G124" s="17" t="str">
        <x:v>26.09.10 D-1</x:v>
      </x:c>
      <x:c r="H124" s="17" t="str">
        <x:v>경력·전문직</x:v>
      </x:c>
      <x:c r="I124" s="17" t="str">
        <x:v>경력·전문 우선</x:v>
      </x:c>
      <x:c r="J124" s="17" t="str">
        <x:v>제한 문구 미탐지</x:v>
      </x:c>
      <x:c r="K124" s="17" t="str">
        <x:v>상세공고 확인</x:v>
      </x:c>
      <x:c r="L124" s="17" t="str">
        <x:v>상세공고 확인</x:v>
      </x:c>
      <x:c r="M124" s="17" t="str">
        <x:v>상세공고 확인</x:v>
      </x:c>
      <x:c r="N124" s="17" t="str">
        <x:v>상세공고 확인</x:v>
      </x:c>
      <x:c r="O124" s="17" t="str">
        <x:v>상세공고 확인</x:v>
      </x:c>
      <x:c r="P124" s="17" t="str">
        <x:v>상세공고 확인</x:v>
      </x:c>
      <x:c r="Q124" s="17" t="str">
        <x:v>상세공고 확인</x:v>
      </x:c>
      <x:c r="R124" s="17" t="str">
        <x:v>상세공고 확인</x:v>
      </x:c>
      <x:c r="S124" s="17" t="str">
        <x:v>상세공고 확인</x:v>
      </x:c>
      <x:c r="T124" s="17" t="str">
        <x:v>상세공고 확인</x:v>
      </x:c>
      <x:c r="U124" s="17" t="str">
        <x:v>상세공고 확인</x:v>
      </x:c>
      <x:c r="V124" s="17" t="str">
        <x:v>목록 항목 확인</x:v>
      </x:c>
      <x:c r="W124" s="17" t="str">
        <x:v>공고 상세에서 확인</x:v>
      </x:c>
      <x:c r="X124" s="18" t="str">
        <x:v>https://job.alio.go.kr/recruitview.do?idx=304673</x:v>
      </x:c>
      <x:c r="Y124" s="1"/>
      <x:c r="Z124" s="1"/>
    </x:row>
    <x:row r="125" ht="54" customHeight="1">
      <x:c r="A125" s="17" t="n">
        <x:v>299</x:v>
      </x:c>
      <x:c r="B125" s="17" t="str">
        <x:v>대한적십자사</x:v>
      </x:c>
      <x:c r="C125" s="17" t="str">
        <x:v>(통영적십자병원) 정규직 기술원(시설) 채용 공고</x:v>
      </x:c>
      <x:c r="D125" s="17" t="str">
        <x:v>경남</x:v>
      </x:c>
      <x:c r="E125" s="17" t="str">
        <x:v>정규직</x:v>
      </x:c>
      <x:c r="F125" s="17" t="str">
        <x:v>2026.09.04</x:v>
      </x:c>
      <x:c r="G125" s="17" t="str">
        <x:v>26.09.20 D-11</x:v>
      </x:c>
      <x:c r="H125" s="17" t="str">
        <x:v>정규직(세부 확인)</x:v>
      </x:c>
      <x:c r="I125" s="17" t="str">
        <x:v>세부조건 확인</x:v>
      </x:c>
      <x:c r="J125" s="17" t="str">
        <x:v>제한 문구 미탐지</x:v>
      </x:c>
      <x:c r="K125" s="17" t="str">
        <x:v>상세공고 확인</x:v>
      </x:c>
      <x:c r="L125" s="17" t="str">
        <x:v>상세공고 확인</x:v>
      </x:c>
      <x:c r="M125" s="17" t="str">
        <x:v>상세공고 확인</x:v>
      </x:c>
      <x:c r="N125" s="17" t="str">
        <x:v>상세공고 확인</x:v>
      </x:c>
      <x:c r="O125" s="17" t="str">
        <x:v>상세공고 확인</x:v>
      </x:c>
      <x:c r="P125" s="17" t="str">
        <x:v>상세공고 확인</x:v>
      </x:c>
      <x:c r="Q125" s="17" t="str">
        <x:v>상세공고 확인</x:v>
      </x:c>
      <x:c r="R125" s="17" t="str">
        <x:v>상세공고 확인</x:v>
      </x:c>
      <x:c r="S125" s="17" t="str">
        <x:v>상세공고 확인</x:v>
      </x:c>
      <x:c r="T125" s="17" t="str">
        <x:v>상세공고 확인</x:v>
      </x:c>
      <x:c r="U125" s="17" t="str">
        <x:v>상세공고 확인</x:v>
      </x:c>
      <x:c r="V125" s="17" t="str">
        <x:v>목록 항목 확인</x:v>
      </x:c>
      <x:c r="W125" s="17" t="str">
        <x:v>공고 상세에서 확인</x:v>
      </x:c>
      <x:c r="X125" s="18" t="str">
        <x:v>https://job.alio.go.kr/recruitview.do?idx=304661</x:v>
      </x:c>
      <x:c r="Y125" s="1"/>
      <x:c r="Z125" s="1"/>
    </x:row>
    <x:row r="126" ht="54" customHeight="1">
      <x:c r="A126" s="17" t="n">
        <x:v>298</x:v>
      </x:c>
      <x:c r="B126" s="17" t="str">
        <x:v>대한적십자사</x:v>
      </x:c>
      <x:c r="C126" s="17" t="str">
        <x:v>(통영적십자병원) 정규직 간호사 채용 공고</x:v>
      </x:c>
      <x:c r="D126" s="17" t="str">
        <x:v>경남</x:v>
      </x:c>
      <x:c r="E126" s="17" t="str">
        <x:v>정규직</x:v>
      </x:c>
      <x:c r="F126" s="17" t="str">
        <x:v>2026.09.04</x:v>
      </x:c>
      <x:c r="G126" s="17" t="str">
        <x:v>26.09.20 D-11</x:v>
      </x:c>
      <x:c r="H126" s="17" t="str">
        <x:v>경력·전문직</x:v>
      </x:c>
      <x:c r="I126" s="17" t="str">
        <x:v>경력·전문 우선</x:v>
      </x:c>
      <x:c r="J126" s="17" t="str">
        <x:v>제한 문구 미탐지</x:v>
      </x:c>
      <x:c r="K126" s="17" t="str">
        <x:v>상세공고 확인</x:v>
      </x:c>
      <x:c r="L126" s="17" t="str">
        <x:v>상세공고 확인</x:v>
      </x:c>
      <x:c r="M126" s="17" t="str">
        <x:v>상세공고 확인</x:v>
      </x:c>
      <x:c r="N126" s="17" t="str">
        <x:v>상세공고 확인</x:v>
      </x:c>
      <x:c r="O126" s="17" t="str">
        <x:v>상세공고 확인</x:v>
      </x:c>
      <x:c r="P126" s="17" t="str">
        <x:v>상세공고 확인</x:v>
      </x:c>
      <x:c r="Q126" s="17" t="str">
        <x:v>상세공고 확인</x:v>
      </x:c>
      <x:c r="R126" s="17" t="str">
        <x:v>상세공고 확인</x:v>
      </x:c>
      <x:c r="S126" s="17" t="str">
        <x:v>상세공고 확인</x:v>
      </x:c>
      <x:c r="T126" s="17" t="str">
        <x:v>상세공고 확인</x:v>
      </x:c>
      <x:c r="U126" s="17" t="str">
        <x:v>상세공고 확인</x:v>
      </x:c>
      <x:c r="V126" s="17" t="str">
        <x:v>목록 항목 확인</x:v>
      </x:c>
      <x:c r="W126" s="17" t="str">
        <x:v>공고 상세에서 확인</x:v>
      </x:c>
      <x:c r="X126" s="18" t="str">
        <x:v>https://job.alio.go.kr/recruitview.do?idx=304660</x:v>
      </x:c>
      <x:c r="Y126" s="1"/>
      <x:c r="Z126" s="1"/>
    </x:row>
    <x:row r="127" ht="54" customHeight="1">
      <x:c r="A127" s="17" t="n">
        <x:v>297</x:v>
      </x:c>
      <x:c r="B127" s="17" t="str">
        <x:v>한국문화관광연구원</x:v>
      </x:c>
      <x:c r="C127" s="17" t="str">
        <x:v>한국문화관광연구원 위촉직원 채용 공고 [2026-36]</x:v>
      </x:c>
      <x:c r="D127" s="17" t="str">
        <x:v>서울</x:v>
      </x:c>
      <x:c r="E127" s="17" t="str">
        <x:v>비정규직</x:v>
      </x:c>
      <x:c r="F127" s="17" t="str">
        <x:v>2026.09.04</x:v>
      </x:c>
      <x:c r="G127" s="17" t="str">
        <x:v>26.09.11 D-2</x:v>
      </x:c>
      <x:c r="H127" s="17" t="str">
        <x:v>기간제·비정규</x:v>
      </x:c>
      <x:c r="I127" s="17" t="str">
        <x:v>세부조건 확인</x:v>
      </x:c>
      <x:c r="J127" s="17" t="str">
        <x:v>제한 문구 미탐지</x:v>
      </x:c>
      <x:c r="K127" s="17" t="str">
        <x:v>상세공고 확인</x:v>
      </x:c>
      <x:c r="L127" s="17" t="str">
        <x:v>상세공고 확인</x:v>
      </x:c>
      <x:c r="M127" s="17" t="str">
        <x:v>상세공고 확인</x:v>
      </x:c>
      <x:c r="N127" s="17" t="str">
        <x:v>상세공고 확인</x:v>
      </x:c>
      <x:c r="O127" s="17" t="str">
        <x:v>상세공고 확인</x:v>
      </x:c>
      <x:c r="P127" s="17" t="str">
        <x:v>상세공고 확인</x:v>
      </x:c>
      <x:c r="Q127" s="17" t="str">
        <x:v>상세공고 확인</x:v>
      </x:c>
      <x:c r="R127" s="17" t="str">
        <x:v>상세공고 확인</x:v>
      </x:c>
      <x:c r="S127" s="17" t="str">
        <x:v>상세공고 확인</x:v>
      </x:c>
      <x:c r="T127" s="17" t="str">
        <x:v>상세공고 확인</x:v>
      </x:c>
      <x:c r="U127" s="17" t="str">
        <x:v>상세공고 확인</x:v>
      </x:c>
      <x:c r="V127" s="17" t="str">
        <x:v>목록 항목 확인</x:v>
      </x:c>
      <x:c r="W127" s="17" t="str">
        <x:v>공고 상세에서 확인</x:v>
      </x:c>
      <x:c r="X127" s="18" t="str">
        <x:v>https://job.alio.go.kr/recruitview.do?idx=304659</x:v>
      </x:c>
      <x:c r="Y127" s="1"/>
      <x:c r="Z127" s="1"/>
    </x:row>
    <x:row r="128" ht="54" customHeight="1">
      <x:c r="A128" s="17" t="n">
        <x:v>296</x:v>
      </x:c>
      <x:c r="B128" s="17" t="str">
        <x:v>에너지경제연구원</x:v>
      </x:c>
      <x:c r="C128" s="17" t="str">
        <x:v>[에너지경제연구원] 공공기관 청년인턴(장애인제한경쟁) 채용 공고(운영지원팀)</x:v>
      </x:c>
      <x:c r="D128" s="17" t="str">
        <x:v>울산</x:v>
      </x:c>
      <x:c r="E128" s="17" t="str">
        <x:v>청년인턴(체험형)</x:v>
      </x:c>
      <x:c r="F128" s="17" t="str">
        <x:v>2026.09.04</x:v>
      </x:c>
      <x:c r="G128" s="17" t="str">
        <x:v>26.09.21 D-12</x:v>
      </x:c>
      <x:c r="H128" s="17" t="str">
        <x:v>제한경쟁·조건부</x:v>
      </x:c>
      <x:c r="I128" s="17" t="str">
        <x:v>조건 충족자만</x:v>
      </x:c>
      <x:c r="J128" s="17" t="str">
        <x:v>장애 관련 제한경쟁</x:v>
      </x:c>
      <x:c r="K128" s="17" t="str">
        <x:v>상세공고 확인</x:v>
      </x:c>
      <x:c r="L128" s="17" t="str">
        <x:v>상세공고 확인</x:v>
      </x:c>
      <x:c r="M128" s="17" t="str">
        <x:v>상세공고 확인</x:v>
      </x:c>
      <x:c r="N128" s="17" t="str">
        <x:v>상세공고 확인</x:v>
      </x:c>
      <x:c r="O128" s="17" t="str">
        <x:v>상세공고 확인</x:v>
      </x:c>
      <x:c r="P128" s="17" t="str">
        <x:v>상세공고 확인</x:v>
      </x:c>
      <x:c r="Q128" s="17" t="str">
        <x:v>상세공고 확인</x:v>
      </x:c>
      <x:c r="R128" s="17" t="str">
        <x:v>상세공고 확인</x:v>
      </x:c>
      <x:c r="S128" s="17" t="str">
        <x:v>상세공고 확인</x:v>
      </x:c>
      <x:c r="T128" s="17" t="str">
        <x:v>상세공고 확인</x:v>
      </x:c>
      <x:c r="U128" s="17" t="str">
        <x:v>상세공고 확인</x:v>
      </x:c>
      <x:c r="V128" s="17" t="str">
        <x:v>목록 항목 확인</x:v>
      </x:c>
      <x:c r="W128" s="17" t="str">
        <x:v>공고 상세에서 확인</x:v>
      </x:c>
      <x:c r="X128" s="18" t="str">
        <x:v>https://job.alio.go.kr/recruitview.do?idx=304658</x:v>
      </x:c>
      <x:c r="Y128" s="1"/>
      <x:c r="Z128" s="1"/>
    </x:row>
    <x:row r="129" ht="54" customHeight="1">
      <x:c r="A129" s="17" t="n">
        <x:v>295</x:v>
      </x:c>
      <x:c r="B129" s="17" t="str">
        <x:v>국립공원공단</x:v>
      </x:c>
      <x:c r="C129" s="17" t="str">
        <x:v>[내장산생태탐방원] 내장산생태탐방원 기간제[한시인력(수익시설)] 직원 채용</x:v>
      </x:c>
      <x:c r="D129" s="17" t="str">
        <x:v>전북</x:v>
      </x:c>
      <x:c r="E129" s="17" t="str">
        <x:v>비정규직</x:v>
      </x:c>
      <x:c r="F129" s="17" t="str">
        <x:v>2026.09.04</x:v>
      </x:c>
      <x:c r="G129" s="17" t="str">
        <x:v>26.09.11 D-2</x:v>
      </x:c>
      <x:c r="H129" s="17" t="str">
        <x:v>기간제·비정규</x:v>
      </x:c>
      <x:c r="I129" s="17" t="str">
        <x:v>세부조건 확인</x:v>
      </x:c>
      <x:c r="J129" s="17" t="str">
        <x:v>제한 문구 미탐지</x:v>
      </x:c>
      <x:c r="K129" s="17" t="str">
        <x:v>상세공고 확인</x:v>
      </x:c>
      <x:c r="L129" s="17" t="str">
        <x:v>상세공고 확인</x:v>
      </x:c>
      <x:c r="M129" s="17" t="str">
        <x:v>상세공고 확인</x:v>
      </x:c>
      <x:c r="N129" s="17" t="str">
        <x:v>상세공고 확인</x:v>
      </x:c>
      <x:c r="O129" s="17" t="str">
        <x:v>상세공고 확인</x:v>
      </x:c>
      <x:c r="P129" s="17" t="str">
        <x:v>상세공고 확인</x:v>
      </x:c>
      <x:c r="Q129" s="17" t="str">
        <x:v>상세공고 확인</x:v>
      </x:c>
      <x:c r="R129" s="17" t="str">
        <x:v>상세공고 확인</x:v>
      </x:c>
      <x:c r="S129" s="17" t="str">
        <x:v>상세공고 확인</x:v>
      </x:c>
      <x:c r="T129" s="17" t="str">
        <x:v>상세공고 확인</x:v>
      </x:c>
      <x:c r="U129" s="17" t="str">
        <x:v>상세공고 확인</x:v>
      </x:c>
      <x:c r="V129" s="17" t="str">
        <x:v>목록 항목 확인</x:v>
      </x:c>
      <x:c r="W129" s="17" t="str">
        <x:v>공고 상세에서 확인</x:v>
      </x:c>
      <x:c r="X129" s="18" t="str">
        <x:v>https://job.alio.go.kr/recruitview.do?idx=304657</x:v>
      </x:c>
      <x:c r="Y129" s="1"/>
      <x:c r="Z129" s="1"/>
    </x:row>
    <x:row r="130" ht="54" customHeight="1">
      <x:c r="A130" s="17" t="n">
        <x:v>294</x:v>
      </x:c>
      <x:c r="B130" s="17" t="str">
        <x:v>국민연금공단</x:v>
      </x:c>
      <x:c r="C130" s="17" t="str">
        <x:v>2026년도 하반기 일반직 신입직원 공개채용 공고</x:v>
      </x:c>
      <x:c r="D130" s="17" t="str">
        <x:v>서울 외 15</x:v>
      </x:c>
      <x:c r="E130" s="17" t="str">
        <x:v>정규직</x:v>
      </x:c>
      <x:c r="F130" s="17" t="str">
        <x:v>2026.09.04</x:v>
      </x:c>
      <x:c r="G130" s="17" t="str">
        <x:v>26.09.18 D-9</x:v>
      </x:c>
      <x:c r="H130" s="17" t="str">
        <x:v>제한경쟁·조건부</x:v>
      </x:c>
      <x:c r="I130" s="17" t="str">
        <x:v>조건 충족자만</x:v>
      </x:c>
      <x:c r="J130" s="17" t="str">
        <x:v>기타 제한경쟁 가능</x:v>
      </x:c>
      <x:c r="K130" s="17" t="str">
        <x:v>신입+경력</x:v>
      </x:c>
      <x:c r="L130" s="17" t="str">
        <x:v>학력무관,고졸</x:v>
      </x:c>
      <x:c r="M130" s="17" t="str">
        <x:v>90명</x:v>
      </x:c>
      <x:c r="N130" s="17" t="str">
        <x:v>경영.회계.사무,보건.의료,사회복지.종교,전기.전자</x:v>
      </x:c>
      <x:c r="O130" s="17" t="str">
        <x:v>취업지원대상자, 장애인, 국민기초생활수급자, 한부모가족, 북한이탈주민, 다문화가족, 자립준비청년, 의사상자, 2025년 국민연금공단 청년인턴으로 3개월 이상 근무한 사람, 국민연금 대학생 홍보대사 수료자, 국민연금공단 6급 시간선택제 근로자로 6개월 이상 근무한 사람, 국민연금공단 특정 직렬 공무직으로 6개월 이상 근무한 사람, 이전지역(전북특별자치도) 인재</x:v>
      </x:c>
      <x:c r="P130" s="17" t="str">
        <x:v>명시 있음</x:v>
      </x:c>
      <x:c r="Q130" s="17" t="str">
        <x:v>상세공고 확인</x:v>
      </x:c>
      <x:c r="R130" s="17" t="str">
        <x:v>(공통) 성별, 연령, 학력(사무직 6급보 제외) 제한 없음 [임용일 기준 공단 정년(60세) 이상자는 제외] 대한민국 국적을 보유한 사람 공단이 정한 임용일부터 교육 입소 및 근무가 가능한 사람 공단 인사규정 제11조(결격사유)에 해당하지 않는 사람 (6급 사무직 일반) 공통 지원자격 외 별도의 응시자격 없음 (6급 사무직 취업지원) 「국가유공자 등 예우 및 지원에 관한 법률」 등 보훈관계법률에 따른 취업지원대상자에 해당하는 사람 (6급 사무직 장애인) 「장애인고용촉진 및 직업재활법 시행령」 제3조 및 제4조에 따른 장애인에 해당하는 사람 (6급 사무직 사회형평) 국민기초생활수급자, 한부모가족, 북한이탈주민, 다문화가족, 자립준비청년, 의사상자 중 1가지 이상에 해당하는 사람 (6급 심사직) 간호사, 물리치료사, 임상병리사, 작업치료사 면허증 소지자로 면허 취득 이후 관련 업무 1년 이상 경력자* *「의료법」 제3조제2항제3호에 따른 병원급 의료기관의 임상 경력 또는 우리 공단 심사 경력(기초근평 의학적 평가 포함) ※ 경력환산은 365일을 1년으로 산정함 (6급 기술직 전기) 전기기사, 전기공사기사, 건축전기설비기술사 자격증 중 하나 이상 소지자로, 해당 자격증 취득 이후 관련분야 1년 이상 경력자 ※ 경력환산은 365일을 1년으로 산정함 (6급보 사무직 일반) 최종학력이 고등학교 졸업인 자 또는 이에 준하는 학력자 (6급보 사무직 사회형평) 최종학력이 고등학교 졸업인 자 또는 이에 준하는 학력자이면서 국민기초생활수급자, 한부모가족, 북한이탈주민, 다문화가족, 자립준비청년, 의사상자 중 1가지 이상에 해당하는 사람 * 자세한 사항은 첨부파일의 채용공고문을 참조</x:v>
      </x:c>
      <x:c r="S130" s="17" t="str">
        <x:v>의사, 간호사, 면허, 전기기사, 전기공사기사, 어학</x:v>
      </x:c>
      <x:c r="T130" s="17" t="str">
        <x:v>(서류전형) 10배수 [6급 사무직] 자기소개서(10점), 직무능력기술서(10점), 교육사항(20점), 자격사항(50점), 공인어학성적(10점) [6급 사무직(장애인 전형)] 자기소개서(10점), 직무능력기술서(10점) [6급 심사직, 기술직, 6급보 사무직] 자기소개서(10점), 직무능력기술서(10점), 교육사항(30점), 자격사항(50점) (인성검사) [6급 사무직, 심사직, 기술직, 6급보 사무직] 적격/부적격 판정(부적격자 불합격 처리) (필기시험) 2배수 [6급 사무직, 심사직, 기술직] 직업기초능력평가, 종합직무지식평가 [6급보 사무직] 직업기초능력평가 (면접전형) [6급 사무직, 심사직, 기술직, 6급보 사무직] 토론·상황·직무수행능력면접 (최종합격자 선발) [6급 사무직, 심사직, 기술직, 6급보 사무직] 필기시험성적과 면접전형 성적을 5:5로 합산하여 최종합격자 선발 * 자세한 사항은 첨부파일의 채용공고문을 참조</x:v>
      </x:c>
      <x:c r="U130" s="17" t="str">
        <x:v>(서류전형) 10배수 [6급 사무직] 자기소개서(10점), 직무능력기술서(10점), 교육사항(20점), 자격사항(50점), 공인어학성적(10점) [6급 사무직(장애인 전형)] 자기소개서(10점), 직무능력기술서(10점) [6급 심사직, 기술직, 6급보 사무직] 자기소개서(10점), 직무능력기술서(10점), 교육사항(30점), 자격사항(50점) (인성검사) [6급 사무직, 심사직, 기술직, 6급보 사무직] 적격/부적격 판정(부적격자 불합격 처리) (필기시험) 2배수 [6급 사무직, 심사직, 기술직] 직업기초능력평가, 종합직무지식평가 [6급보 사무직] 직업기초능력평가 (면접전형) [6급 사무직, 심사직, 기술직, 6급보 사무직] 토론·상황·직무수행능력면접 (최종합격자 선발) [6급 사무직, 심사직, 기술직, 6급보 사무직] 필기시험성적과 면접전형 성적을 5:5로 합산하여 최종합격자 선발 * 자세한 사항은 첨부파일의 채용공고문을 참조</x:v>
      </x:c>
      <x:c r="V130" s="17" t="str">
        <x:v>상세 페이지 확인</x:v>
      </x:c>
      <x:c r="W130" s="17" t="str">
        <x:v>https://www.nps.or.kr/pnsgdnc/hiregdnc/getOHAE0004M0List.do?menuId=MN24000969</x:v>
      </x:c>
      <x:c r="X130" s="18" t="str">
        <x:v>https://job.alio.go.kr/recruitview.do?idx=304656</x:v>
      </x:c>
      <x:c r="Y130" s="1"/>
      <x:c r="Z130" s="1"/>
    </x:row>
    <x:row r="131" ht="54" customHeight="1">
      <x:c r="A131" s="17" t="n">
        <x:v>293</x:v>
      </x:c>
      <x:c r="B131" s="17" t="str">
        <x:v>한국학중앙연구원</x:v>
      </x:c>
      <x:c r="C131" s="17" t="str">
        <x:v>2026년도 한국학중앙연구원 문화콘텐츠편찬실 청년인턴 채용 공고</x:v>
      </x:c>
      <x:c r="D131" s="17" t="str">
        <x:v>경기</x:v>
      </x:c>
      <x:c r="E131" s="17" t="str">
        <x:v>청년인턴(체험형)</x:v>
      </x:c>
      <x:c r="F131" s="17" t="str">
        <x:v>2026.09.04</x:v>
      </x:c>
      <x:c r="G131" s="17" t="str">
        <x:v>26.09.20 D-11</x:v>
      </x:c>
      <x:c r="H131" s="17" t="str">
        <x:v>체험형·청년인턴</x:v>
      </x:c>
      <x:c r="I131" s="17" t="str">
        <x:v>우선검토</x:v>
      </x:c>
      <x:c r="J131" s="17" t="str">
        <x:v>제한 문구 미탐지</x:v>
      </x:c>
      <x:c r="K131" s="17" t="str">
        <x:v>상세공고 확인</x:v>
      </x:c>
      <x:c r="L131" s="17" t="str">
        <x:v>상세공고 확인</x:v>
      </x:c>
      <x:c r="M131" s="17" t="str">
        <x:v>상세공고 확인</x:v>
      </x:c>
      <x:c r="N131" s="17" t="str">
        <x:v>상세공고 확인</x:v>
      </x:c>
      <x:c r="O131" s="17" t="str">
        <x:v>상세공고 확인</x:v>
      </x:c>
      <x:c r="P131" s="17" t="str">
        <x:v>상세공고 확인</x:v>
      </x:c>
      <x:c r="Q131" s="17" t="str">
        <x:v>상세공고 확인</x:v>
      </x:c>
      <x:c r="R131" s="17" t="str">
        <x:v>상세공고 확인</x:v>
      </x:c>
      <x:c r="S131" s="17" t="str">
        <x:v>상세공고 확인</x:v>
      </x:c>
      <x:c r="T131" s="17" t="str">
        <x:v>상세공고 확인</x:v>
      </x:c>
      <x:c r="U131" s="17" t="str">
        <x:v>상세공고 확인</x:v>
      </x:c>
      <x:c r="V131" s="17" t="str">
        <x:v>목록 항목 확인</x:v>
      </x:c>
      <x:c r="W131" s="17" t="str">
        <x:v>공고 상세에서 확인</x:v>
      </x:c>
      <x:c r="X131" s="18" t="str">
        <x:v>https://job.alio.go.kr/recruitview.do?idx=304655</x:v>
      </x:c>
      <x:c r="Y131" s="1"/>
      <x:c r="Z131" s="1"/>
    </x:row>
    <x:row r="132" ht="54" customHeight="1">
      <x:c r="A132" s="17" t="n">
        <x:v>292</x:v>
      </x:c>
      <x:c r="B132" s="17" t="str">
        <x:v>과학기술정책연구원</x:v>
      </x:c>
      <x:c r="C132" s="17" t="str">
        <x:v>과학기술정책연구원 4차 연구직/전문연구직/행정직(계약직)(재공고) 채용</x:v>
      </x:c>
      <x:c r="D132" s="17" t="str">
        <x:v>세종</x:v>
      </x:c>
      <x:c r="E132" s="17" t="str">
        <x:v>비정규직</x:v>
      </x:c>
      <x:c r="F132" s="17" t="str">
        <x:v>2026.09.04</x:v>
      </x:c>
      <x:c r="G132" s="17" t="str">
        <x:v>26.09.21 D-12</x:v>
      </x:c>
      <x:c r="H132" s="17" t="str">
        <x:v>기간제·비정규</x:v>
      </x:c>
      <x:c r="I132" s="17" t="str">
        <x:v>세부조건 확인</x:v>
      </x:c>
      <x:c r="J132" s="17" t="str">
        <x:v>제한 문구 미탐지</x:v>
      </x:c>
      <x:c r="K132" s="17" t="str">
        <x:v>상세공고 확인</x:v>
      </x:c>
      <x:c r="L132" s="17" t="str">
        <x:v>상세공고 확인</x:v>
      </x:c>
      <x:c r="M132" s="17" t="str">
        <x:v>상세공고 확인</x:v>
      </x:c>
      <x:c r="N132" s="17" t="str">
        <x:v>상세공고 확인</x:v>
      </x:c>
      <x:c r="O132" s="17" t="str">
        <x:v>상세공고 확인</x:v>
      </x:c>
      <x:c r="P132" s="17" t="str">
        <x:v>상세공고 확인</x:v>
      </x:c>
      <x:c r="Q132" s="17" t="str">
        <x:v>상세공고 확인</x:v>
      </x:c>
      <x:c r="R132" s="17" t="str">
        <x:v>상세공고 확인</x:v>
      </x:c>
      <x:c r="S132" s="17" t="str">
        <x:v>상세공고 확인</x:v>
      </x:c>
      <x:c r="T132" s="17" t="str">
        <x:v>상세공고 확인</x:v>
      </x:c>
      <x:c r="U132" s="17" t="str">
        <x:v>상세공고 확인</x:v>
      </x:c>
      <x:c r="V132" s="17" t="str">
        <x:v>목록 항목 확인</x:v>
      </x:c>
      <x:c r="W132" s="17" t="str">
        <x:v>공고 상세에서 확인</x:v>
      </x:c>
      <x:c r="X132" s="18" t="str">
        <x:v>https://job.alio.go.kr/recruitview.do?idx=304654</x:v>
      </x:c>
      <x:c r="Y132" s="1"/>
      <x:c r="Z132" s="1"/>
    </x:row>
    <x:row r="133" ht="54" customHeight="1">
      <x:c r="A133" s="17" t="n">
        <x:v>291</x:v>
      </x:c>
      <x:c r="B133" s="17" t="str">
        <x:v>대한석탄공사</x:v>
      </x:c>
      <x:c r="C133" s="17" t="str">
        <x:v>2026년 한시적계약직 특별채용 공고(팀장급)</x:v>
      </x:c>
      <x:c r="D133" s="17" t="str">
        <x:v>강원</x:v>
      </x:c>
      <x:c r="E133" s="17" t="str">
        <x:v>비정규직</x:v>
      </x:c>
      <x:c r="F133" s="17" t="str">
        <x:v>2026.09.04</x:v>
      </x:c>
      <x:c r="G133" s="17" t="str">
        <x:v>26.09.20 D-11</x:v>
      </x:c>
      <x:c r="H133" s="17" t="str">
        <x:v>기간제·비정규</x:v>
      </x:c>
      <x:c r="I133" s="17" t="str">
        <x:v>세부조건 확인</x:v>
      </x:c>
      <x:c r="J133" s="17" t="str">
        <x:v>제한 문구 미탐지</x:v>
      </x:c>
      <x:c r="K133" s="17" t="str">
        <x:v>상세공고 확인</x:v>
      </x:c>
      <x:c r="L133" s="17" t="str">
        <x:v>상세공고 확인</x:v>
      </x:c>
      <x:c r="M133" s="17" t="str">
        <x:v>상세공고 확인</x:v>
      </x:c>
      <x:c r="N133" s="17" t="str">
        <x:v>상세공고 확인</x:v>
      </x:c>
      <x:c r="O133" s="17" t="str">
        <x:v>상세공고 확인</x:v>
      </x:c>
      <x:c r="P133" s="17" t="str">
        <x:v>상세공고 확인</x:v>
      </x:c>
      <x:c r="Q133" s="17" t="str">
        <x:v>상세공고 확인</x:v>
      </x:c>
      <x:c r="R133" s="17" t="str">
        <x:v>상세공고 확인</x:v>
      </x:c>
      <x:c r="S133" s="17" t="str">
        <x:v>상세공고 확인</x:v>
      </x:c>
      <x:c r="T133" s="17" t="str">
        <x:v>상세공고 확인</x:v>
      </x:c>
      <x:c r="U133" s="17" t="str">
        <x:v>상세공고 확인</x:v>
      </x:c>
      <x:c r="V133" s="17" t="str">
        <x:v>목록 항목 확인</x:v>
      </x:c>
      <x:c r="W133" s="17" t="str">
        <x:v>공고 상세에서 확인</x:v>
      </x:c>
      <x:c r="X133" s="18" t="str">
        <x:v>https://job.alio.go.kr/recruitview.do?idx=304649</x:v>
      </x:c>
      <x:c r="Y133" s="1"/>
      <x:c r="Z133" s="1"/>
    </x:row>
    <x:row r="134" ht="54" customHeight="1">
      <x:c r="A134" s="17" t="n">
        <x:v>290</x:v>
      </x:c>
      <x:c r="B134" s="17" t="str">
        <x:v>근로복지공단</x:v>
      </x:c>
      <x:c r="C134" s="17" t="str">
        <x:v>[인천병원] 기간제(사무원) 채용 공고</x:v>
      </x:c>
      <x:c r="D134" s="17" t="str">
        <x:v>인천</x:v>
      </x:c>
      <x:c r="E134" s="17" t="str">
        <x:v>비정규직</x:v>
      </x:c>
      <x:c r="F134" s="17" t="str">
        <x:v>2026.09.04</x:v>
      </x:c>
      <x:c r="G134" s="17" t="str">
        <x:v>26.09.11 D-2</x:v>
      </x:c>
      <x:c r="H134" s="17" t="str">
        <x:v>기간제·비정규</x:v>
      </x:c>
      <x:c r="I134" s="17" t="str">
        <x:v>세부조건 확인</x:v>
      </x:c>
      <x:c r="J134" s="17" t="str">
        <x:v>제한 문구 미탐지</x:v>
      </x:c>
      <x:c r="K134" s="17" t="str">
        <x:v>상세공고 확인</x:v>
      </x:c>
      <x:c r="L134" s="17" t="str">
        <x:v>상세공고 확인</x:v>
      </x:c>
      <x:c r="M134" s="17" t="str">
        <x:v>상세공고 확인</x:v>
      </x:c>
      <x:c r="N134" s="17" t="str">
        <x:v>상세공고 확인</x:v>
      </x:c>
      <x:c r="O134" s="17" t="str">
        <x:v>상세공고 확인</x:v>
      </x:c>
      <x:c r="P134" s="17" t="str">
        <x:v>상세공고 확인</x:v>
      </x:c>
      <x:c r="Q134" s="17" t="str">
        <x:v>상세공고 확인</x:v>
      </x:c>
      <x:c r="R134" s="17" t="str">
        <x:v>상세공고 확인</x:v>
      </x:c>
      <x:c r="S134" s="17" t="str">
        <x:v>상세공고 확인</x:v>
      </x:c>
      <x:c r="T134" s="17" t="str">
        <x:v>상세공고 확인</x:v>
      </x:c>
      <x:c r="U134" s="17" t="str">
        <x:v>상세공고 확인</x:v>
      </x:c>
      <x:c r="V134" s="17" t="str">
        <x:v>목록 항목 확인</x:v>
      </x:c>
      <x:c r="W134" s="17" t="str">
        <x:v>공고 상세에서 확인</x:v>
      </x:c>
      <x:c r="X134" s="18" t="str">
        <x:v>https://job.alio.go.kr/recruitview.do?idx=304648</x:v>
      </x:c>
      <x:c r="Y134" s="1"/>
      <x:c r="Z134" s="1"/>
    </x:row>
    <x:row r="135" ht="54" customHeight="1">
      <x:c r="A135" s="17" t="n">
        <x:v>289</x:v>
      </x:c>
      <x:c r="B135" s="17" t="str">
        <x:v>근로복지공단</x:v>
      </x:c>
      <x:c r="C135" s="17" t="str">
        <x:v>[인천병원] 별정직 의사(재활의학과) 채용 공고</x:v>
      </x:c>
      <x:c r="D135" s="17" t="str">
        <x:v>인천</x:v>
      </x:c>
      <x:c r="E135" s="17" t="str">
        <x:v>정규직</x:v>
      </x:c>
      <x:c r="F135" s="17" t="str">
        <x:v>2026.09.04</x:v>
      </x:c>
      <x:c r="G135" s="17" t="str">
        <x:v>26.09.14 D-5</x:v>
      </x:c>
      <x:c r="H135" s="17" t="str">
        <x:v>정규직(세부 확인)</x:v>
      </x:c>
      <x:c r="I135" s="17" t="str">
        <x:v>세부조건 확인</x:v>
      </x:c>
      <x:c r="J135" s="17" t="str">
        <x:v>제한 문구 미탐지</x:v>
      </x:c>
      <x:c r="K135" s="17" t="str">
        <x:v>상세공고 확인</x:v>
      </x:c>
      <x:c r="L135" s="17" t="str">
        <x:v>상세공고 확인</x:v>
      </x:c>
      <x:c r="M135" s="17" t="str">
        <x:v>상세공고 확인</x:v>
      </x:c>
      <x:c r="N135" s="17" t="str">
        <x:v>상세공고 확인</x:v>
      </x:c>
      <x:c r="O135" s="17" t="str">
        <x:v>상세공고 확인</x:v>
      </x:c>
      <x:c r="P135" s="17" t="str">
        <x:v>상세공고 확인</x:v>
      </x:c>
      <x:c r="Q135" s="17" t="str">
        <x:v>상세공고 확인</x:v>
      </x:c>
      <x:c r="R135" s="17" t="str">
        <x:v>상세공고 확인</x:v>
      </x:c>
      <x:c r="S135" s="17" t="str">
        <x:v>상세공고 확인</x:v>
      </x:c>
      <x:c r="T135" s="17" t="str">
        <x:v>상세공고 확인</x:v>
      </x:c>
      <x:c r="U135" s="17" t="str">
        <x:v>상세공고 확인</x:v>
      </x:c>
      <x:c r="V135" s="17" t="str">
        <x:v>목록 항목 확인</x:v>
      </x:c>
      <x:c r="W135" s="17" t="str">
        <x:v>공고 상세에서 확인</x:v>
      </x:c>
      <x:c r="X135" s="18" t="str">
        <x:v>https://job.alio.go.kr/recruitview.do?idx=304646</x:v>
      </x:c>
      <x:c r="Y135" s="1"/>
      <x:c r="Z135" s="1"/>
    </x:row>
    <x:row r="136" ht="54" customHeight="1">
      <x:c r="A136" s="17" t="n">
        <x:v>288</x:v>
      </x:c>
      <x:c r="B136" s="17" t="str">
        <x:v>근로복지공단</x:v>
      </x:c>
      <x:c r="C136" s="17" t="str">
        <x:v>[인천병원] 별정직 의사(내과 또는 가정의학과) 채용 공고</x:v>
      </x:c>
      <x:c r="D136" s="17" t="str">
        <x:v>인천</x:v>
      </x:c>
      <x:c r="E136" s="17" t="str">
        <x:v>정규직</x:v>
      </x:c>
      <x:c r="F136" s="17" t="str">
        <x:v>2026.09.04</x:v>
      </x:c>
      <x:c r="G136" s="17" t="str">
        <x:v>26.09.14 D-5</x:v>
      </x:c>
      <x:c r="H136" s="17" t="str">
        <x:v>정규직(세부 확인)</x:v>
      </x:c>
      <x:c r="I136" s="17" t="str">
        <x:v>세부조건 확인</x:v>
      </x:c>
      <x:c r="J136" s="17" t="str">
        <x:v>제한 문구 미탐지</x:v>
      </x:c>
      <x:c r="K136" s="17" t="str">
        <x:v>상세공고 확인</x:v>
      </x:c>
      <x:c r="L136" s="17" t="str">
        <x:v>상세공고 확인</x:v>
      </x:c>
      <x:c r="M136" s="17" t="str">
        <x:v>상세공고 확인</x:v>
      </x:c>
      <x:c r="N136" s="17" t="str">
        <x:v>상세공고 확인</x:v>
      </x:c>
      <x:c r="O136" s="17" t="str">
        <x:v>상세공고 확인</x:v>
      </x:c>
      <x:c r="P136" s="17" t="str">
        <x:v>상세공고 확인</x:v>
      </x:c>
      <x:c r="Q136" s="17" t="str">
        <x:v>상세공고 확인</x:v>
      </x:c>
      <x:c r="R136" s="17" t="str">
        <x:v>상세공고 확인</x:v>
      </x:c>
      <x:c r="S136" s="17" t="str">
        <x:v>상세공고 확인</x:v>
      </x:c>
      <x:c r="T136" s="17" t="str">
        <x:v>상세공고 확인</x:v>
      </x:c>
      <x:c r="U136" s="17" t="str">
        <x:v>상세공고 확인</x:v>
      </x:c>
      <x:c r="V136" s="17" t="str">
        <x:v>목록 항목 확인</x:v>
      </x:c>
      <x:c r="W136" s="17" t="str">
        <x:v>공고 상세에서 확인</x:v>
      </x:c>
      <x:c r="X136" s="18" t="str">
        <x:v>https://job.alio.go.kr/recruitview.do?idx=304645</x:v>
      </x:c>
      <x:c r="Y136" s="1"/>
      <x:c r="Z136" s="1"/>
    </x:row>
    <x:row r="137" ht="54" customHeight="1">
      <x:c r="A137" s="17" t="n">
        <x:v>287</x:v>
      </x:c>
      <x:c r="B137" s="17" t="str">
        <x:v>근로복지공단</x:v>
      </x:c>
      <x:c r="C137" s="17" t="str">
        <x:v>[안산병원] 의료직(간호사) 6급 채용 공고</x:v>
      </x:c>
      <x:c r="D137" s="17" t="str">
        <x:v>경기</x:v>
      </x:c>
      <x:c r="E137" s="17" t="str">
        <x:v>정규직</x:v>
      </x:c>
      <x:c r="F137" s="17" t="str">
        <x:v>2026.09.04</x:v>
      </x:c>
      <x:c r="G137" s="17" t="str">
        <x:v>26.09.14 D-5</x:v>
      </x:c>
      <x:c r="H137" s="17" t="str">
        <x:v>경력·전문직</x:v>
      </x:c>
      <x:c r="I137" s="17" t="str">
        <x:v>경력·전문 우선</x:v>
      </x:c>
      <x:c r="J137" s="17" t="str">
        <x:v>제한 문구 미탐지</x:v>
      </x:c>
      <x:c r="K137" s="17" t="str">
        <x:v>상세공고 확인</x:v>
      </x:c>
      <x:c r="L137" s="17" t="str">
        <x:v>상세공고 확인</x:v>
      </x:c>
      <x:c r="M137" s="17" t="str">
        <x:v>상세공고 확인</x:v>
      </x:c>
      <x:c r="N137" s="17" t="str">
        <x:v>상세공고 확인</x:v>
      </x:c>
      <x:c r="O137" s="17" t="str">
        <x:v>상세공고 확인</x:v>
      </x:c>
      <x:c r="P137" s="17" t="str">
        <x:v>상세공고 확인</x:v>
      </x:c>
      <x:c r="Q137" s="17" t="str">
        <x:v>상세공고 확인</x:v>
      </x:c>
      <x:c r="R137" s="17" t="str">
        <x:v>상세공고 확인</x:v>
      </x:c>
      <x:c r="S137" s="17" t="str">
        <x:v>상세공고 확인</x:v>
      </x:c>
      <x:c r="T137" s="17" t="str">
        <x:v>상세공고 확인</x:v>
      </x:c>
      <x:c r="U137" s="17" t="str">
        <x:v>상세공고 확인</x:v>
      </x:c>
      <x:c r="V137" s="17" t="str">
        <x:v>목록 항목 확인</x:v>
      </x:c>
      <x:c r="W137" s="17" t="str">
        <x:v>공고 상세에서 확인</x:v>
      </x:c>
      <x:c r="X137" s="18" t="str">
        <x:v>https://job.alio.go.kr/recruitview.do?idx=304643</x:v>
      </x:c>
      <x:c r="Y137" s="1"/>
      <x:c r="Z137" s="1"/>
    </x:row>
    <x:row r="138" ht="54" customHeight="1">
      <x:c r="A138" s="17" t="n">
        <x:v>286</x:v>
      </x:c>
      <x:c r="B138" s="17" t="str">
        <x:v>근로복지공단</x:v>
      </x:c>
      <x:c r="C138" s="17" t="str">
        <x:v>[대전병원] 의료직(간호사) 6급 채용 공고</x:v>
      </x:c>
      <x:c r="D138" s="17" t="str">
        <x:v>대전</x:v>
      </x:c>
      <x:c r="E138" s="17" t="str">
        <x:v>정규직</x:v>
      </x:c>
      <x:c r="F138" s="17" t="str">
        <x:v>2026.09.04</x:v>
      </x:c>
      <x:c r="G138" s="17" t="str">
        <x:v>26.09.14 D-5</x:v>
      </x:c>
      <x:c r="H138" s="17" t="str">
        <x:v>경력·전문직</x:v>
      </x:c>
      <x:c r="I138" s="17" t="str">
        <x:v>경력·전문 우선</x:v>
      </x:c>
      <x:c r="J138" s="17" t="str">
        <x:v>제한 문구 미탐지</x:v>
      </x:c>
      <x:c r="K138" s="17" t="str">
        <x:v>상세공고 확인</x:v>
      </x:c>
      <x:c r="L138" s="17" t="str">
        <x:v>상세공고 확인</x:v>
      </x:c>
      <x:c r="M138" s="17" t="str">
        <x:v>상세공고 확인</x:v>
      </x:c>
      <x:c r="N138" s="17" t="str">
        <x:v>상세공고 확인</x:v>
      </x:c>
      <x:c r="O138" s="17" t="str">
        <x:v>상세공고 확인</x:v>
      </x:c>
      <x:c r="P138" s="17" t="str">
        <x:v>상세공고 확인</x:v>
      </x:c>
      <x:c r="Q138" s="17" t="str">
        <x:v>상세공고 확인</x:v>
      </x:c>
      <x:c r="R138" s="17" t="str">
        <x:v>상세공고 확인</x:v>
      </x:c>
      <x:c r="S138" s="17" t="str">
        <x:v>상세공고 확인</x:v>
      </x:c>
      <x:c r="T138" s="17" t="str">
        <x:v>상세공고 확인</x:v>
      </x:c>
      <x:c r="U138" s="17" t="str">
        <x:v>상세공고 확인</x:v>
      </x:c>
      <x:c r="V138" s="17" t="str">
        <x:v>목록 항목 확인</x:v>
      </x:c>
      <x:c r="W138" s="17" t="str">
        <x:v>공고 상세에서 확인</x:v>
      </x:c>
      <x:c r="X138" s="18" t="str">
        <x:v>https://job.alio.go.kr/recruitview.do?idx=304642</x:v>
      </x:c>
      <x:c r="Y138" s="1"/>
      <x:c r="Z138" s="1"/>
    </x:row>
    <x:row r="139" ht="54" customHeight="1">
      <x:c r="A139" s="17" t="n">
        <x:v>285</x:v>
      </x:c>
      <x:c r="B139" s="17" t="str">
        <x:v>한전KPS(주)</x:v>
      </x:c>
      <x:c r="C139" s="17" t="str">
        <x:v>한전KPS(주) 서울경기전력지사 고양지점 단기노무원(부지정리) 모집</x:v>
      </x:c>
      <x:c r="D139" s="17" t="str">
        <x:v>경기</x:v>
      </x:c>
      <x:c r="E139" s="17" t="str">
        <x:v>비정규직</x:v>
      </x:c>
      <x:c r="F139" s="17" t="str">
        <x:v>2026.09.04</x:v>
      </x:c>
      <x:c r="G139" s="17" t="str">
        <x:v>26.09.14 D-5</x:v>
      </x:c>
      <x:c r="H139" s="17" t="str">
        <x:v>기간제·비정규</x:v>
      </x:c>
      <x:c r="I139" s="17" t="str">
        <x:v>세부조건 확인</x:v>
      </x:c>
      <x:c r="J139" s="17" t="str">
        <x:v>제한 문구 미탐지</x:v>
      </x:c>
      <x:c r="K139" s="17" t="str">
        <x:v>상세공고 확인</x:v>
      </x:c>
      <x:c r="L139" s="17" t="str">
        <x:v>상세공고 확인</x:v>
      </x:c>
      <x:c r="M139" s="17" t="str">
        <x:v>상세공고 확인</x:v>
      </x:c>
      <x:c r="N139" s="17" t="str">
        <x:v>상세공고 확인</x:v>
      </x:c>
      <x:c r="O139" s="17" t="str">
        <x:v>상세공고 확인</x:v>
      </x:c>
      <x:c r="P139" s="17" t="str">
        <x:v>상세공고 확인</x:v>
      </x:c>
      <x:c r="Q139" s="17" t="str">
        <x:v>상세공고 확인</x:v>
      </x:c>
      <x:c r="R139" s="17" t="str">
        <x:v>상세공고 확인</x:v>
      </x:c>
      <x:c r="S139" s="17" t="str">
        <x:v>상세공고 확인</x:v>
      </x:c>
      <x:c r="T139" s="17" t="str">
        <x:v>상세공고 확인</x:v>
      </x:c>
      <x:c r="U139" s="17" t="str">
        <x:v>상세공고 확인</x:v>
      </x:c>
      <x:c r="V139" s="17" t="str">
        <x:v>목록 항목 확인</x:v>
      </x:c>
      <x:c r="W139" s="17" t="str">
        <x:v>공고 상세에서 확인</x:v>
      </x:c>
      <x:c r="X139" s="18" t="str">
        <x:v>https://job.alio.go.kr/recruitview.do?idx=304641</x:v>
      </x:c>
      <x:c r="Y139" s="1"/>
      <x:c r="Z139" s="1"/>
    </x:row>
    <x:row r="140" ht="54" customHeight="1">
      <x:c r="A140" s="17" t="n">
        <x:v>284</x:v>
      </x:c>
      <x:c r="B140" s="17" t="str">
        <x:v>한국보훈복지의료공단</x:v>
      </x:c>
      <x:c r="C140" s="17" t="str">
        <x:v>[인천보훈병원] 2026년 제7차 의사직 [일반내과, 내과(순환기내과), 신경외과, 정형외과, 치과보철과, 병동당직의] 공개채용</x:v>
      </x:c>
      <x:c r="D140" s="17" t="str">
        <x:v>인천</x:v>
      </x:c>
      <x:c r="E140" s="17" t="str">
        <x:v>비정규직</x:v>
      </x:c>
      <x:c r="F140" s="17" t="str">
        <x:v>2026.09.04</x:v>
      </x:c>
      <x:c r="G140" s="17" t="str">
        <x:v>26.09.18 D-9</x:v>
      </x:c>
      <x:c r="H140" s="17" t="str">
        <x:v>기간제·비정규</x:v>
      </x:c>
      <x:c r="I140" s="17" t="str">
        <x:v>세부조건 확인</x:v>
      </x:c>
      <x:c r="J140" s="17" t="str">
        <x:v>제한 문구 미탐지</x:v>
      </x:c>
      <x:c r="K140" s="17" t="str">
        <x:v>상세공고 확인</x:v>
      </x:c>
      <x:c r="L140" s="17" t="str">
        <x:v>상세공고 확인</x:v>
      </x:c>
      <x:c r="M140" s="17" t="str">
        <x:v>상세공고 확인</x:v>
      </x:c>
      <x:c r="N140" s="17" t="str">
        <x:v>상세공고 확인</x:v>
      </x:c>
      <x:c r="O140" s="17" t="str">
        <x:v>상세공고 확인</x:v>
      </x:c>
      <x:c r="P140" s="17" t="str">
        <x:v>상세공고 확인</x:v>
      </x:c>
      <x:c r="Q140" s="17" t="str">
        <x:v>상세공고 확인</x:v>
      </x:c>
      <x:c r="R140" s="17" t="str">
        <x:v>상세공고 확인</x:v>
      </x:c>
      <x:c r="S140" s="17" t="str">
        <x:v>상세공고 확인</x:v>
      </x:c>
      <x:c r="T140" s="17" t="str">
        <x:v>상세공고 확인</x:v>
      </x:c>
      <x:c r="U140" s="17" t="str">
        <x:v>상세공고 확인</x:v>
      </x:c>
      <x:c r="V140" s="17" t="str">
        <x:v>목록 항목 확인</x:v>
      </x:c>
      <x:c r="W140" s="17" t="str">
        <x:v>공고 상세에서 확인</x:v>
      </x:c>
      <x:c r="X140" s="18" t="str">
        <x:v>https://job.alio.go.kr/recruitview.do?idx=304640</x:v>
      </x:c>
      <x:c r="Y140" s="1"/>
      <x:c r="Z140" s="1"/>
    </x:row>
    <x:row r="141" ht="54" customHeight="1">
      <x:c r="A141" s="17" t="n">
        <x:v>283</x:v>
      </x:c>
      <x:c r="B141" s="17" t="str">
        <x:v>대한적십자사</x:v>
      </x:c>
      <x:c r="C141" s="17" t="str">
        <x:v>2026년도 하반기 대한적십자사 KOICA 영프로페셔널(YP) 청년인턴 공개모집</x:v>
      </x:c>
      <x:c r="D141" s="17" t="str">
        <x:v>서울</x:v>
      </x:c>
      <x:c r="E141" s="17" t="str">
        <x:v>청년인턴(체험형)</x:v>
      </x:c>
      <x:c r="F141" s="17" t="str">
        <x:v>2026.09.04</x:v>
      </x:c>
      <x:c r="G141" s="17" t="str">
        <x:v>26.09.28 D-19</x:v>
      </x:c>
      <x:c r="H141" s="17" t="str">
        <x:v>체험형·청년인턴</x:v>
      </x:c>
      <x:c r="I141" s="17" t="str">
        <x:v>우선검토</x:v>
      </x:c>
      <x:c r="J141" s="17" t="str">
        <x:v>제한 문구 미탐지</x:v>
      </x:c>
      <x:c r="K141" s="17" t="str">
        <x:v>상세공고 확인</x:v>
      </x:c>
      <x:c r="L141" s="17" t="str">
        <x:v>상세공고 확인</x:v>
      </x:c>
      <x:c r="M141" s="17" t="str">
        <x:v>상세공고 확인</x:v>
      </x:c>
      <x:c r="N141" s="17" t="str">
        <x:v>상세공고 확인</x:v>
      </x:c>
      <x:c r="O141" s="17" t="str">
        <x:v>상세공고 확인</x:v>
      </x:c>
      <x:c r="P141" s="17" t="str">
        <x:v>상세공고 확인</x:v>
      </x:c>
      <x:c r="Q141" s="17" t="str">
        <x:v>상세공고 확인</x:v>
      </x:c>
      <x:c r="R141" s="17" t="str">
        <x:v>상세공고 확인</x:v>
      </x:c>
      <x:c r="S141" s="17" t="str">
        <x:v>상세공고 확인</x:v>
      </x:c>
      <x:c r="T141" s="17" t="str">
        <x:v>상세공고 확인</x:v>
      </x:c>
      <x:c r="U141" s="17" t="str">
        <x:v>상세공고 확인</x:v>
      </x:c>
      <x:c r="V141" s="17" t="str">
        <x:v>목록 항목 확인</x:v>
      </x:c>
      <x:c r="W141" s="17" t="str">
        <x:v>공고 상세에서 확인</x:v>
      </x:c>
      <x:c r="X141" s="18" t="str">
        <x:v>https://job.alio.go.kr/recruitview.do?idx=304637</x:v>
      </x:c>
      <x:c r="Y141" s="1"/>
      <x:c r="Z141" s="1"/>
    </x:row>
    <x:row r="142" ht="54" customHeight="1">
      <x:c r="A142" s="17" t="n">
        <x:v>282</x:v>
      </x:c>
      <x:c r="B142" s="17" t="str">
        <x:v>학교법인한국폴리텍</x:v>
      </x:c>
      <x:c r="C142" s="17" t="str">
        <x:v>2026년 한국폴리텍대학 울산캠퍼스 하반기 행정지원직(교학처 학과조교 휴직 대체) 3차 채용 공고</x:v>
      </x:c>
      <x:c r="D142" s="17" t="str">
        <x:v>울산</x:v>
      </x:c>
      <x:c r="E142" s="17" t="str">
        <x:v>비정규직</x:v>
      </x:c>
      <x:c r="F142" s="17" t="str">
        <x:v>2026.09.04</x:v>
      </x:c>
      <x:c r="G142" s="17" t="str">
        <x:v>26.09.14 D-5</x:v>
      </x:c>
      <x:c r="H142" s="17" t="str">
        <x:v>기간제·비정규</x:v>
      </x:c>
      <x:c r="I142" s="17" t="str">
        <x:v>세부조건 확인</x:v>
      </x:c>
      <x:c r="J142" s="17" t="str">
        <x:v>제한 문구 미탐지</x:v>
      </x:c>
      <x:c r="K142" s="17" t="str">
        <x:v>상세공고 확인</x:v>
      </x:c>
      <x:c r="L142" s="17" t="str">
        <x:v>상세공고 확인</x:v>
      </x:c>
      <x:c r="M142" s="17" t="str">
        <x:v>상세공고 확인</x:v>
      </x:c>
      <x:c r="N142" s="17" t="str">
        <x:v>상세공고 확인</x:v>
      </x:c>
      <x:c r="O142" s="17" t="str">
        <x:v>상세공고 확인</x:v>
      </x:c>
      <x:c r="P142" s="17" t="str">
        <x:v>상세공고 확인</x:v>
      </x:c>
      <x:c r="Q142" s="17" t="str">
        <x:v>상세공고 확인</x:v>
      </x:c>
      <x:c r="R142" s="17" t="str">
        <x:v>상세공고 확인</x:v>
      </x:c>
      <x:c r="S142" s="17" t="str">
        <x:v>상세공고 확인</x:v>
      </x:c>
      <x:c r="T142" s="17" t="str">
        <x:v>상세공고 확인</x:v>
      </x:c>
      <x:c r="U142" s="17" t="str">
        <x:v>상세공고 확인</x:v>
      </x:c>
      <x:c r="V142" s="17" t="str">
        <x:v>목록 항목 확인</x:v>
      </x:c>
      <x:c r="W142" s="17" t="str">
        <x:v>공고 상세에서 확인</x:v>
      </x:c>
      <x:c r="X142" s="18" t="str">
        <x:v>https://job.alio.go.kr/recruitview.do?idx=304636</x:v>
      </x:c>
      <x:c r="Y142" s="1"/>
      <x:c r="Z142" s="1"/>
    </x:row>
    <x:row r="143" ht="54" customHeight="1">
      <x:c r="A143" s="17" t="n">
        <x:v>281</x:v>
      </x:c>
      <x:c r="B143" s="17" t="str">
        <x:v>한국보훈복지의료공단</x:v>
      </x:c>
      <x:c r="C143" s="17" t="str">
        <x:v>[전주보훈요양원] 장애인 청년인턴 채용 공고</x:v>
      </x:c>
      <x:c r="D143" s="17" t="str">
        <x:v>전북</x:v>
      </x:c>
      <x:c r="E143" s="17" t="str">
        <x:v>청년인턴(체험형)</x:v>
      </x:c>
      <x:c r="F143" s="17" t="str">
        <x:v>2026.09.04</x:v>
      </x:c>
      <x:c r="G143" s="17" t="str">
        <x:v>26.09.14 D-5</x:v>
      </x:c>
      <x:c r="H143" s="17" t="str">
        <x:v>체험형·청년인턴</x:v>
      </x:c>
      <x:c r="I143" s="17" t="str">
        <x:v>세부조건 확인</x:v>
      </x:c>
      <x:c r="J143" s="17" t="str">
        <x:v>제한 문구 미탐지</x:v>
      </x:c>
      <x:c r="K143" s="17" t="str">
        <x:v>상세공고 확인</x:v>
      </x:c>
      <x:c r="L143" s="17" t="str">
        <x:v>상세공고 확인</x:v>
      </x:c>
      <x:c r="M143" s="17" t="str">
        <x:v>상세공고 확인</x:v>
      </x:c>
      <x:c r="N143" s="17" t="str">
        <x:v>상세공고 확인</x:v>
      </x:c>
      <x:c r="O143" s="17" t="str">
        <x:v>상세공고 확인</x:v>
      </x:c>
      <x:c r="P143" s="17" t="str">
        <x:v>상세공고 확인</x:v>
      </x:c>
      <x:c r="Q143" s="17" t="str">
        <x:v>상세공고 확인</x:v>
      </x:c>
      <x:c r="R143" s="17" t="str">
        <x:v>상세공고 확인</x:v>
      </x:c>
      <x:c r="S143" s="17" t="str">
        <x:v>상세공고 확인</x:v>
      </x:c>
      <x:c r="T143" s="17" t="str">
        <x:v>상세공고 확인</x:v>
      </x:c>
      <x:c r="U143" s="17" t="str">
        <x:v>상세공고 확인</x:v>
      </x:c>
      <x:c r="V143" s="17" t="str">
        <x:v>목록 항목 확인</x:v>
      </x:c>
      <x:c r="W143" s="17" t="str">
        <x:v>공고 상세에서 확인</x:v>
      </x:c>
      <x:c r="X143" s="18" t="str">
        <x:v>https://job.alio.go.kr/recruitview.do?idx=304633</x:v>
      </x:c>
      <x:c r="Y143" s="1"/>
      <x:c r="Z143" s="1"/>
    </x:row>
    <x:row r="144" ht="54" customHeight="1">
      <x:c r="A144" s="17" t="n">
        <x:v>280</x:v>
      </x:c>
      <x:c r="B144" s="17" t="str">
        <x:v>한국보훈복지의료공단</x:v>
      </x:c>
      <x:c r="C144" s="17" t="str">
        <x:v>[광주보훈병원] 계약직 보건직(언어재활사) 직원 채용 공고</x:v>
      </x:c>
      <x:c r="D144" s="17" t="str">
        <x:v>전남광주</x:v>
      </x:c>
      <x:c r="E144" s="17" t="str">
        <x:v>비정규직</x:v>
      </x:c>
      <x:c r="F144" s="17" t="str">
        <x:v>2026.09.04</x:v>
      </x:c>
      <x:c r="G144" s="17" t="str">
        <x:v>26.09.14 D-5</x:v>
      </x:c>
      <x:c r="H144" s="17" t="str">
        <x:v>기간제·비정규</x:v>
      </x:c>
      <x:c r="I144" s="17" t="str">
        <x:v>세부조건 확인</x:v>
      </x:c>
      <x:c r="J144" s="17" t="str">
        <x:v>제한 문구 미탐지</x:v>
      </x:c>
      <x:c r="K144" s="17" t="str">
        <x:v>상세공고 확인</x:v>
      </x:c>
      <x:c r="L144" s="17" t="str">
        <x:v>상세공고 확인</x:v>
      </x:c>
      <x:c r="M144" s="17" t="str">
        <x:v>상세공고 확인</x:v>
      </x:c>
      <x:c r="N144" s="17" t="str">
        <x:v>상세공고 확인</x:v>
      </x:c>
      <x:c r="O144" s="17" t="str">
        <x:v>상세공고 확인</x:v>
      </x:c>
      <x:c r="P144" s="17" t="str">
        <x:v>상세공고 확인</x:v>
      </x:c>
      <x:c r="Q144" s="17" t="str">
        <x:v>상세공고 확인</x:v>
      </x:c>
      <x:c r="R144" s="17" t="str">
        <x:v>상세공고 확인</x:v>
      </x:c>
      <x:c r="S144" s="17" t="str">
        <x:v>상세공고 확인</x:v>
      </x:c>
      <x:c r="T144" s="17" t="str">
        <x:v>상세공고 확인</x:v>
      </x:c>
      <x:c r="U144" s="17" t="str">
        <x:v>상세공고 확인</x:v>
      </x:c>
      <x:c r="V144" s="17" t="str">
        <x:v>목록 항목 확인</x:v>
      </x:c>
      <x:c r="W144" s="17" t="str">
        <x:v>공고 상세에서 확인</x:v>
      </x:c>
      <x:c r="X144" s="18" t="str">
        <x:v>https://job.alio.go.kr/recruitview.do?idx=304630</x:v>
      </x:c>
      <x:c r="Y144" s="1"/>
      <x:c r="Z144" s="1"/>
    </x:row>
    <x:row r="145" ht="54" customHeight="1">
      <x:c r="A145" s="17" t="n">
        <x:v>279</x:v>
      </x:c>
      <x:c r="B145" s="17" t="str">
        <x:v>국토연구원</x:v>
      </x:c>
      <x:c r="C145" s="17" t="str">
        <x:v>국토연구원 2026년 제9차 위촉직(기간제) 공개채용</x:v>
      </x:c>
      <x:c r="D145" s="17" t="str">
        <x:v>세종</x:v>
      </x:c>
      <x:c r="E145" s="17" t="str">
        <x:v>비정규직</x:v>
      </x:c>
      <x:c r="F145" s="17" t="str">
        <x:v>2026.09.04</x:v>
      </x:c>
      <x:c r="G145" s="17" t="str">
        <x:v>26.09.18 D-9</x:v>
      </x:c>
      <x:c r="H145" s="17" t="str">
        <x:v>기간제·비정규</x:v>
      </x:c>
      <x:c r="I145" s="17" t="str">
        <x:v>세부조건 확인</x:v>
      </x:c>
      <x:c r="J145" s="17" t="str">
        <x:v>제한 문구 미탐지</x:v>
      </x:c>
      <x:c r="K145" s="17" t="str">
        <x:v>상세공고 확인</x:v>
      </x:c>
      <x:c r="L145" s="17" t="str">
        <x:v>상세공고 확인</x:v>
      </x:c>
      <x:c r="M145" s="17" t="str">
        <x:v>상세공고 확인</x:v>
      </x:c>
      <x:c r="N145" s="17" t="str">
        <x:v>상세공고 확인</x:v>
      </x:c>
      <x:c r="O145" s="17" t="str">
        <x:v>상세공고 확인</x:v>
      </x:c>
      <x:c r="P145" s="17" t="str">
        <x:v>상세공고 확인</x:v>
      </x:c>
      <x:c r="Q145" s="17" t="str">
        <x:v>상세공고 확인</x:v>
      </x:c>
      <x:c r="R145" s="17" t="str">
        <x:v>상세공고 확인</x:v>
      </x:c>
      <x:c r="S145" s="17" t="str">
        <x:v>상세공고 확인</x:v>
      </x:c>
      <x:c r="T145" s="17" t="str">
        <x:v>상세공고 확인</x:v>
      </x:c>
      <x:c r="U145" s="17" t="str">
        <x:v>상세공고 확인</x:v>
      </x:c>
      <x:c r="V145" s="17" t="str">
        <x:v>목록 항목 확인</x:v>
      </x:c>
      <x:c r="W145" s="17" t="str">
        <x:v>공고 상세에서 확인</x:v>
      </x:c>
      <x:c r="X145" s="18" t="str">
        <x:v>https://job.alio.go.kr/recruitview.do?idx=304627</x:v>
      </x:c>
      <x:c r="Y145" s="1"/>
      <x:c r="Z145" s="1"/>
    </x:row>
    <x:row r="146" ht="54" customHeight="1">
      <x:c r="A146" s="17" t="n">
        <x:v>278</x:v>
      </x:c>
      <x:c r="B146" s="17" t="str">
        <x:v>88관광개발(주)</x:v>
      </x:c>
      <x:c r="C146" s="17" t="str">
        <x:v>88관광개발(주) - 경리직 채용공고</x:v>
      </x:c>
      <x:c r="D146" s="17" t="str">
        <x:v>경기</x:v>
      </x:c>
      <x:c r="E146" s="17" t="str">
        <x:v>정규직</x:v>
      </x:c>
      <x:c r="F146" s="17" t="str">
        <x:v>2026.09.04</x:v>
      </x:c>
      <x:c r="G146" s="17" t="str">
        <x:v>26.09.18 D-9</x:v>
      </x:c>
      <x:c r="H146" s="17" t="str">
        <x:v>정규직(세부 확인)</x:v>
      </x:c>
      <x:c r="I146" s="17" t="str">
        <x:v>세부조건 확인</x:v>
      </x:c>
      <x:c r="J146" s="17" t="str">
        <x:v>제한 문구 미탐지</x:v>
      </x:c>
      <x:c r="K146" s="17" t="str">
        <x:v>상세공고 확인</x:v>
      </x:c>
      <x:c r="L146" s="17" t="str">
        <x:v>상세공고 확인</x:v>
      </x:c>
      <x:c r="M146" s="17" t="str">
        <x:v>상세공고 확인</x:v>
      </x:c>
      <x:c r="N146" s="17" t="str">
        <x:v>상세공고 확인</x:v>
      </x:c>
      <x:c r="O146" s="17" t="str">
        <x:v>상세공고 확인</x:v>
      </x:c>
      <x:c r="P146" s="17" t="str">
        <x:v>상세공고 확인</x:v>
      </x:c>
      <x:c r="Q146" s="17" t="str">
        <x:v>상세공고 확인</x:v>
      </x:c>
      <x:c r="R146" s="17" t="str">
        <x:v>상세공고 확인</x:v>
      </x:c>
      <x:c r="S146" s="17" t="str">
        <x:v>상세공고 확인</x:v>
      </x:c>
      <x:c r="T146" s="17" t="str">
        <x:v>상세공고 확인</x:v>
      </x:c>
      <x:c r="U146" s="17" t="str">
        <x:v>상세공고 확인</x:v>
      </x:c>
      <x:c r="V146" s="17" t="str">
        <x:v>목록 항목 확인</x:v>
      </x:c>
      <x:c r="W146" s="17" t="str">
        <x:v>공고 상세에서 확인</x:v>
      </x:c>
      <x:c r="X146" s="18" t="str">
        <x:v>https://job.alio.go.kr/recruitview.do?idx=304626</x:v>
      </x:c>
      <x:c r="Y146" s="1"/>
      <x:c r="Z146" s="1"/>
    </x:row>
    <x:row r="147" ht="54" customHeight="1">
      <x:c r="A147" s="17" t="n">
        <x:v>277</x:v>
      </x:c>
      <x:c r="B147" s="17" t="str">
        <x:v>(재)우체국물류지원단</x:v>
      </x:c>
      <x:c r="C147" s="17" t="str">
        <x:v>우체국물류지원단 서울지사 동서울물류사업소, 구로우체국 추석 특별소통 기간제(파렛정리) 채용 공고</x:v>
      </x:c>
      <x:c r="D147" s="17" t="str">
        <x:v>서울</x:v>
      </x:c>
      <x:c r="E147" s="17" t="str">
        <x:v>비정규직</x:v>
      </x:c>
      <x:c r="F147" s="17" t="str">
        <x:v>2026.09.04</x:v>
      </x:c>
      <x:c r="G147" s="17" t="str">
        <x:v>26.09.10 D-1</x:v>
      </x:c>
      <x:c r="H147" s="17" t="str">
        <x:v>기간제·비정규</x:v>
      </x:c>
      <x:c r="I147" s="17" t="str">
        <x:v>세부조건 확인</x:v>
      </x:c>
      <x:c r="J147" s="17" t="str">
        <x:v>제한 문구 미탐지</x:v>
      </x:c>
      <x:c r="K147" s="17" t="str">
        <x:v>상세공고 확인</x:v>
      </x:c>
      <x:c r="L147" s="17" t="str">
        <x:v>상세공고 확인</x:v>
      </x:c>
      <x:c r="M147" s="17" t="str">
        <x:v>상세공고 확인</x:v>
      </x:c>
      <x:c r="N147" s="17" t="str">
        <x:v>상세공고 확인</x:v>
      </x:c>
      <x:c r="O147" s="17" t="str">
        <x:v>상세공고 확인</x:v>
      </x:c>
      <x:c r="P147" s="17" t="str">
        <x:v>상세공고 확인</x:v>
      </x:c>
      <x:c r="Q147" s="17" t="str">
        <x:v>상세공고 확인</x:v>
      </x:c>
      <x:c r="R147" s="17" t="str">
        <x:v>상세공고 확인</x:v>
      </x:c>
      <x:c r="S147" s="17" t="str">
        <x:v>상세공고 확인</x:v>
      </x:c>
      <x:c r="T147" s="17" t="str">
        <x:v>상세공고 확인</x:v>
      </x:c>
      <x:c r="U147" s="17" t="str">
        <x:v>상세공고 확인</x:v>
      </x:c>
      <x:c r="V147" s="17" t="str">
        <x:v>목록 항목 확인</x:v>
      </x:c>
      <x:c r="W147" s="17" t="str">
        <x:v>공고 상세에서 확인</x:v>
      </x:c>
      <x:c r="X147" s="18" t="str">
        <x:v>https://job.alio.go.kr/recruitview.do?idx=304623</x:v>
      </x:c>
      <x:c r="Y147" s="1"/>
      <x:c r="Z147" s="1"/>
    </x:row>
    <x:row r="148" ht="54" customHeight="1">
      <x:c r="A148" s="17" t="n">
        <x:v>276</x:v>
      </x:c>
      <x:c r="B148" s="17" t="str">
        <x:v>학교법인한국폴리텍</x:v>
      </x:c>
      <x:c r="C148" s="17" t="str">
        <x:v>한국폴리텍대학 전남캠퍼스 업무직(조리원) 채용(6차) 공고</x:v>
      </x:c>
      <x:c r="D148" s="17" t="str">
        <x:v>전남광주</x:v>
      </x:c>
      <x:c r="E148" s="17" t="str">
        <x:v>무기계약직</x:v>
      </x:c>
      <x:c r="F148" s="17" t="str">
        <x:v>2026.09.04</x:v>
      </x:c>
      <x:c r="G148" s="17" t="str">
        <x:v>26.09.13 D-4</x:v>
      </x:c>
      <x:c r="H148" s="17" t="str">
        <x:v>무기계약·공무직</x:v>
      </x:c>
      <x:c r="I148" s="17" t="str">
        <x:v>세부조건 확인</x:v>
      </x:c>
      <x:c r="J148" s="17" t="str">
        <x:v>제한 문구 미탐지</x:v>
      </x:c>
      <x:c r="K148" s="17" t="str">
        <x:v>상세공고 확인</x:v>
      </x:c>
      <x:c r="L148" s="17" t="str">
        <x:v>상세공고 확인</x:v>
      </x:c>
      <x:c r="M148" s="17" t="str">
        <x:v>상세공고 확인</x:v>
      </x:c>
      <x:c r="N148" s="17" t="str">
        <x:v>상세공고 확인</x:v>
      </x:c>
      <x:c r="O148" s="17" t="str">
        <x:v>상세공고 확인</x:v>
      </x:c>
      <x:c r="P148" s="17" t="str">
        <x:v>상세공고 확인</x:v>
      </x:c>
      <x:c r="Q148" s="17" t="str">
        <x:v>상세공고 확인</x:v>
      </x:c>
      <x:c r="R148" s="17" t="str">
        <x:v>상세공고 확인</x:v>
      </x:c>
      <x:c r="S148" s="17" t="str">
        <x:v>상세공고 확인</x:v>
      </x:c>
      <x:c r="T148" s="17" t="str">
        <x:v>상세공고 확인</x:v>
      </x:c>
      <x:c r="U148" s="17" t="str">
        <x:v>상세공고 확인</x:v>
      </x:c>
      <x:c r="V148" s="17" t="str">
        <x:v>목록 항목 확인</x:v>
      </x:c>
      <x:c r="W148" s="17" t="str">
        <x:v>공고 상세에서 확인</x:v>
      </x:c>
      <x:c r="X148" s="18" t="str">
        <x:v>https://job.alio.go.kr/recruitview.do?idx=304620</x:v>
      </x:c>
      <x:c r="Y148" s="1"/>
      <x:c r="Z148" s="1"/>
    </x:row>
    <x:row r="149" ht="54" customHeight="1">
      <x:c r="A149" s="17" t="n">
        <x:v>275</x:v>
      </x:c>
      <x:c r="B149" s="17" t="str">
        <x:v>(재)우체국물류지원단</x:v>
      </x:c>
      <x:c r="C149" s="17" t="str">
        <x:v>우체국물류지원단 경인지사 안양,부평물류사업소 추석 단기 기간제(일용직_우편물 구분) 채용 공고</x:v>
      </x:c>
      <x:c r="D149" s="17" t="str">
        <x:v>인천 외 1</x:v>
      </x:c>
      <x:c r="E149" s="17" t="str">
        <x:v>비정규직</x:v>
      </x:c>
      <x:c r="F149" s="17" t="str">
        <x:v>2026.09.04</x:v>
      </x:c>
      <x:c r="G149" s="17" t="str">
        <x:v>26.09.15 D-6</x:v>
      </x:c>
      <x:c r="H149" s="17" t="str">
        <x:v>기간제·비정규</x:v>
      </x:c>
      <x:c r="I149" s="17" t="str">
        <x:v>세부조건 확인</x:v>
      </x:c>
      <x:c r="J149" s="17" t="str">
        <x:v>제한 문구 미탐지</x:v>
      </x:c>
      <x:c r="K149" s="17" t="str">
        <x:v>상세공고 확인</x:v>
      </x:c>
      <x:c r="L149" s="17" t="str">
        <x:v>상세공고 확인</x:v>
      </x:c>
      <x:c r="M149" s="17" t="str">
        <x:v>상세공고 확인</x:v>
      </x:c>
      <x:c r="N149" s="17" t="str">
        <x:v>상세공고 확인</x:v>
      </x:c>
      <x:c r="O149" s="17" t="str">
        <x:v>상세공고 확인</x:v>
      </x:c>
      <x:c r="P149" s="17" t="str">
        <x:v>상세공고 확인</x:v>
      </x:c>
      <x:c r="Q149" s="17" t="str">
        <x:v>상세공고 확인</x:v>
      </x:c>
      <x:c r="R149" s="17" t="str">
        <x:v>상세공고 확인</x:v>
      </x:c>
      <x:c r="S149" s="17" t="str">
        <x:v>상세공고 확인</x:v>
      </x:c>
      <x:c r="T149" s="17" t="str">
        <x:v>상세공고 확인</x:v>
      </x:c>
      <x:c r="U149" s="17" t="str">
        <x:v>상세공고 확인</x:v>
      </x:c>
      <x:c r="V149" s="17" t="str">
        <x:v>목록 항목 확인</x:v>
      </x:c>
      <x:c r="W149" s="17" t="str">
        <x:v>공고 상세에서 확인</x:v>
      </x:c>
      <x:c r="X149" s="18" t="str">
        <x:v>https://job.alio.go.kr/recruitview.do?idx=304619</x:v>
      </x:c>
      <x:c r="Y149" s="1"/>
      <x:c r="Z149" s="1"/>
    </x:row>
    <x:row r="150" ht="54" customHeight="1">
      <x:c r="A150" s="17" t="n">
        <x:v>274</x:v>
      </x:c>
      <x:c r="B150" s="17" t="str">
        <x:v>(재)우체국물류지원단</x:v>
      </x:c>
      <x:c r="C150" s="17" t="str">
        <x:v>우체국물류지원단 광주지사 기간제(사무직, 육아휴직대체) 채용 공고</x:v>
      </x:c>
      <x:c r="D150" s="17" t="str">
        <x:v>전남광주</x:v>
      </x:c>
      <x:c r="E150" s="17" t="str">
        <x:v>비정규직</x:v>
      </x:c>
      <x:c r="F150" s="17" t="str">
        <x:v>2026.09.04</x:v>
      </x:c>
      <x:c r="G150" s="17" t="str">
        <x:v>26.09.10 D-1</x:v>
      </x:c>
      <x:c r="H150" s="17" t="str">
        <x:v>기간제·비정규</x:v>
      </x:c>
      <x:c r="I150" s="17" t="str">
        <x:v>세부조건 확인</x:v>
      </x:c>
      <x:c r="J150" s="17" t="str">
        <x:v>제한 문구 미탐지</x:v>
      </x:c>
      <x:c r="K150" s="17" t="str">
        <x:v>상세공고 확인</x:v>
      </x:c>
      <x:c r="L150" s="17" t="str">
        <x:v>상세공고 확인</x:v>
      </x:c>
      <x:c r="M150" s="17" t="str">
        <x:v>상세공고 확인</x:v>
      </x:c>
      <x:c r="N150" s="17" t="str">
        <x:v>상세공고 확인</x:v>
      </x:c>
      <x:c r="O150" s="17" t="str">
        <x:v>상세공고 확인</x:v>
      </x:c>
      <x:c r="P150" s="17" t="str">
        <x:v>상세공고 확인</x:v>
      </x:c>
      <x:c r="Q150" s="17" t="str">
        <x:v>상세공고 확인</x:v>
      </x:c>
      <x:c r="R150" s="17" t="str">
        <x:v>상세공고 확인</x:v>
      </x:c>
      <x:c r="S150" s="17" t="str">
        <x:v>상세공고 확인</x:v>
      </x:c>
      <x:c r="T150" s="17" t="str">
        <x:v>상세공고 확인</x:v>
      </x:c>
      <x:c r="U150" s="17" t="str">
        <x:v>상세공고 확인</x:v>
      </x:c>
      <x:c r="V150" s="17" t="str">
        <x:v>목록 항목 확인</x:v>
      </x:c>
      <x:c r="W150" s="17" t="str">
        <x:v>공고 상세에서 확인</x:v>
      </x:c>
      <x:c r="X150" s="18" t="str">
        <x:v>https://job.alio.go.kr/recruitview.do?idx=304604</x:v>
      </x:c>
      <x:c r="Y150" s="1"/>
      <x:c r="Z150" s="1"/>
    </x:row>
    <x:row r="151" ht="54" customHeight="1">
      <x:c r="A151" s="17" t="n">
        <x:v>273</x:v>
      </x:c>
      <x:c r="B151" s="17" t="str">
        <x:v>한전KPS(주)</x:v>
      </x:c>
      <x:c r="C151" s="17" t="str">
        <x:v>한전KPS(주) 서울경기전력지사 인천지점 단기노무원(부지정리) 모집</x:v>
      </x:c>
      <x:c r="D151" s="17" t="str">
        <x:v>인천</x:v>
      </x:c>
      <x:c r="E151" s="17" t="str">
        <x:v>비정규직</x:v>
      </x:c>
      <x:c r="F151" s="17" t="str">
        <x:v>2026.09.04</x:v>
      </x:c>
      <x:c r="G151" s="17" t="str">
        <x:v>26.09.11 D-2</x:v>
      </x:c>
      <x:c r="H151" s="17" t="str">
        <x:v>기간제·비정규</x:v>
      </x:c>
      <x:c r="I151" s="17" t="str">
        <x:v>세부조건 확인</x:v>
      </x:c>
      <x:c r="J151" s="17" t="str">
        <x:v>제한 문구 미탐지</x:v>
      </x:c>
      <x:c r="K151" s="17" t="str">
        <x:v>상세공고 확인</x:v>
      </x:c>
      <x:c r="L151" s="17" t="str">
        <x:v>상세공고 확인</x:v>
      </x:c>
      <x:c r="M151" s="17" t="str">
        <x:v>상세공고 확인</x:v>
      </x:c>
      <x:c r="N151" s="17" t="str">
        <x:v>상세공고 확인</x:v>
      </x:c>
      <x:c r="O151" s="17" t="str">
        <x:v>상세공고 확인</x:v>
      </x:c>
      <x:c r="P151" s="17" t="str">
        <x:v>상세공고 확인</x:v>
      </x:c>
      <x:c r="Q151" s="17" t="str">
        <x:v>상세공고 확인</x:v>
      </x:c>
      <x:c r="R151" s="17" t="str">
        <x:v>상세공고 확인</x:v>
      </x:c>
      <x:c r="S151" s="17" t="str">
        <x:v>상세공고 확인</x:v>
      </x:c>
      <x:c r="T151" s="17" t="str">
        <x:v>상세공고 확인</x:v>
      </x:c>
      <x:c r="U151" s="17" t="str">
        <x:v>상세공고 확인</x:v>
      </x:c>
      <x:c r="V151" s="17" t="str">
        <x:v>목록 항목 확인</x:v>
      </x:c>
      <x:c r="W151" s="17" t="str">
        <x:v>공고 상세에서 확인</x:v>
      </x:c>
      <x:c r="X151" s="18" t="str">
        <x:v>https://job.alio.go.kr/recruitview.do?idx=304599</x:v>
      </x:c>
      <x:c r="Y151" s="1"/>
      <x:c r="Z151" s="1"/>
    </x:row>
    <x:row r="152" ht="54" customHeight="1">
      <x:c r="A152" s="17" t="n">
        <x:v>272</x:v>
      </x:c>
      <x:c r="B152" s="17" t="str">
        <x:v>중소기업은행</x:v>
      </x:c>
      <x:c r="C152" s="17" t="str">
        <x:v>2026년 하반기 IBK기업은행 일반직원(정규직) 수시채용 공고</x:v>
      </x:c>
      <x:c r="D152" s="17" t="str">
        <x:v>서울 외 16</x:v>
      </x:c>
      <x:c r="E152" s="17" t="str">
        <x:v>정규직</x:v>
      </x:c>
      <x:c r="F152" s="17" t="str">
        <x:v>2026.09.04</x:v>
      </x:c>
      <x:c r="G152" s="17" t="str">
        <x:v>26.09.21 D-12</x:v>
      </x:c>
      <x:c r="H152" s="17" t="str">
        <x:v>신입·정규직</x:v>
      </x:c>
      <x:c r="I152" s="17" t="str">
        <x:v>우선검토</x:v>
      </x:c>
      <x:c r="J152" s="17" t="str">
        <x:v>제한 문구 미탐지</x:v>
      </x:c>
      <x:c r="K152" s="17" t="str">
        <x:v>신입+경력</x:v>
      </x:c>
      <x:c r="L152" s="17" t="str">
        <x:v>학력무관,대졸(4년),석사,박사</x:v>
      </x:c>
      <x:c r="M152" s="17" t="str">
        <x:v>15명</x:v>
      </x:c>
      <x:c r="N152" s="17" t="str">
        <x:v>금융.보험,정보통신</x:v>
      </x:c>
      <x:c r="O152" s="17" t="str">
        <x:v>□ IT 사업 관리·컨설팅, 사이버위협 분석·대응, 글로벌 투자금융, 글로벌 금융(통번역사) : 직무관련 자격증 보유자/ 공인어학시험의 인정기준을 충족한 자/ 금융기관 근무경력 보유자 (보다 자세한 사항은 첨부파일의 채용공고문을 참조)</x:v>
      </x:c>
      <x:c r="P152" s="17" t="str">
        <x:v>미탐지(원문 재확인)</x:v>
      </x:c>
      <x:c r="Q152" s="17" t="str">
        <x:v>상세공고 확인</x:v>
      </x:c>
      <x:c r="R152" s="17" t="str">
        <x:v>□ 채용인원 : IT 사업관리·컨설팅(2명) / 플랫폼 아키텍처 설계·운영(2명) / 사이버위협 분석·대응(2명) / 글로벌 투자금융(2명) / 글로벌 금융(통번역사)(1명) / 자금운용(1명) / 보험계리사(2명) / 공인회계사(KICPA)(3명) □ 기본요건 - 남성의 경우 병역필* 또는 면제자* * 2026. 11. 30. 이전 전역 가능한 자 포함 - 채용 확정(12월 초·중순 예정) 후 전일 근무 가능한 자* * 졸업, 재학, 이직 절차, 군 전역 등의 사유로 입행 유예 불가 - 당행 인사규정 「채용의 제한」 대상자 등(“유의사항” 참조)이 아닌 자 □ 응시자격 - IT 사업관리·컨설팅 · 학사학위 이상 소지자(전공무관)로서 “IT 사업관리” 또는 “IT 컨설팅” 관련 업무* 경력 5년 이상 보유자 * 사업기획, 투자심의, 사업관리(PM, PMO), 정보화컨설팅, 대가 산정 등 - 플랫폼 아키텍처 설계·운영 · 학사학위 이상 소지자(관련 전공*)로서 “컨테이너 기반 아키텍처 설계·운영” 관련 업무 경력 5년 이상 보유자 - 사이버위협 분석·대응 ※ 다음 ①, ② 中 1개 이상 해당하는 자 ① 석사학위 이상 소지자(전공무관)로서 “침해대응” 또는 “모의해킹” 관련 업무 경력 3년 이상 보유자 ② 학사학위 소지자(전공무관)로서 “침해대응” 또는 “모의해킹” 관련 업무 경력 5년 이상 보유자 - 글로벌 투자금융 · 학사학위 이상 소지자(전공무관)로서 “IB” 또는 “투자·운용” 관련 업무* 경력 2년 이상 보유자 * IB : 인수금융, 기업금융, 구조화, PF, 부동산·인프라금융, 오브젝트금융 등 투자·운용 : 채권, FX, 선물·옵션, 대체투자, 포트폴리오 리스크관리 - 글로벌 금융(통번역사) · 통역번역(통번역)대학원(한영) 졸업 또는 수료자로서 “글로벌사업” 관련 업무* 경력 3년 이상 보유자 * 글로벌사업 전략 수립 및 기획, 해외법인(지사) 신설, 해외기관 협력사업 발굴 및 FI사업 추진 등 - 자금운용 · 학사학위 이상 소지자(전공무관)로서 “자금운용” 관련 업무 경력 5년 이상 보유자 - 보험계리사 · 보험계리사 등록증 소지자로서, “퇴직연금계리(IFRS계리평가 또는 재정검증)” 관련 업무 경력 1년 이상 보유자 - 공인회계사(KICPA) · 공인회계사(KICPA) 등록증 소지자</x:v>
      </x:c>
      <x:c r="S152" s="17" t="str">
        <x:v>의사, 어학</x:v>
      </x:c>
      <x:c r="T152" s="17" t="str">
        <x:v>□ 채용절차 및 방법 지원서 접수 &gt; 서류심사 &gt; 실기시험 &gt; 면접시험 &gt; 최종 합격자 발표(신체검사) 1. 지원서 접수 - 접수기간 : '26. 9. 4.(금) ∼ 9. 21.(월) 10시 - 접수방법 : 채용전용 홈페이지(http://ibk.incruit.com)에 지원서 등록 2. 서류심사 - 합격인원 : 분야별 채용인원의 6배수 이내 - 서류심사 합격자 발표 : ’26. 10월 초순 예정(홈페이지 발표) 3. 실기시험 - 일정/장소 : ’26. 10. 12.(월) ~ 10. 20.(화) 中 예정/본점 ※ 일정, 장소 변동가능 - 합격인원 : 분야별 채용인원의 3배수 이내 - 실기시험 합격자 발표 : ’26. 10월 하순 예정 4. 면접시험 - 일정/장소 : ’26. 10. 26.(월) ~ 10. 30.(금) 中 예정/본점 ※ 일정, 장소 변동가능 - 합격인원 : 15명(분야별 채용인원의 1배수 이내) - 면접시험 합격자 발표 : ’26. 11월 중순 예정 ※ 유의사항 - 전염병 등 국내외 특수한 상황 발생 또는 IBK기업은행의 사정 등에 따라 전형방법 및 일정 등은 변경될 수 있음 - 전형별 합격여부는 채용전용 홈페이지를 통해 발표예정(유선 확인 불가) - 합격자 발표 미확인, 연락불능 등으로 각 전형에 미참여한 경우 또는 입력사항 기재착오, 누락 등으로 인한 불이익은 지원자에게 책임이 있음 - 최종 합격자 발표 후 일정기간 內 입행포기자 등 발생 時 분야별 면접시험 점수의 차순위자에게 추가 합격기회를 부여할 예정 (채용전형별 최소 합격기준을 충족하는 자에 한하며 동점시 동점자 처리기준에 따름) - 본 채용전형은 블라인드 채용으로 전형 全과정에서 학교명, 출신지역, 가족관계, 성별, 나이 등 직·간접적으로 편견이 개입될 수 있는 인적사항을 노출하는 경우 불이익이 있을 수 있음 - 개인사정에 따른 각 전형의 일정 변경은 불가함 - 근무 및 처우 등 채용공고에 기재하지 않은 사항은 당행 내규에 따름 - 응시인원 미달 또는 전형결과 적격자가 없다고 판단되는 경우 선발하지 않거나, 선발 예정인원보다 적게 선발할 수 있음 - 증빙서류를 사전에 발급·점검한 후 입행지원서의 지원자격 사항 등을 정확히 입력하시기 바람 - 제출한 서류에 대한 진위 여부 등을 확인 후 최종 입행처리 예정 - 국가유공자 등 예우 및 지원에 관한 법률에 따라 지원자의 수가 채용 예정인원과 같거나 그보다 적은 경우 취업지원대상자에게 가점 부여 - 채용공고에 기재되지 않은 각종 세부 내용은 FAQ(채용전용 홈페이지) 참조 ※ 수행 직무, 동점자 처리기준, 제출서류, 기타 유의사항 등 자세한 내용은 채용공고문을 참고하여 주시기 바랍니다. ※ 인사부 채용담당자 연락처(02-729-7364, 7929, 6395)</x:v>
      </x:c>
      <x:c r="U152" s="17" t="str">
        <x:v>□ 채용절차 및 방법 지원서 접수 &gt; 서류심사 &gt; 실기시험 &gt; 면접시험 &gt; 최종 합격자 발표(신체검사) 1 / 면접시험 - 일정/장소 : ’26 / (금) 中 예정/본점 ※ 일정, 장소 변동가능 - 합격인원 : 15명(분야별 채용인원의 1배수 이내) - 면접시험 합격자 발표 : ’26 / 11월 중순 예정 ※ 유의사항 - 전염병 등 국내외 특수한 상황 발생 또는 IBK기업은행의 사정 등에 따라 전형방법 및 일정 등은 변경될 수 있음 - 전형별 합격여부는 채용전용 홈페이지를 통해 발표예정(유선 확인 불가) - 합격자 발표 미확인, 연락불능 등으로 각 전형에 미참여한 경우 또는 입력사항 기재착오, 누락 등으로 인한 불이익은 지원자에게 책임이 있음 - 최종 합격자 발표 후 일정기간 內 입행포기자 등 발생 時 분야별 면접시험 점수의 차순위자에게 추가 합격기회를 부여할 예정 (채용전형별 최소 합격기준을 충족하는 자에 한하며 동점시 동점자 처리기준에 따름) - 본 채용전형은 블라인드 채용으로 전형 全과정에서 학교명, 출신지역, 가족관계, 성별, 나이 등 직·간접적으로 편견이 개입될 수 있는 인적사항을 노출하는 경우 불이익이 있을 수 있음 - 개인사정에 따른 각 전형의 일정 변경은 불가함 - 근무 및 처우 등 채용공고에 기재하지 않은 사항은 당행 내규에 따름 - 응시인원 미달 또는 전형결과 적격자가 없다고 판단되는 경우 선발하지 않거나, 선발 예정인원보다 적게 선발할 수 있음 - 증빙서류를 사전에 발급·점검한 후 입행지원서의 지원자격 사항 등을 정확히 입력하시기 바람 - 제출한 서류에 대한 진위 여부 등을 확인 후 최종…</x:v>
      </x:c>
      <x:c r="V152" s="17" t="str">
        <x:v>상세 페이지 확인</x:v>
      </x:c>
      <x:c r="W152" s="17" t="str">
        <x:v>https://ibk.incruit.com/</x:v>
      </x:c>
      <x:c r="X152" s="18" t="str">
        <x:v>https://job.alio.go.kr/recruitview.do?idx=304557</x:v>
      </x:c>
      <x:c r="Y152" s="1"/>
      <x:c r="Z152" s="1"/>
    </x:row>
    <x:row r="153" ht="54" customHeight="1">
      <x:c r="A153" s="17" t="n">
        <x:v>271</x:v>
      </x:c>
      <x:c r="B153" s="17" t="str">
        <x:v>극지연구소</x:v>
      </x:c>
      <x:c r="C153" s="17" t="str">
        <x:v>2026년 하반기 육아휴직대체인력(기간제계약직/극지 우주과학) 공개채용 공고</x:v>
      </x:c>
      <x:c r="D153" s="17" t="str">
        <x:v>인천</x:v>
      </x:c>
      <x:c r="E153" s="17" t="str">
        <x:v>비정규직</x:v>
      </x:c>
      <x:c r="F153" s="17" t="str">
        <x:v>2026.09.04</x:v>
      </x:c>
      <x:c r="G153" s="17" t="str">
        <x:v>26.09.18 D-9</x:v>
      </x:c>
      <x:c r="H153" s="17" t="str">
        <x:v>기간제·비정규</x:v>
      </x:c>
      <x:c r="I153" s="17" t="str">
        <x:v>세부조건 확인</x:v>
      </x:c>
      <x:c r="J153" s="17" t="str">
        <x:v>제한 문구 미탐지</x:v>
      </x:c>
      <x:c r="K153" s="17" t="str">
        <x:v>상세공고 확인</x:v>
      </x:c>
      <x:c r="L153" s="17" t="str">
        <x:v>상세공고 확인</x:v>
      </x:c>
      <x:c r="M153" s="17" t="str">
        <x:v>상세공고 확인</x:v>
      </x:c>
      <x:c r="N153" s="17" t="str">
        <x:v>상세공고 확인</x:v>
      </x:c>
      <x:c r="O153" s="17" t="str">
        <x:v>상세공고 확인</x:v>
      </x:c>
      <x:c r="P153" s="17" t="str">
        <x:v>상세공고 확인</x:v>
      </x:c>
      <x:c r="Q153" s="17" t="str">
        <x:v>상세공고 확인</x:v>
      </x:c>
      <x:c r="R153" s="17" t="str">
        <x:v>상세공고 확인</x:v>
      </x:c>
      <x:c r="S153" s="17" t="str">
        <x:v>상세공고 확인</x:v>
      </x:c>
      <x:c r="T153" s="17" t="str">
        <x:v>상세공고 확인</x:v>
      </x:c>
      <x:c r="U153" s="17" t="str">
        <x:v>상세공고 확인</x:v>
      </x:c>
      <x:c r="V153" s="17" t="str">
        <x:v>목록 항목 확인</x:v>
      </x:c>
      <x:c r="W153" s="17" t="str">
        <x:v>공고 상세에서 확인</x:v>
      </x:c>
      <x:c r="X153" s="18" t="str">
        <x:v>https://job.alio.go.kr/recruitview.do?idx=304544</x:v>
      </x:c>
      <x:c r="Y153" s="1"/>
      <x:c r="Z153" s="1"/>
    </x:row>
    <x:row r="154" ht="54" customHeight="1">
      <x:c r="A154" s="17" t="n">
        <x:v>270</x:v>
      </x:c>
      <x:c r="B154" s="17" t="str">
        <x:v>중소기업은행</x:v>
      </x:c>
      <x:c r="C154" s="17" t="str">
        <x:v>IBK기업은행 전문계약직(사격단 트레이너) 채용공고</x:v>
      </x:c>
      <x:c r="D154" s="17" t="str">
        <x:v>서울 외 16</x:v>
      </x:c>
      <x:c r="E154" s="17" t="str">
        <x:v>비정규직</x:v>
      </x:c>
      <x:c r="F154" s="17" t="str">
        <x:v>2026.09.04</x:v>
      </x:c>
      <x:c r="G154" s="17" t="str">
        <x:v>26.09.21 D-12</x:v>
      </x:c>
      <x:c r="H154" s="17" t="str">
        <x:v>기간제·비정규</x:v>
      </x:c>
      <x:c r="I154" s="17" t="str">
        <x:v>세부조건 확인</x:v>
      </x:c>
      <x:c r="J154" s="17" t="str">
        <x:v>제한 문구 미탐지</x:v>
      </x:c>
      <x:c r="K154" s="17" t="str">
        <x:v>상세공고 확인</x:v>
      </x:c>
      <x:c r="L154" s="17" t="str">
        <x:v>상세공고 확인</x:v>
      </x:c>
      <x:c r="M154" s="17" t="str">
        <x:v>상세공고 확인</x:v>
      </x:c>
      <x:c r="N154" s="17" t="str">
        <x:v>상세공고 확인</x:v>
      </x:c>
      <x:c r="O154" s="17" t="str">
        <x:v>상세공고 확인</x:v>
      </x:c>
      <x:c r="P154" s="17" t="str">
        <x:v>상세공고 확인</x:v>
      </x:c>
      <x:c r="Q154" s="17" t="str">
        <x:v>상세공고 확인</x:v>
      </x:c>
      <x:c r="R154" s="17" t="str">
        <x:v>상세공고 확인</x:v>
      </x:c>
      <x:c r="S154" s="17" t="str">
        <x:v>상세공고 확인</x:v>
      </x:c>
      <x:c r="T154" s="17" t="str">
        <x:v>상세공고 확인</x:v>
      </x:c>
      <x:c r="U154" s="17" t="str">
        <x:v>상세공고 확인</x:v>
      </x:c>
      <x:c r="V154" s="17" t="str">
        <x:v>목록 항목 확인</x:v>
      </x:c>
      <x:c r="W154" s="17" t="str">
        <x:v>공고 상세에서 확인</x:v>
      </x:c>
      <x:c r="X154" s="18" t="str">
        <x:v>https://job.alio.go.kr/recruitview.do?idx=304394</x:v>
      </x:c>
      <x:c r="Y154" s="1"/>
      <x:c r="Z154" s="1"/>
    </x:row>
    <x:row r="155" ht="54" customHeight="1">
      <x:c r="A155" s="17" t="n">
        <x:v>269</x:v>
      </x:c>
      <x:c r="B155" s="17" t="str">
        <x:v>중소기업은행</x:v>
      </x:c>
      <x:c r="C155" s="17" t="str">
        <x:v>IBK기업은행 전문계약직(사격선수) 채용공고</x:v>
      </x:c>
      <x:c r="D155" s="17" t="str">
        <x:v>서울 외 16</x:v>
      </x:c>
      <x:c r="E155" s="17" t="str">
        <x:v>비정규직</x:v>
      </x:c>
      <x:c r="F155" s="17" t="str">
        <x:v>2026.09.04</x:v>
      </x:c>
      <x:c r="G155" s="17" t="str">
        <x:v>26.09.21 D-12</x:v>
      </x:c>
      <x:c r="H155" s="17" t="str">
        <x:v>기간제·비정규</x:v>
      </x:c>
      <x:c r="I155" s="17" t="str">
        <x:v>세부조건 확인</x:v>
      </x:c>
      <x:c r="J155" s="17" t="str">
        <x:v>제한 문구 미탐지</x:v>
      </x:c>
      <x:c r="K155" s="17" t="str">
        <x:v>상세공고 확인</x:v>
      </x:c>
      <x:c r="L155" s="17" t="str">
        <x:v>상세공고 확인</x:v>
      </x:c>
      <x:c r="M155" s="17" t="str">
        <x:v>상세공고 확인</x:v>
      </x:c>
      <x:c r="N155" s="17" t="str">
        <x:v>상세공고 확인</x:v>
      </x:c>
      <x:c r="O155" s="17" t="str">
        <x:v>상세공고 확인</x:v>
      </x:c>
      <x:c r="P155" s="17" t="str">
        <x:v>상세공고 확인</x:v>
      </x:c>
      <x:c r="Q155" s="17" t="str">
        <x:v>상세공고 확인</x:v>
      </x:c>
      <x:c r="R155" s="17" t="str">
        <x:v>상세공고 확인</x:v>
      </x:c>
      <x:c r="S155" s="17" t="str">
        <x:v>상세공고 확인</x:v>
      </x:c>
      <x:c r="T155" s="17" t="str">
        <x:v>상세공고 확인</x:v>
      </x:c>
      <x:c r="U155" s="17" t="str">
        <x:v>상세공고 확인</x:v>
      </x:c>
      <x:c r="V155" s="17" t="str">
        <x:v>목록 항목 확인</x:v>
      </x:c>
      <x:c r="W155" s="17" t="str">
        <x:v>공고 상세에서 확인</x:v>
      </x:c>
      <x:c r="X155" s="18" t="str">
        <x:v>https://job.alio.go.kr/recruitview.do?idx=304392</x:v>
      </x:c>
      <x:c r="Y155" s="1"/>
      <x:c r="Z155" s="1"/>
    </x:row>
    <x:row r="156" ht="54" customHeight="1">
      <x:c r="A156" s="17" t="n">
        <x:v>268</x:v>
      </x:c>
      <x:c r="B156" s="17" t="str">
        <x:v>중소기업은행</x:v>
      </x:c>
      <x:c r="C156" s="17" t="str">
        <x:v>IBK기업은행 전문계약직(소방안전관리자) 채용공고</x:v>
      </x:c>
      <x:c r="D156" s="17" t="str">
        <x:v>서울</x:v>
      </x:c>
      <x:c r="E156" s="17" t="str">
        <x:v>비정규직</x:v>
      </x:c>
      <x:c r="F156" s="17" t="str">
        <x:v>2026.09.04</x:v>
      </x:c>
      <x:c r="G156" s="17" t="str">
        <x:v>26.09.21 D-12</x:v>
      </x:c>
      <x:c r="H156" s="17" t="str">
        <x:v>기간제·비정규</x:v>
      </x:c>
      <x:c r="I156" s="17" t="str">
        <x:v>세부조건 확인</x:v>
      </x:c>
      <x:c r="J156" s="17" t="str">
        <x:v>제한 문구 미탐지</x:v>
      </x:c>
      <x:c r="K156" s="17" t="str">
        <x:v>상세공고 확인</x:v>
      </x:c>
      <x:c r="L156" s="17" t="str">
        <x:v>상세공고 확인</x:v>
      </x:c>
      <x:c r="M156" s="17" t="str">
        <x:v>상세공고 확인</x:v>
      </x:c>
      <x:c r="N156" s="17" t="str">
        <x:v>상세공고 확인</x:v>
      </x:c>
      <x:c r="O156" s="17" t="str">
        <x:v>상세공고 확인</x:v>
      </x:c>
      <x:c r="P156" s="17" t="str">
        <x:v>상세공고 확인</x:v>
      </x:c>
      <x:c r="Q156" s="17" t="str">
        <x:v>상세공고 확인</x:v>
      </x:c>
      <x:c r="R156" s="17" t="str">
        <x:v>상세공고 확인</x:v>
      </x:c>
      <x:c r="S156" s="17" t="str">
        <x:v>상세공고 확인</x:v>
      </x:c>
      <x:c r="T156" s="17" t="str">
        <x:v>상세공고 확인</x:v>
      </x:c>
      <x:c r="U156" s="17" t="str">
        <x:v>상세공고 확인</x:v>
      </x:c>
      <x:c r="V156" s="17" t="str">
        <x:v>목록 항목 확인</x:v>
      </x:c>
      <x:c r="W156" s="17" t="str">
        <x:v>공고 상세에서 확인</x:v>
      </x:c>
      <x:c r="X156" s="18" t="str">
        <x:v>https://job.alio.go.kr/recruitview.do?idx=304389</x:v>
      </x:c>
      <x:c r="Y156" s="1"/>
      <x:c r="Z156" s="1"/>
    </x:row>
    <x:row r="157" ht="54" customHeight="1">
      <x:c r="A157" s="17" t="n">
        <x:v>267</x:v>
      </x:c>
      <x:c r="B157" s="17" t="str">
        <x:v>중소기업은행</x:v>
      </x:c>
      <x:c r="C157" s="17" t="str">
        <x:v>IBK기업은행 전문계약직(보건관리자) 채용공고</x:v>
      </x:c>
      <x:c r="D157" s="17" t="str">
        <x:v>서울</x:v>
      </x:c>
      <x:c r="E157" s="17" t="str">
        <x:v>비정규직</x:v>
      </x:c>
      <x:c r="F157" s="17" t="str">
        <x:v>2026.09.04</x:v>
      </x:c>
      <x:c r="G157" s="17" t="str">
        <x:v>26.09.21 D-12</x:v>
      </x:c>
      <x:c r="H157" s="17" t="str">
        <x:v>기간제·비정규</x:v>
      </x:c>
      <x:c r="I157" s="17" t="str">
        <x:v>세부조건 확인</x:v>
      </x:c>
      <x:c r="J157" s="17" t="str">
        <x:v>제한 문구 미탐지</x:v>
      </x:c>
      <x:c r="K157" s="17" t="str">
        <x:v>상세공고 확인</x:v>
      </x:c>
      <x:c r="L157" s="17" t="str">
        <x:v>상세공고 확인</x:v>
      </x:c>
      <x:c r="M157" s="17" t="str">
        <x:v>상세공고 확인</x:v>
      </x:c>
      <x:c r="N157" s="17" t="str">
        <x:v>상세공고 확인</x:v>
      </x:c>
      <x:c r="O157" s="17" t="str">
        <x:v>상세공고 확인</x:v>
      </x:c>
      <x:c r="P157" s="17" t="str">
        <x:v>상세공고 확인</x:v>
      </x:c>
      <x:c r="Q157" s="17" t="str">
        <x:v>상세공고 확인</x:v>
      </x:c>
      <x:c r="R157" s="17" t="str">
        <x:v>상세공고 확인</x:v>
      </x:c>
      <x:c r="S157" s="17" t="str">
        <x:v>상세공고 확인</x:v>
      </x:c>
      <x:c r="T157" s="17" t="str">
        <x:v>상세공고 확인</x:v>
      </x:c>
      <x:c r="U157" s="17" t="str">
        <x:v>상세공고 확인</x:v>
      </x:c>
      <x:c r="V157" s="17" t="str">
        <x:v>목록 항목 확인</x:v>
      </x:c>
      <x:c r="W157" s="17" t="str">
        <x:v>공고 상세에서 확인</x:v>
      </x:c>
      <x:c r="X157" s="18" t="str">
        <x:v>https://job.alio.go.kr/recruitview.do?idx=304388</x:v>
      </x:c>
      <x:c r="Y157" s="1"/>
      <x:c r="Z157" s="1"/>
    </x:row>
    <x:row r="158" ht="54" customHeight="1">
      <x:c r="A158" s="17" t="n">
        <x:v>266</x:v>
      </x:c>
      <x:c r="B158" s="17" t="str">
        <x:v>중소기업은행</x:v>
      </x:c>
      <x:c r="C158" s="17" t="str">
        <x:v>IBK기업은행 전문계약직(안전관리자) 채용공고</x:v>
      </x:c>
      <x:c r="D158" s="17" t="str">
        <x:v>서울</x:v>
      </x:c>
      <x:c r="E158" s="17" t="str">
        <x:v>비정규직</x:v>
      </x:c>
      <x:c r="F158" s="17" t="str">
        <x:v>2026.09.04</x:v>
      </x:c>
      <x:c r="G158" s="17" t="str">
        <x:v>26.09.21 D-12</x:v>
      </x:c>
      <x:c r="H158" s="17" t="str">
        <x:v>기간제·비정규</x:v>
      </x:c>
      <x:c r="I158" s="17" t="str">
        <x:v>세부조건 확인</x:v>
      </x:c>
      <x:c r="J158" s="17" t="str">
        <x:v>제한 문구 미탐지</x:v>
      </x:c>
      <x:c r="K158" s="17" t="str">
        <x:v>상세공고 확인</x:v>
      </x:c>
      <x:c r="L158" s="17" t="str">
        <x:v>상세공고 확인</x:v>
      </x:c>
      <x:c r="M158" s="17" t="str">
        <x:v>상세공고 확인</x:v>
      </x:c>
      <x:c r="N158" s="17" t="str">
        <x:v>상세공고 확인</x:v>
      </x:c>
      <x:c r="O158" s="17" t="str">
        <x:v>상세공고 확인</x:v>
      </x:c>
      <x:c r="P158" s="17" t="str">
        <x:v>상세공고 확인</x:v>
      </x:c>
      <x:c r="Q158" s="17" t="str">
        <x:v>상세공고 확인</x:v>
      </x:c>
      <x:c r="R158" s="17" t="str">
        <x:v>상세공고 확인</x:v>
      </x:c>
      <x:c r="S158" s="17" t="str">
        <x:v>상세공고 확인</x:v>
      </x:c>
      <x:c r="T158" s="17" t="str">
        <x:v>상세공고 확인</x:v>
      </x:c>
      <x:c r="U158" s="17" t="str">
        <x:v>상세공고 확인</x:v>
      </x:c>
      <x:c r="V158" s="17" t="str">
        <x:v>목록 항목 확인</x:v>
      </x:c>
      <x:c r="W158" s="17" t="str">
        <x:v>공고 상세에서 확인</x:v>
      </x:c>
      <x:c r="X158" s="18" t="str">
        <x:v>https://job.alio.go.kr/recruitview.do?idx=304363</x:v>
      </x:c>
      <x:c r="Y158" s="1"/>
      <x:c r="Z158" s="1"/>
    </x:row>
    <x:row r="159" ht="54" customHeight="1">
      <x:c r="A159" s="17" t="n">
        <x:v>265</x:v>
      </x:c>
      <x:c r="B159" s="17" t="str">
        <x:v>중소기업은행</x:v>
      </x:c>
      <x:c r="C159" s="17" t="str">
        <x:v>IBK기업은행 전문계약직(보이스피싱 모니터링) 채용공고</x:v>
      </x:c>
      <x:c r="D159" s="17" t="str">
        <x:v>서울</x:v>
      </x:c>
      <x:c r="E159" s="17" t="str">
        <x:v>비정규직</x:v>
      </x:c>
      <x:c r="F159" s="17" t="str">
        <x:v>2026.09.04</x:v>
      </x:c>
      <x:c r="G159" s="17" t="str">
        <x:v>26.09.21 D-12</x:v>
      </x:c>
      <x:c r="H159" s="17" t="str">
        <x:v>기간제·비정규</x:v>
      </x:c>
      <x:c r="I159" s="17" t="str">
        <x:v>세부조건 확인</x:v>
      </x:c>
      <x:c r="J159" s="17" t="str">
        <x:v>제한 문구 미탐지</x:v>
      </x:c>
      <x:c r="K159" s="17" t="str">
        <x:v>상세공고 확인</x:v>
      </x:c>
      <x:c r="L159" s="17" t="str">
        <x:v>상세공고 확인</x:v>
      </x:c>
      <x:c r="M159" s="17" t="str">
        <x:v>상세공고 확인</x:v>
      </x:c>
      <x:c r="N159" s="17" t="str">
        <x:v>상세공고 확인</x:v>
      </x:c>
      <x:c r="O159" s="17" t="str">
        <x:v>상세공고 확인</x:v>
      </x:c>
      <x:c r="P159" s="17" t="str">
        <x:v>상세공고 확인</x:v>
      </x:c>
      <x:c r="Q159" s="17" t="str">
        <x:v>상세공고 확인</x:v>
      </x:c>
      <x:c r="R159" s="17" t="str">
        <x:v>상세공고 확인</x:v>
      </x:c>
      <x:c r="S159" s="17" t="str">
        <x:v>상세공고 확인</x:v>
      </x:c>
      <x:c r="T159" s="17" t="str">
        <x:v>상세공고 확인</x:v>
      </x:c>
      <x:c r="U159" s="17" t="str">
        <x:v>상세공고 확인</x:v>
      </x:c>
      <x:c r="V159" s="17" t="str">
        <x:v>목록 항목 확인</x:v>
      </x:c>
      <x:c r="W159" s="17" t="str">
        <x:v>공고 상세에서 확인</x:v>
      </x:c>
      <x:c r="X159" s="18" t="str">
        <x:v>https://job.alio.go.kr/recruitview.do?idx=304362</x:v>
      </x:c>
      <x:c r="Y159" s="1"/>
      <x:c r="Z159" s="1"/>
    </x:row>
    <x:row r="160" ht="54" customHeight="1">
      <x:c r="A160" s="17" t="n">
        <x:v>264</x:v>
      </x:c>
      <x:c r="B160" s="17" t="str">
        <x:v>중소기업은행</x:v>
      </x:c>
      <x:c r="C160" s="17" t="str">
        <x:v>IBK기업은행 전문계약직(한국변호사) 채용공고</x:v>
      </x:c>
      <x:c r="D160" s="17" t="str">
        <x:v>서울</x:v>
      </x:c>
      <x:c r="E160" s="17" t="str">
        <x:v>비정규직</x:v>
      </x:c>
      <x:c r="F160" s="17" t="str">
        <x:v>2026.09.04</x:v>
      </x:c>
      <x:c r="G160" s="17" t="str">
        <x:v>26.09.21 D-12</x:v>
      </x:c>
      <x:c r="H160" s="17" t="str">
        <x:v>경력·전문직</x:v>
      </x:c>
      <x:c r="I160" s="17" t="str">
        <x:v>경력·전문 우선</x:v>
      </x:c>
      <x:c r="J160" s="17" t="str">
        <x:v>제한 문구 미탐지</x:v>
      </x:c>
      <x:c r="K160" s="17" t="str">
        <x:v>상세공고 확인</x:v>
      </x:c>
      <x:c r="L160" s="17" t="str">
        <x:v>상세공고 확인</x:v>
      </x:c>
      <x:c r="M160" s="17" t="str">
        <x:v>상세공고 확인</x:v>
      </x:c>
      <x:c r="N160" s="17" t="str">
        <x:v>상세공고 확인</x:v>
      </x:c>
      <x:c r="O160" s="17" t="str">
        <x:v>상세공고 확인</x:v>
      </x:c>
      <x:c r="P160" s="17" t="str">
        <x:v>상세공고 확인</x:v>
      </x:c>
      <x:c r="Q160" s="17" t="str">
        <x:v>상세공고 확인</x:v>
      </x:c>
      <x:c r="R160" s="17" t="str">
        <x:v>상세공고 확인</x:v>
      </x:c>
      <x:c r="S160" s="17" t="str">
        <x:v>상세공고 확인</x:v>
      </x:c>
      <x:c r="T160" s="17" t="str">
        <x:v>상세공고 확인</x:v>
      </x:c>
      <x:c r="U160" s="17" t="str">
        <x:v>상세공고 확인</x:v>
      </x:c>
      <x:c r="V160" s="17" t="str">
        <x:v>목록 항목 확인</x:v>
      </x:c>
      <x:c r="W160" s="17" t="str">
        <x:v>공고 상세에서 확인</x:v>
      </x:c>
      <x:c r="X160" s="18" t="str">
        <x:v>https://job.alio.go.kr/recruitview.do?idx=304345</x:v>
      </x:c>
      <x:c r="Y160" s="1"/>
      <x:c r="Z160" s="1"/>
    </x:row>
    <x:row r="161" ht="54" customHeight="1">
      <x:c r="A161" s="17" t="n">
        <x:v>263</x:v>
      </x:c>
      <x:c r="B161" s="17" t="str">
        <x:v>중소기업은행</x:v>
      </x:c>
      <x:c r="C161" s="17" t="str">
        <x:v>IBK기업은행 전문계약직(감정평가사) 채용공고</x:v>
      </x:c>
      <x:c r="D161" s="17" t="str">
        <x:v>서울</x:v>
      </x:c>
      <x:c r="E161" s="17" t="str">
        <x:v>비정규직</x:v>
      </x:c>
      <x:c r="F161" s="17" t="str">
        <x:v>2026.09.04</x:v>
      </x:c>
      <x:c r="G161" s="17" t="str">
        <x:v>26.09.21 D-12</x:v>
      </x:c>
      <x:c r="H161" s="17" t="str">
        <x:v>기간제·비정규</x:v>
      </x:c>
      <x:c r="I161" s="17" t="str">
        <x:v>세부조건 확인</x:v>
      </x:c>
      <x:c r="J161" s="17" t="str">
        <x:v>제한 문구 미탐지</x:v>
      </x:c>
      <x:c r="K161" s="17" t="str">
        <x:v>상세공고 확인</x:v>
      </x:c>
      <x:c r="L161" s="17" t="str">
        <x:v>상세공고 확인</x:v>
      </x:c>
      <x:c r="M161" s="17" t="str">
        <x:v>상세공고 확인</x:v>
      </x:c>
      <x:c r="N161" s="17" t="str">
        <x:v>상세공고 확인</x:v>
      </x:c>
      <x:c r="O161" s="17" t="str">
        <x:v>상세공고 확인</x:v>
      </x:c>
      <x:c r="P161" s="17" t="str">
        <x:v>상세공고 확인</x:v>
      </x:c>
      <x:c r="Q161" s="17" t="str">
        <x:v>상세공고 확인</x:v>
      </x:c>
      <x:c r="R161" s="17" t="str">
        <x:v>상세공고 확인</x:v>
      </x:c>
      <x:c r="S161" s="17" t="str">
        <x:v>상세공고 확인</x:v>
      </x:c>
      <x:c r="T161" s="17" t="str">
        <x:v>상세공고 확인</x:v>
      </x:c>
      <x:c r="U161" s="17" t="str">
        <x:v>상세공고 확인</x:v>
      </x:c>
      <x:c r="V161" s="17" t="str">
        <x:v>목록 항목 확인</x:v>
      </x:c>
      <x:c r="W161" s="17" t="str">
        <x:v>공고 상세에서 확인</x:v>
      </x:c>
      <x:c r="X161" s="18" t="str">
        <x:v>https://job.alio.go.kr/recruitview.do?idx=304343</x:v>
      </x:c>
      <x:c r="Y161" s="1"/>
      <x:c r="Z161" s="1"/>
    </x:row>
    <x:row r="162" ht="54" customHeight="1">
      <x:c r="A162" s="17" t="n">
        <x:v>262</x:v>
      </x:c>
      <x:c r="B162" s="17" t="str">
        <x:v>중소기업은행</x:v>
      </x:c>
      <x:c r="C162" s="17" t="str">
        <x:v>IBK기업은행 전문계약직(군 전문위원) 채용공고</x:v>
      </x:c>
      <x:c r="D162" s="17" t="str">
        <x:v>서울</x:v>
      </x:c>
      <x:c r="E162" s="17" t="str">
        <x:v>비정규직</x:v>
      </x:c>
      <x:c r="F162" s="17" t="str">
        <x:v>2026.09.04</x:v>
      </x:c>
      <x:c r="G162" s="17" t="str">
        <x:v>26.09.21 D-12</x:v>
      </x:c>
      <x:c r="H162" s="17" t="str">
        <x:v>기간제·비정규</x:v>
      </x:c>
      <x:c r="I162" s="17" t="str">
        <x:v>세부조건 확인</x:v>
      </x:c>
      <x:c r="J162" s="17" t="str">
        <x:v>제한 문구 미탐지</x:v>
      </x:c>
      <x:c r="K162" s="17" t="str">
        <x:v>상세공고 확인</x:v>
      </x:c>
      <x:c r="L162" s="17" t="str">
        <x:v>상세공고 확인</x:v>
      </x:c>
      <x:c r="M162" s="17" t="str">
        <x:v>상세공고 확인</x:v>
      </x:c>
      <x:c r="N162" s="17" t="str">
        <x:v>상세공고 확인</x:v>
      </x:c>
      <x:c r="O162" s="17" t="str">
        <x:v>상세공고 확인</x:v>
      </x:c>
      <x:c r="P162" s="17" t="str">
        <x:v>상세공고 확인</x:v>
      </x:c>
      <x:c r="Q162" s="17" t="str">
        <x:v>상세공고 확인</x:v>
      </x:c>
      <x:c r="R162" s="17" t="str">
        <x:v>상세공고 확인</x:v>
      </x:c>
      <x:c r="S162" s="17" t="str">
        <x:v>상세공고 확인</x:v>
      </x:c>
      <x:c r="T162" s="17" t="str">
        <x:v>상세공고 확인</x:v>
      </x:c>
      <x:c r="U162" s="17" t="str">
        <x:v>상세공고 확인</x:v>
      </x:c>
      <x:c r="V162" s="17" t="str">
        <x:v>목록 항목 확인</x:v>
      </x:c>
      <x:c r="W162" s="17" t="str">
        <x:v>공고 상세에서 확인</x:v>
      </x:c>
      <x:c r="X162" s="18" t="str">
        <x:v>https://job.alio.go.kr/recruitview.do?idx=304342</x:v>
      </x:c>
      <x:c r="Y162" s="1"/>
      <x:c r="Z162" s="1"/>
    </x:row>
    <x:row r="163" ht="54" customHeight="1">
      <x:c r="A163" s="17" t="n">
        <x:v>261</x:v>
      </x:c>
      <x:c r="B163" s="17" t="str">
        <x:v>중소기업은행</x:v>
      </x:c>
      <x:c r="C163" s="17" t="str">
        <x:v>IBK기업은행 전문계약직(컨설턴트(세무회계)) 채용공고</x:v>
      </x:c>
      <x:c r="D163" s="17" t="str">
        <x:v>서울</x:v>
      </x:c>
      <x:c r="E163" s="17" t="str">
        <x:v>비정규직</x:v>
      </x:c>
      <x:c r="F163" s="17" t="str">
        <x:v>2026.09.04</x:v>
      </x:c>
      <x:c r="G163" s="17" t="str">
        <x:v>26.09.21 D-12</x:v>
      </x:c>
      <x:c r="H163" s="17" t="str">
        <x:v>기간제·비정규</x:v>
      </x:c>
      <x:c r="I163" s="17" t="str">
        <x:v>세부조건 확인</x:v>
      </x:c>
      <x:c r="J163" s="17" t="str">
        <x:v>제한 문구 미탐지</x:v>
      </x:c>
      <x:c r="K163" s="17" t="str">
        <x:v>상세공고 확인</x:v>
      </x:c>
      <x:c r="L163" s="17" t="str">
        <x:v>상세공고 확인</x:v>
      </x:c>
      <x:c r="M163" s="17" t="str">
        <x:v>상세공고 확인</x:v>
      </x:c>
      <x:c r="N163" s="17" t="str">
        <x:v>상세공고 확인</x:v>
      </x:c>
      <x:c r="O163" s="17" t="str">
        <x:v>상세공고 확인</x:v>
      </x:c>
      <x:c r="P163" s="17" t="str">
        <x:v>상세공고 확인</x:v>
      </x:c>
      <x:c r="Q163" s="17" t="str">
        <x:v>상세공고 확인</x:v>
      </x:c>
      <x:c r="R163" s="17" t="str">
        <x:v>상세공고 확인</x:v>
      </x:c>
      <x:c r="S163" s="17" t="str">
        <x:v>상세공고 확인</x:v>
      </x:c>
      <x:c r="T163" s="17" t="str">
        <x:v>상세공고 확인</x:v>
      </x:c>
      <x:c r="U163" s="17" t="str">
        <x:v>상세공고 확인</x:v>
      </x:c>
      <x:c r="V163" s="17" t="str">
        <x:v>목록 항목 확인</x:v>
      </x:c>
      <x:c r="W163" s="17" t="str">
        <x:v>공고 상세에서 확인</x:v>
      </x:c>
      <x:c r="X163" s="18" t="str">
        <x:v>https://job.alio.go.kr/recruitview.do?idx=304341</x:v>
      </x:c>
      <x:c r="Y163" s="1"/>
      <x:c r="Z163" s="1"/>
    </x:row>
    <x:row r="164" ht="54" customHeight="1">
      <x:c r="A164" s="17" t="n">
        <x:v>260</x:v>
      </x:c>
      <x:c r="B164" s="17" t="str">
        <x:v>중소기업은행</x:v>
      </x:c>
      <x:c r="C164" s="17" t="str">
        <x:v>IBK기업은행 일반계약직(나라사랑카드 영업지원) 채용공고</x:v>
      </x:c>
      <x:c r="D164" s="17" t="str">
        <x:v>서울 외 1</x:v>
      </x:c>
      <x:c r="E164" s="17" t="str">
        <x:v>비정규직</x:v>
      </x:c>
      <x:c r="F164" s="17" t="str">
        <x:v>2026.09.04</x:v>
      </x:c>
      <x:c r="G164" s="17" t="str">
        <x:v>26.09.21 D-12</x:v>
      </x:c>
      <x:c r="H164" s="17" t="str">
        <x:v>기간제·비정규</x:v>
      </x:c>
      <x:c r="I164" s="17" t="str">
        <x:v>세부조건 확인</x:v>
      </x:c>
      <x:c r="J164" s="17" t="str">
        <x:v>제한 문구 미탐지</x:v>
      </x:c>
      <x:c r="K164" s="17" t="str">
        <x:v>상세공고 확인</x:v>
      </x:c>
      <x:c r="L164" s="17" t="str">
        <x:v>상세공고 확인</x:v>
      </x:c>
      <x:c r="M164" s="17" t="str">
        <x:v>상세공고 확인</x:v>
      </x:c>
      <x:c r="N164" s="17" t="str">
        <x:v>상세공고 확인</x:v>
      </x:c>
      <x:c r="O164" s="17" t="str">
        <x:v>상세공고 확인</x:v>
      </x:c>
      <x:c r="P164" s="17" t="str">
        <x:v>상세공고 확인</x:v>
      </x:c>
      <x:c r="Q164" s="17" t="str">
        <x:v>상세공고 확인</x:v>
      </x:c>
      <x:c r="R164" s="17" t="str">
        <x:v>상세공고 확인</x:v>
      </x:c>
      <x:c r="S164" s="17" t="str">
        <x:v>상세공고 확인</x:v>
      </x:c>
      <x:c r="T164" s="17" t="str">
        <x:v>상세공고 확인</x:v>
      </x:c>
      <x:c r="U164" s="17" t="str">
        <x:v>상세공고 확인</x:v>
      </x:c>
      <x:c r="V164" s="17" t="str">
        <x:v>목록 항목 확인</x:v>
      </x:c>
      <x:c r="W164" s="17" t="str">
        <x:v>공고 상세에서 확인</x:v>
      </x:c>
      <x:c r="X164" s="18" t="str">
        <x:v>https://job.alio.go.kr/recruitview.do?idx=304340</x:v>
      </x:c>
      <x:c r="Y164" s="1"/>
      <x:c r="Z164" s="1"/>
    </x:row>
    <x:row r="165" ht="54" customHeight="1">
      <x:c r="A165" s="17" t="n">
        <x:v>259</x:v>
      </x:c>
      <x:c r="B165" s="17" t="str">
        <x:v>중소기업은행</x:v>
      </x:c>
      <x:c r="C165" s="17" t="str">
        <x:v>IBK기업은행 일반계약직(스포츠센터 트레이너) 채용공고</x:v>
      </x:c>
      <x:c r="D165" s="17" t="str">
        <x:v>경기</x:v>
      </x:c>
      <x:c r="E165" s="17" t="str">
        <x:v>비정규직</x:v>
      </x:c>
      <x:c r="F165" s="17" t="str">
        <x:v>2026.09.04</x:v>
      </x:c>
      <x:c r="G165" s="17" t="str">
        <x:v>26.09.21 D-12</x:v>
      </x:c>
      <x:c r="H165" s="17" t="str">
        <x:v>기간제·비정규</x:v>
      </x:c>
      <x:c r="I165" s="17" t="str">
        <x:v>세부조건 확인</x:v>
      </x:c>
      <x:c r="J165" s="17" t="str">
        <x:v>제한 문구 미탐지</x:v>
      </x:c>
      <x:c r="K165" s="17" t="str">
        <x:v>상세공고 확인</x:v>
      </x:c>
      <x:c r="L165" s="17" t="str">
        <x:v>상세공고 확인</x:v>
      </x:c>
      <x:c r="M165" s="17" t="str">
        <x:v>상세공고 확인</x:v>
      </x:c>
      <x:c r="N165" s="17" t="str">
        <x:v>상세공고 확인</x:v>
      </x:c>
      <x:c r="O165" s="17" t="str">
        <x:v>상세공고 확인</x:v>
      </x:c>
      <x:c r="P165" s="17" t="str">
        <x:v>상세공고 확인</x:v>
      </x:c>
      <x:c r="Q165" s="17" t="str">
        <x:v>상세공고 확인</x:v>
      </x:c>
      <x:c r="R165" s="17" t="str">
        <x:v>상세공고 확인</x:v>
      </x:c>
      <x:c r="S165" s="17" t="str">
        <x:v>상세공고 확인</x:v>
      </x:c>
      <x:c r="T165" s="17" t="str">
        <x:v>상세공고 확인</x:v>
      </x:c>
      <x:c r="U165" s="17" t="str">
        <x:v>상세공고 확인</x:v>
      </x:c>
      <x:c r="V165" s="17" t="str">
        <x:v>목록 항목 확인</x:v>
      </x:c>
      <x:c r="W165" s="17" t="str">
        <x:v>공고 상세에서 확인</x:v>
      </x:c>
      <x:c r="X165" s="18" t="str">
        <x:v>https://job.alio.go.kr/recruitview.do?idx=304339</x:v>
      </x:c>
      <x:c r="Y165" s="1"/>
      <x:c r="Z165" s="1"/>
    </x:row>
    <x:row r="166" ht="54" customHeight="1">
      <x:c r="A166" s="17" t="n">
        <x:v>258</x:v>
      </x:c>
      <x:c r="B166" s="17" t="str">
        <x:v>한국한의학연구원</x:v>
      </x:c>
      <x:c r="C166" s="17" t="str">
        <x:v>2026년 2차 박사후연구원 및 석사후연구원 공개채용 공고</x:v>
      </x:c>
      <x:c r="D166" s="17" t="str">
        <x:v>대전 외 2</x:v>
      </x:c>
      <x:c r="E166" s="17" t="str">
        <x:v>비정규직</x:v>
      </x:c>
      <x:c r="F166" s="17" t="str">
        <x:v>2026.09.03</x:v>
      </x:c>
      <x:c r="G166" s="17" t="str">
        <x:v>26.09.18 D-9</x:v>
      </x:c>
      <x:c r="H166" s="17" t="str">
        <x:v>경력·전문직</x:v>
      </x:c>
      <x:c r="I166" s="17" t="str">
        <x:v>경력·전문 우선</x:v>
      </x:c>
      <x:c r="J166" s="17" t="str">
        <x:v>제한 문구 미탐지</x:v>
      </x:c>
      <x:c r="K166" s="17" t="str">
        <x:v>상세공고 확인</x:v>
      </x:c>
      <x:c r="L166" s="17" t="str">
        <x:v>상세공고 확인</x:v>
      </x:c>
      <x:c r="M166" s="17" t="str">
        <x:v>상세공고 확인</x:v>
      </x:c>
      <x:c r="N166" s="17" t="str">
        <x:v>상세공고 확인</x:v>
      </x:c>
      <x:c r="O166" s="17" t="str">
        <x:v>상세공고 확인</x:v>
      </x:c>
      <x:c r="P166" s="17" t="str">
        <x:v>상세공고 확인</x:v>
      </x:c>
      <x:c r="Q166" s="17" t="str">
        <x:v>상세공고 확인</x:v>
      </x:c>
      <x:c r="R166" s="17" t="str">
        <x:v>상세공고 확인</x:v>
      </x:c>
      <x:c r="S166" s="17" t="str">
        <x:v>상세공고 확인</x:v>
      </x:c>
      <x:c r="T166" s="17" t="str">
        <x:v>상세공고 확인</x:v>
      </x:c>
      <x:c r="U166" s="17" t="str">
        <x:v>상세공고 확인</x:v>
      </x:c>
      <x:c r="V166" s="17" t="str">
        <x:v>목록 항목 확인</x:v>
      </x:c>
      <x:c r="W166" s="17" t="str">
        <x:v>공고 상세에서 확인</x:v>
      </x:c>
      <x:c r="X166" s="18" t="str">
        <x:v>https://job.alio.go.kr/recruitview.do?idx=304725</x:v>
      </x:c>
      <x:c r="Y166" s="1"/>
      <x:c r="Z166" s="1"/>
    </x:row>
    <x:row r="167" ht="54" customHeight="1">
      <x:c r="A167" s="17" t="n">
        <x:v>257</x:v>
      </x:c>
      <x:c r="B167" s="17" t="str">
        <x:v>대한적십자사</x:v>
      </x:c>
      <x:c r="C167" s="17" t="str">
        <x:v>대한적십자사 서울남부혈액원 비정규직 장애인 한시적 근로자 채용 공고</x:v>
      </x:c>
      <x:c r="D167" s="17" t="str">
        <x:v>서울</x:v>
      </x:c>
      <x:c r="E167" s="17" t="str">
        <x:v>비정규직</x:v>
      </x:c>
      <x:c r="F167" s="17" t="str">
        <x:v>2026.09.03</x:v>
      </x:c>
      <x:c r="G167" s="17" t="str">
        <x:v>26.09.18 D-9</x:v>
      </x:c>
      <x:c r="H167" s="17" t="str">
        <x:v>기간제·비정규</x:v>
      </x:c>
      <x:c r="I167" s="17" t="str">
        <x:v>세부조건 확인</x:v>
      </x:c>
      <x:c r="J167" s="17" t="str">
        <x:v>제한 문구 미탐지</x:v>
      </x:c>
      <x:c r="K167" s="17" t="str">
        <x:v>상세공고 확인</x:v>
      </x:c>
      <x:c r="L167" s="17" t="str">
        <x:v>상세공고 확인</x:v>
      </x:c>
      <x:c r="M167" s="17" t="str">
        <x:v>상세공고 확인</x:v>
      </x:c>
      <x:c r="N167" s="17" t="str">
        <x:v>상세공고 확인</x:v>
      </x:c>
      <x:c r="O167" s="17" t="str">
        <x:v>상세공고 확인</x:v>
      </x:c>
      <x:c r="P167" s="17" t="str">
        <x:v>상세공고 확인</x:v>
      </x:c>
      <x:c r="Q167" s="17" t="str">
        <x:v>상세공고 확인</x:v>
      </x:c>
      <x:c r="R167" s="17" t="str">
        <x:v>상세공고 확인</x:v>
      </x:c>
      <x:c r="S167" s="17" t="str">
        <x:v>상세공고 확인</x:v>
      </x:c>
      <x:c r="T167" s="17" t="str">
        <x:v>상세공고 확인</x:v>
      </x:c>
      <x:c r="U167" s="17" t="str">
        <x:v>상세공고 확인</x:v>
      </x:c>
      <x:c r="V167" s="17" t="str">
        <x:v>목록 항목 확인</x:v>
      </x:c>
      <x:c r="W167" s="17" t="str">
        <x:v>공고 상세에서 확인</x:v>
      </x:c>
      <x:c r="X167" s="18" t="str">
        <x:v>https://job.alio.go.kr/recruitview.do?idx=304624</x:v>
      </x:c>
      <x:c r="Y167" s="1"/>
      <x:c r="Z167" s="1"/>
    </x:row>
    <x:row r="168" ht="54" customHeight="1">
      <x:c r="A168" s="17" t="n">
        <x:v>256</x:v>
      </x:c>
      <x:c r="B168" s="17" t="str">
        <x:v>한국지식재산보호원</x:v>
      </x:c>
      <x:c r="C168" s="17" t="str">
        <x:v>[한국지식재산보호원] 2026년도 제9차 인력채용</x:v>
      </x:c>
      <x:c r="D168" s="17" t="str">
        <x:v>서울</x:v>
      </x:c>
      <x:c r="E168" s="17" t="str">
        <x:v>비정규직 외 2</x:v>
      </x:c>
      <x:c r="F168" s="17" t="str">
        <x:v>2026.09.03</x:v>
      </x:c>
      <x:c r="G168" s="17" t="str">
        <x:v>26.09.18 D-9</x:v>
      </x:c>
      <x:c r="H168" s="17" t="str">
        <x:v>기간제·비정규</x:v>
      </x:c>
      <x:c r="I168" s="17" t="str">
        <x:v>세부조건 확인</x:v>
      </x:c>
      <x:c r="J168" s="17" t="str">
        <x:v>제한 문구 미탐지</x:v>
      </x:c>
      <x:c r="K168" s="17" t="str">
        <x:v>상세공고 확인</x:v>
      </x:c>
      <x:c r="L168" s="17" t="str">
        <x:v>상세공고 확인</x:v>
      </x:c>
      <x:c r="M168" s="17" t="str">
        <x:v>상세공고 확인</x:v>
      </x:c>
      <x:c r="N168" s="17" t="str">
        <x:v>상세공고 확인</x:v>
      </x:c>
      <x:c r="O168" s="17" t="str">
        <x:v>상세공고 확인</x:v>
      </x:c>
      <x:c r="P168" s="17" t="str">
        <x:v>상세공고 확인</x:v>
      </x:c>
      <x:c r="Q168" s="17" t="str">
        <x:v>상세공고 확인</x:v>
      </x:c>
      <x:c r="R168" s="17" t="str">
        <x:v>상세공고 확인</x:v>
      </x:c>
      <x:c r="S168" s="17" t="str">
        <x:v>상세공고 확인</x:v>
      </x:c>
      <x:c r="T168" s="17" t="str">
        <x:v>상세공고 확인</x:v>
      </x:c>
      <x:c r="U168" s="17" t="str">
        <x:v>상세공고 확인</x:v>
      </x:c>
      <x:c r="V168" s="17" t="str">
        <x:v>목록 항목 확인</x:v>
      </x:c>
      <x:c r="W168" s="17" t="str">
        <x:v>공고 상세에서 확인</x:v>
      </x:c>
      <x:c r="X168" s="18" t="str">
        <x:v>https://job.alio.go.kr/recruitview.do?idx=304622</x:v>
      </x:c>
      <x:c r="Y168" s="1"/>
      <x:c r="Z168" s="1"/>
    </x:row>
    <x:row r="169" ht="54" customHeight="1">
      <x:c r="A169" s="17" t="n">
        <x:v>255</x:v>
      </x:c>
      <x:c r="B169" s="17" t="str">
        <x:v>한국지식재산보호원</x:v>
      </x:c>
      <x:c r="C169" s="17" t="str">
        <x:v>[한국지식재산보호원] 2026년도 제8차 인력채용</x:v>
      </x:c>
      <x:c r="D169" s="17" t="str">
        <x:v>서울</x:v>
      </x:c>
      <x:c r="E169" s="17" t="str">
        <x:v>비정규직 외 1</x:v>
      </x:c>
      <x:c r="F169" s="17" t="str">
        <x:v>2026.09.03</x:v>
      </x:c>
      <x:c r="G169" s="17" t="str">
        <x:v>26.09.18 D-9</x:v>
      </x:c>
      <x:c r="H169" s="17" t="str">
        <x:v>기간제·비정규</x:v>
      </x:c>
      <x:c r="I169" s="17" t="str">
        <x:v>세부조건 확인</x:v>
      </x:c>
      <x:c r="J169" s="17" t="str">
        <x:v>제한 문구 미탐지</x:v>
      </x:c>
      <x:c r="K169" s="17" t="str">
        <x:v>상세공고 확인</x:v>
      </x:c>
      <x:c r="L169" s="17" t="str">
        <x:v>상세공고 확인</x:v>
      </x:c>
      <x:c r="M169" s="17" t="str">
        <x:v>상세공고 확인</x:v>
      </x:c>
      <x:c r="N169" s="17" t="str">
        <x:v>상세공고 확인</x:v>
      </x:c>
      <x:c r="O169" s="17" t="str">
        <x:v>상세공고 확인</x:v>
      </x:c>
      <x:c r="P169" s="17" t="str">
        <x:v>상세공고 확인</x:v>
      </x:c>
      <x:c r="Q169" s="17" t="str">
        <x:v>상세공고 확인</x:v>
      </x:c>
      <x:c r="R169" s="17" t="str">
        <x:v>상세공고 확인</x:v>
      </x:c>
      <x:c r="S169" s="17" t="str">
        <x:v>상세공고 확인</x:v>
      </x:c>
      <x:c r="T169" s="17" t="str">
        <x:v>상세공고 확인</x:v>
      </x:c>
      <x:c r="U169" s="17" t="str">
        <x:v>상세공고 확인</x:v>
      </x:c>
      <x:c r="V169" s="17" t="str">
        <x:v>목록 항목 확인</x:v>
      </x:c>
      <x:c r="W169" s="17" t="str">
        <x:v>공고 상세에서 확인</x:v>
      </x:c>
      <x:c r="X169" s="18" t="str">
        <x:v>https://job.alio.go.kr/recruitview.do?idx=304621</x:v>
      </x:c>
      <x:c r="Y169" s="1"/>
      <x:c r="Z169" s="1"/>
    </x:row>
    <x:row r="170" ht="54" customHeight="1">
      <x:c r="A170" s="17" t="n">
        <x:v>254</x:v>
      </x:c>
      <x:c r="B170" s="17" t="str">
        <x:v>경북대학교병원</x:v>
      </x:c>
      <x:c r="C170" s="17" t="str">
        <x:v>2026년 계약형 지역필수의사 1차 초빙 공고</x:v>
      </x:c>
      <x:c r="D170" s="17" t="str">
        <x:v>대구</x:v>
      </x:c>
      <x:c r="E170" s="17" t="str">
        <x:v>정규직</x:v>
      </x:c>
      <x:c r="F170" s="17" t="str">
        <x:v>2026.09.03</x:v>
      </x:c>
      <x:c r="G170" s="17" t="str">
        <x:v>26.09.17 D-8</x:v>
      </x:c>
      <x:c r="H170" s="17" t="str">
        <x:v>정규직(세부 확인)</x:v>
      </x:c>
      <x:c r="I170" s="17" t="str">
        <x:v>세부조건 확인</x:v>
      </x:c>
      <x:c r="J170" s="17" t="str">
        <x:v>제한 문구 미탐지</x:v>
      </x:c>
      <x:c r="K170" s="17" t="str">
        <x:v>상세공고 확인</x:v>
      </x:c>
      <x:c r="L170" s="17" t="str">
        <x:v>상세공고 확인</x:v>
      </x:c>
      <x:c r="M170" s="17" t="str">
        <x:v>상세공고 확인</x:v>
      </x:c>
      <x:c r="N170" s="17" t="str">
        <x:v>상세공고 확인</x:v>
      </x:c>
      <x:c r="O170" s="17" t="str">
        <x:v>상세공고 확인</x:v>
      </x:c>
      <x:c r="P170" s="17" t="str">
        <x:v>상세공고 확인</x:v>
      </x:c>
      <x:c r="Q170" s="17" t="str">
        <x:v>상세공고 확인</x:v>
      </x:c>
      <x:c r="R170" s="17" t="str">
        <x:v>상세공고 확인</x:v>
      </x:c>
      <x:c r="S170" s="17" t="str">
        <x:v>상세공고 확인</x:v>
      </x:c>
      <x:c r="T170" s="17" t="str">
        <x:v>상세공고 확인</x:v>
      </x:c>
      <x:c r="U170" s="17" t="str">
        <x:v>상세공고 확인</x:v>
      </x:c>
      <x:c r="V170" s="17" t="str">
        <x:v>목록 항목 확인</x:v>
      </x:c>
      <x:c r="W170" s="17" t="str">
        <x:v>공고 상세에서 확인</x:v>
      </x:c>
      <x:c r="X170" s="18" t="str">
        <x:v>https://job.alio.go.kr/recruitview.do?idx=304618</x:v>
      </x:c>
      <x:c r="Y170" s="1"/>
      <x:c r="Z170" s="1"/>
    </x:row>
    <x:row r="171" ht="54" customHeight="1">
      <x:c r="A171" s="17" t="n">
        <x:v>253</x:v>
      </x:c>
      <x:c r="B171" s="17" t="str">
        <x:v>한국보훈복지의료공단</x:v>
      </x:c>
      <x:c r="C171" s="17" t="str">
        <x:v>[중앙보훈병원] 기간제 간호직 채용공고(9월)</x:v>
      </x:c>
      <x:c r="D171" s="17" t="str">
        <x:v>서울</x:v>
      </x:c>
      <x:c r="E171" s="17" t="str">
        <x:v>비정규직</x:v>
      </x:c>
      <x:c r="F171" s="17" t="str">
        <x:v>2026.09.03</x:v>
      </x:c>
      <x:c r="G171" s="17" t="str">
        <x:v>26.09.17 D-8</x:v>
      </x:c>
      <x:c r="H171" s="17" t="str">
        <x:v>기간제·비정규</x:v>
      </x:c>
      <x:c r="I171" s="17" t="str">
        <x:v>세부조건 확인</x:v>
      </x:c>
      <x:c r="J171" s="17" t="str">
        <x:v>제한 문구 미탐지</x:v>
      </x:c>
      <x:c r="K171" s="17" t="str">
        <x:v>상세공고 확인</x:v>
      </x:c>
      <x:c r="L171" s="17" t="str">
        <x:v>상세공고 확인</x:v>
      </x:c>
      <x:c r="M171" s="17" t="str">
        <x:v>상세공고 확인</x:v>
      </x:c>
      <x:c r="N171" s="17" t="str">
        <x:v>상세공고 확인</x:v>
      </x:c>
      <x:c r="O171" s="17" t="str">
        <x:v>상세공고 확인</x:v>
      </x:c>
      <x:c r="P171" s="17" t="str">
        <x:v>상세공고 확인</x:v>
      </x:c>
      <x:c r="Q171" s="17" t="str">
        <x:v>상세공고 확인</x:v>
      </x:c>
      <x:c r="R171" s="17" t="str">
        <x:v>상세공고 확인</x:v>
      </x:c>
      <x:c r="S171" s="17" t="str">
        <x:v>상세공고 확인</x:v>
      </x:c>
      <x:c r="T171" s="17" t="str">
        <x:v>상세공고 확인</x:v>
      </x:c>
      <x:c r="U171" s="17" t="str">
        <x:v>상세공고 확인</x:v>
      </x:c>
      <x:c r="V171" s="17" t="str">
        <x:v>목록 항목 확인</x:v>
      </x:c>
      <x:c r="W171" s="17" t="str">
        <x:v>공고 상세에서 확인</x:v>
      </x:c>
      <x:c r="X171" s="18" t="str">
        <x:v>https://job.alio.go.kr/recruitview.do?idx=304617</x:v>
      </x:c>
      <x:c r="Y171" s="1"/>
      <x:c r="Z171" s="1"/>
    </x:row>
    <x:row r="172" ht="54" customHeight="1">
      <x:c r="A172" s="17" t="n">
        <x:v>252</x:v>
      </x:c>
      <x:c r="B172" s="17" t="str">
        <x:v>한국산림복지진흥원</x:v>
      </x:c>
      <x:c r="C172" s="17" t="str">
        <x:v>2026년도 하반기 한국산림복지진흥원 공무직 채용 공고</x:v>
      </x:c>
      <x:c r="D172" s="17" t="str">
        <x:v>대전 외 5</x:v>
      </x:c>
      <x:c r="E172" s="17" t="str">
        <x:v>무기계약직</x:v>
      </x:c>
      <x:c r="F172" s="17" t="str">
        <x:v>2026.09.03</x:v>
      </x:c>
      <x:c r="G172" s="17" t="str">
        <x:v>26.09.21 D-12</x:v>
      </x:c>
      <x:c r="H172" s="17" t="str">
        <x:v>무기계약·공무직</x:v>
      </x:c>
      <x:c r="I172" s="17" t="str">
        <x:v>세부조건 확인</x:v>
      </x:c>
      <x:c r="J172" s="17" t="str">
        <x:v>제한 문구 미탐지</x:v>
      </x:c>
      <x:c r="K172" s="17" t="str">
        <x:v>상세공고 확인</x:v>
      </x:c>
      <x:c r="L172" s="17" t="str">
        <x:v>상세공고 확인</x:v>
      </x:c>
      <x:c r="M172" s="17" t="str">
        <x:v>상세공고 확인</x:v>
      </x:c>
      <x:c r="N172" s="17" t="str">
        <x:v>상세공고 확인</x:v>
      </x:c>
      <x:c r="O172" s="17" t="str">
        <x:v>상세공고 확인</x:v>
      </x:c>
      <x:c r="P172" s="17" t="str">
        <x:v>상세공고 확인</x:v>
      </x:c>
      <x:c r="Q172" s="17" t="str">
        <x:v>상세공고 확인</x:v>
      </x:c>
      <x:c r="R172" s="17" t="str">
        <x:v>상세공고 확인</x:v>
      </x:c>
      <x:c r="S172" s="17" t="str">
        <x:v>상세공고 확인</x:v>
      </x:c>
      <x:c r="T172" s="17" t="str">
        <x:v>상세공고 확인</x:v>
      </x:c>
      <x:c r="U172" s="17" t="str">
        <x:v>상세공고 확인</x:v>
      </x:c>
      <x:c r="V172" s="17" t="str">
        <x:v>목록 항목 확인</x:v>
      </x:c>
      <x:c r="W172" s="17" t="str">
        <x:v>공고 상세에서 확인</x:v>
      </x:c>
      <x:c r="X172" s="18" t="str">
        <x:v>https://job.alio.go.kr/recruitview.do?idx=304615</x:v>
      </x:c>
      <x:c r="Y172" s="1"/>
      <x:c r="Z172" s="1"/>
    </x:row>
    <x:row r="173" ht="54" customHeight="1">
      <x:c r="A173" s="17" t="n">
        <x:v>251</x:v>
      </x:c>
      <x:c r="B173" s="17" t="str">
        <x:v>한국산림복지진흥원</x:v>
      </x:c>
      <x:c r="C173" s="17" t="str">
        <x:v>2026년도 하반기 한국산림복지진흥원 정규직(5급, 6급) 채용 공고</x:v>
      </x:c>
      <x:c r="D173" s="17" t="str">
        <x:v>대전 외 10</x:v>
      </x:c>
      <x:c r="E173" s="17" t="str">
        <x:v>정규직</x:v>
      </x:c>
      <x:c r="F173" s="17" t="str">
        <x:v>2026.09.03</x:v>
      </x:c>
      <x:c r="G173" s="17" t="str">
        <x:v>26.09.21 D-12</x:v>
      </x:c>
      <x:c r="H173" s="17" t="str">
        <x:v>정규직(세부 확인)</x:v>
      </x:c>
      <x:c r="I173" s="17" t="str">
        <x:v>세부조건 확인</x:v>
      </x:c>
      <x:c r="J173" s="17" t="str">
        <x:v>제한 문구 미탐지</x:v>
      </x:c>
      <x:c r="K173" s="17" t="str">
        <x:v>상세공고 확인</x:v>
      </x:c>
      <x:c r="L173" s="17" t="str">
        <x:v>상세공고 확인</x:v>
      </x:c>
      <x:c r="M173" s="17" t="str">
        <x:v>상세공고 확인</x:v>
      </x:c>
      <x:c r="N173" s="17" t="str">
        <x:v>상세공고 확인</x:v>
      </x:c>
      <x:c r="O173" s="17" t="str">
        <x:v>상세공고 확인</x:v>
      </x:c>
      <x:c r="P173" s="17" t="str">
        <x:v>상세공고 확인</x:v>
      </x:c>
      <x:c r="Q173" s="17" t="str">
        <x:v>상세공고 확인</x:v>
      </x:c>
      <x:c r="R173" s="17" t="str">
        <x:v>상세공고 확인</x:v>
      </x:c>
      <x:c r="S173" s="17" t="str">
        <x:v>상세공고 확인</x:v>
      </x:c>
      <x:c r="T173" s="17" t="str">
        <x:v>상세공고 확인</x:v>
      </x:c>
      <x:c r="U173" s="17" t="str">
        <x:v>상세공고 확인</x:v>
      </x:c>
      <x:c r="V173" s="17" t="str">
        <x:v>목록 항목 확인</x:v>
      </x:c>
      <x:c r="W173" s="17" t="str">
        <x:v>공고 상세에서 확인</x:v>
      </x:c>
      <x:c r="X173" s="18" t="str">
        <x:v>https://job.alio.go.kr/recruitview.do?idx=304612</x:v>
      </x:c>
      <x:c r="Y173" s="1"/>
      <x:c r="Z173" s="1"/>
    </x:row>
    <x:row r="174" ht="54" customHeight="1">
      <x:c r="A174" s="17" t="n">
        <x:v>250</x:v>
      </x:c>
      <x:c r="B174" s="17" t="str">
        <x:v>한전KDN</x:v>
      </x:c>
      <x:c r="C174" s="17" t="str">
        <x:v>한전KDN(주) 전북사업처 AMI분야 일용근로자 모집 공고</x:v>
      </x:c>
      <x:c r="D174" s="17" t="str">
        <x:v>전북</x:v>
      </x:c>
      <x:c r="E174" s="17" t="str">
        <x:v>비정규직</x:v>
      </x:c>
      <x:c r="F174" s="17" t="str">
        <x:v>2026.09.03</x:v>
      </x:c>
      <x:c r="G174" s="17" t="str">
        <x:v>26.09.17 D-8</x:v>
      </x:c>
      <x:c r="H174" s="17" t="str">
        <x:v>기간제·비정규</x:v>
      </x:c>
      <x:c r="I174" s="17" t="str">
        <x:v>세부조건 확인</x:v>
      </x:c>
      <x:c r="J174" s="17" t="str">
        <x:v>제한 문구 미탐지</x:v>
      </x:c>
      <x:c r="K174" s="17" t="str">
        <x:v>상세공고 확인</x:v>
      </x:c>
      <x:c r="L174" s="17" t="str">
        <x:v>상세공고 확인</x:v>
      </x:c>
      <x:c r="M174" s="17" t="str">
        <x:v>상세공고 확인</x:v>
      </x:c>
      <x:c r="N174" s="17" t="str">
        <x:v>상세공고 확인</x:v>
      </x:c>
      <x:c r="O174" s="17" t="str">
        <x:v>상세공고 확인</x:v>
      </x:c>
      <x:c r="P174" s="17" t="str">
        <x:v>상세공고 확인</x:v>
      </x:c>
      <x:c r="Q174" s="17" t="str">
        <x:v>상세공고 확인</x:v>
      </x:c>
      <x:c r="R174" s="17" t="str">
        <x:v>상세공고 확인</x:v>
      </x:c>
      <x:c r="S174" s="17" t="str">
        <x:v>상세공고 확인</x:v>
      </x:c>
      <x:c r="T174" s="17" t="str">
        <x:v>상세공고 확인</x:v>
      </x:c>
      <x:c r="U174" s="17" t="str">
        <x:v>상세공고 확인</x:v>
      </x:c>
      <x:c r="V174" s="17" t="str">
        <x:v>목록 항목 확인</x:v>
      </x:c>
      <x:c r="W174" s="17" t="str">
        <x:v>공고 상세에서 확인</x:v>
      </x:c>
      <x:c r="X174" s="18" t="str">
        <x:v>https://job.alio.go.kr/recruitview.do?idx=304605</x:v>
      </x:c>
      <x:c r="Y174" s="1"/>
      <x:c r="Z174" s="1"/>
    </x:row>
    <x:row r="175" ht="54" customHeight="1">
      <x:c r="A175" s="17" t="n">
        <x:v>249</x:v>
      </x:c>
      <x:c r="B175" s="17" t="str">
        <x:v>코레일유통(주)</x:v>
      </x:c>
      <x:c r="C175" s="17" t="str">
        <x:v>코레일유통(주) 노무고문 공개모집 공고</x:v>
      </x:c>
      <x:c r="D175" s="17" t="str">
        <x:v>서울</x:v>
      </x:c>
      <x:c r="E175" s="17" t="str">
        <x:v>비정규직</x:v>
      </x:c>
      <x:c r="F175" s="17" t="str">
        <x:v>2026.09.03</x:v>
      </x:c>
      <x:c r="G175" s="17" t="str">
        <x:v>26.09.17 D-8</x:v>
      </x:c>
      <x:c r="H175" s="17" t="str">
        <x:v>기간제·비정규</x:v>
      </x:c>
      <x:c r="I175" s="17" t="str">
        <x:v>세부조건 확인</x:v>
      </x:c>
      <x:c r="J175" s="17" t="str">
        <x:v>제한 문구 미탐지</x:v>
      </x:c>
      <x:c r="K175" s="17" t="str">
        <x:v>상세공고 확인</x:v>
      </x:c>
      <x:c r="L175" s="17" t="str">
        <x:v>상세공고 확인</x:v>
      </x:c>
      <x:c r="M175" s="17" t="str">
        <x:v>상세공고 확인</x:v>
      </x:c>
      <x:c r="N175" s="17" t="str">
        <x:v>상세공고 확인</x:v>
      </x:c>
      <x:c r="O175" s="17" t="str">
        <x:v>상세공고 확인</x:v>
      </x:c>
      <x:c r="P175" s="17" t="str">
        <x:v>상세공고 확인</x:v>
      </x:c>
      <x:c r="Q175" s="17" t="str">
        <x:v>상세공고 확인</x:v>
      </x:c>
      <x:c r="R175" s="17" t="str">
        <x:v>상세공고 확인</x:v>
      </x:c>
      <x:c r="S175" s="17" t="str">
        <x:v>상세공고 확인</x:v>
      </x:c>
      <x:c r="T175" s="17" t="str">
        <x:v>상세공고 확인</x:v>
      </x:c>
      <x:c r="U175" s="17" t="str">
        <x:v>상세공고 확인</x:v>
      </x:c>
      <x:c r="V175" s="17" t="str">
        <x:v>목록 항목 확인</x:v>
      </x:c>
      <x:c r="W175" s="17" t="str">
        <x:v>공고 상세에서 확인</x:v>
      </x:c>
      <x:c r="X175" s="18" t="str">
        <x:v>https://job.alio.go.kr/recruitview.do?idx=304602</x:v>
      </x:c>
      <x:c r="Y175" s="1"/>
      <x:c r="Z175" s="1"/>
    </x:row>
    <x:row r="176" ht="54" customHeight="1">
      <x:c r="A176" s="17" t="n">
        <x:v>248</x:v>
      </x:c>
      <x:c r="B176" s="17" t="str">
        <x:v>(재)우체국물류지원단</x:v>
      </x:c>
      <x:c r="C176" s="17" t="str">
        <x:v>우체국물류지원단 광주지사 광주, 순천, 영암, 전주사업소 추석 특별소통 단기 기간제(운전직, 상하차) 채용 공고</x:v>
      </x:c>
      <x:c r="D176" s="17" t="str">
        <x:v>전북 외 1</x:v>
      </x:c>
      <x:c r="E176" s="17" t="str">
        <x:v>비정규직</x:v>
      </x:c>
      <x:c r="F176" s="17" t="str">
        <x:v>2026.09.03</x:v>
      </x:c>
      <x:c r="G176" s="17" t="str">
        <x:v>26.09.11 D-2</x:v>
      </x:c>
      <x:c r="H176" s="17" t="str">
        <x:v>기간제·비정규</x:v>
      </x:c>
      <x:c r="I176" s="17" t="str">
        <x:v>세부조건 확인</x:v>
      </x:c>
      <x:c r="J176" s="17" t="str">
        <x:v>제한 문구 미탐지</x:v>
      </x:c>
      <x:c r="K176" s="17" t="str">
        <x:v>상세공고 확인</x:v>
      </x:c>
      <x:c r="L176" s="17" t="str">
        <x:v>상세공고 확인</x:v>
      </x:c>
      <x:c r="M176" s="17" t="str">
        <x:v>상세공고 확인</x:v>
      </x:c>
      <x:c r="N176" s="17" t="str">
        <x:v>상세공고 확인</x:v>
      </x:c>
      <x:c r="O176" s="17" t="str">
        <x:v>상세공고 확인</x:v>
      </x:c>
      <x:c r="P176" s="17" t="str">
        <x:v>상세공고 확인</x:v>
      </x:c>
      <x:c r="Q176" s="17" t="str">
        <x:v>상세공고 확인</x:v>
      </x:c>
      <x:c r="R176" s="17" t="str">
        <x:v>상세공고 확인</x:v>
      </x:c>
      <x:c r="S176" s="17" t="str">
        <x:v>상세공고 확인</x:v>
      </x:c>
      <x:c r="T176" s="17" t="str">
        <x:v>상세공고 확인</x:v>
      </x:c>
      <x:c r="U176" s="17" t="str">
        <x:v>상세공고 확인</x:v>
      </x:c>
      <x:c r="V176" s="17" t="str">
        <x:v>목록 항목 확인</x:v>
      </x:c>
      <x:c r="W176" s="17" t="str">
        <x:v>공고 상세에서 확인</x:v>
      </x:c>
      <x:c r="X176" s="18" t="str">
        <x:v>https://job.alio.go.kr/recruitview.do?idx=304594</x:v>
      </x:c>
      <x:c r="Y176" s="1"/>
      <x:c r="Z176" s="1"/>
    </x:row>
    <x:row r="177" ht="54" customHeight="1">
      <x:c r="A177" s="17" t="n">
        <x:v>247</x:v>
      </x:c>
      <x:c r="B177" s="17" t="str">
        <x:v>한국수자원공사</x:v>
      </x:c>
      <x:c r="C177" s="17" t="str">
        <x:v>[한국수자원공사] 장흥수도지사 특수직(지방상수도 시설운영) 채용 공고</x:v>
      </x:c>
      <x:c r="D177" s="17" t="str">
        <x:v>전남광주</x:v>
      </x:c>
      <x:c r="E177" s="17" t="str">
        <x:v>비정규직</x:v>
      </x:c>
      <x:c r="F177" s="17" t="str">
        <x:v>2026.09.03</x:v>
      </x:c>
      <x:c r="G177" s="17" t="str">
        <x:v>26.09.17 D-8</x:v>
      </x:c>
      <x:c r="H177" s="17" t="str">
        <x:v>기간제·비정규</x:v>
      </x:c>
      <x:c r="I177" s="17" t="str">
        <x:v>세부조건 확인</x:v>
      </x:c>
      <x:c r="J177" s="17" t="str">
        <x:v>제한 문구 미탐지</x:v>
      </x:c>
      <x:c r="K177" s="17" t="str">
        <x:v>상세공고 확인</x:v>
      </x:c>
      <x:c r="L177" s="17" t="str">
        <x:v>상세공고 확인</x:v>
      </x:c>
      <x:c r="M177" s="17" t="str">
        <x:v>상세공고 확인</x:v>
      </x:c>
      <x:c r="N177" s="17" t="str">
        <x:v>상세공고 확인</x:v>
      </x:c>
      <x:c r="O177" s="17" t="str">
        <x:v>상세공고 확인</x:v>
      </x:c>
      <x:c r="P177" s="17" t="str">
        <x:v>상세공고 확인</x:v>
      </x:c>
      <x:c r="Q177" s="17" t="str">
        <x:v>상세공고 확인</x:v>
      </x:c>
      <x:c r="R177" s="17" t="str">
        <x:v>상세공고 확인</x:v>
      </x:c>
      <x:c r="S177" s="17" t="str">
        <x:v>상세공고 확인</x:v>
      </x:c>
      <x:c r="T177" s="17" t="str">
        <x:v>상세공고 확인</x:v>
      </x:c>
      <x:c r="U177" s="17" t="str">
        <x:v>상세공고 확인</x:v>
      </x:c>
      <x:c r="V177" s="17" t="str">
        <x:v>목록 항목 확인</x:v>
      </x:c>
      <x:c r="W177" s="17" t="str">
        <x:v>공고 상세에서 확인</x:v>
      </x:c>
      <x:c r="X177" s="18" t="str">
        <x:v>https://job.alio.go.kr/recruitview.do?idx=304591</x:v>
      </x:c>
      <x:c r="Y177" s="1"/>
      <x:c r="Z177" s="1"/>
    </x:row>
    <x:row r="178" ht="54" customHeight="1">
      <x:c r="A178" s="17" t="n">
        <x:v>246</x:v>
      </x:c>
      <x:c r="B178" s="17" t="str">
        <x:v>국립공원공단</x:v>
      </x:c>
      <x:c r="C178" s="17" t="str">
        <x:v>[금정산] 2026년 국립공원지킴이(녹색순찰대) 모집 공고(양산시)</x:v>
      </x:c>
      <x:c r="D178" s="17" t="str">
        <x:v>경남</x:v>
      </x:c>
      <x:c r="E178" s="17" t="str">
        <x:v>비정규직</x:v>
      </x:c>
      <x:c r="F178" s="17" t="str">
        <x:v>2026.09.03</x:v>
      </x:c>
      <x:c r="G178" s="17" t="str">
        <x:v>26.09.14 D-5</x:v>
      </x:c>
      <x:c r="H178" s="17" t="str">
        <x:v>기간제·비정규</x:v>
      </x:c>
      <x:c r="I178" s="17" t="str">
        <x:v>세부조건 확인</x:v>
      </x:c>
      <x:c r="J178" s="17" t="str">
        <x:v>제한 문구 미탐지</x:v>
      </x:c>
      <x:c r="K178" s="17" t="str">
        <x:v>상세공고 확인</x:v>
      </x:c>
      <x:c r="L178" s="17" t="str">
        <x:v>상세공고 확인</x:v>
      </x:c>
      <x:c r="M178" s="17" t="str">
        <x:v>상세공고 확인</x:v>
      </x:c>
      <x:c r="N178" s="17" t="str">
        <x:v>상세공고 확인</x:v>
      </x:c>
      <x:c r="O178" s="17" t="str">
        <x:v>상세공고 확인</x:v>
      </x:c>
      <x:c r="P178" s="17" t="str">
        <x:v>상세공고 확인</x:v>
      </x:c>
      <x:c r="Q178" s="17" t="str">
        <x:v>상세공고 확인</x:v>
      </x:c>
      <x:c r="R178" s="17" t="str">
        <x:v>상세공고 확인</x:v>
      </x:c>
      <x:c r="S178" s="17" t="str">
        <x:v>상세공고 확인</x:v>
      </x:c>
      <x:c r="T178" s="17" t="str">
        <x:v>상세공고 확인</x:v>
      </x:c>
      <x:c r="U178" s="17" t="str">
        <x:v>상세공고 확인</x:v>
      </x:c>
      <x:c r="V178" s="17" t="str">
        <x:v>목록 항목 확인</x:v>
      </x:c>
      <x:c r="W178" s="17" t="str">
        <x:v>공고 상세에서 확인</x:v>
      </x:c>
      <x:c r="X178" s="18" t="str">
        <x:v>https://job.alio.go.kr/recruitview.do?idx=304590</x:v>
      </x:c>
      <x:c r="Y178" s="1"/>
      <x:c r="Z178" s="1"/>
    </x:row>
    <x:row r="179" ht="54" customHeight="1">
      <x:c r="A179" s="17" t="n">
        <x:v>245</x:v>
      </x:c>
      <x:c r="B179" s="17" t="str">
        <x:v>국립공원공단</x:v>
      </x:c>
      <x:c r="C179" s="17" t="str">
        <x:v>[금정산] 2026년 국립공원지킴이(녹색순찰대) 모집 공고(부산광역시)</x:v>
      </x:c>
      <x:c r="D179" s="17" t="str">
        <x:v>부산</x:v>
      </x:c>
      <x:c r="E179" s="17" t="str">
        <x:v>비정규직</x:v>
      </x:c>
      <x:c r="F179" s="17" t="str">
        <x:v>2026.09.03</x:v>
      </x:c>
      <x:c r="G179" s="17" t="str">
        <x:v>26.09.14 D-5</x:v>
      </x:c>
      <x:c r="H179" s="17" t="str">
        <x:v>기간제·비정규</x:v>
      </x:c>
      <x:c r="I179" s="17" t="str">
        <x:v>세부조건 확인</x:v>
      </x:c>
      <x:c r="J179" s="17" t="str">
        <x:v>제한 문구 미탐지</x:v>
      </x:c>
      <x:c r="K179" s="17" t="str">
        <x:v>상세공고 확인</x:v>
      </x:c>
      <x:c r="L179" s="17" t="str">
        <x:v>상세공고 확인</x:v>
      </x:c>
      <x:c r="M179" s="17" t="str">
        <x:v>상세공고 확인</x:v>
      </x:c>
      <x:c r="N179" s="17" t="str">
        <x:v>상세공고 확인</x:v>
      </x:c>
      <x:c r="O179" s="17" t="str">
        <x:v>상세공고 확인</x:v>
      </x:c>
      <x:c r="P179" s="17" t="str">
        <x:v>상세공고 확인</x:v>
      </x:c>
      <x:c r="Q179" s="17" t="str">
        <x:v>상세공고 확인</x:v>
      </x:c>
      <x:c r="R179" s="17" t="str">
        <x:v>상세공고 확인</x:v>
      </x:c>
      <x:c r="S179" s="17" t="str">
        <x:v>상세공고 확인</x:v>
      </x:c>
      <x:c r="T179" s="17" t="str">
        <x:v>상세공고 확인</x:v>
      </x:c>
      <x:c r="U179" s="17" t="str">
        <x:v>상세공고 확인</x:v>
      </x:c>
      <x:c r="V179" s="17" t="str">
        <x:v>목록 항목 확인</x:v>
      </x:c>
      <x:c r="W179" s="17" t="str">
        <x:v>공고 상세에서 확인</x:v>
      </x:c>
      <x:c r="X179" s="18" t="str">
        <x:v>https://job.alio.go.kr/recruitview.do?idx=304589</x:v>
      </x:c>
      <x:c r="Y179" s="1"/>
      <x:c r="Z179" s="1"/>
    </x:row>
    <x:row r="180" ht="54" customHeight="1">
      <x:c r="A180" s="17" t="n">
        <x:v>244</x:v>
      </x:c>
      <x:c r="B180" s="17" t="str">
        <x:v>주택관리공단(주)</x:v>
      </x:c>
      <x:c r="C180" s="17" t="str">
        <x:v>육아휴직 대체직 채용공고(주택관리공단 대구경북지사)</x:v>
      </x:c>
      <x:c r="D180" s="17" t="str">
        <x:v>경북</x:v>
      </x:c>
      <x:c r="E180" s="17" t="str">
        <x:v>비정규직</x:v>
      </x:c>
      <x:c r="F180" s="17" t="str">
        <x:v>2026.09.03</x:v>
      </x:c>
      <x:c r="G180" s="17" t="str">
        <x:v>26.09.10 D-1</x:v>
      </x:c>
      <x:c r="H180" s="17" t="str">
        <x:v>기간제·비정규</x:v>
      </x:c>
      <x:c r="I180" s="17" t="str">
        <x:v>세부조건 확인</x:v>
      </x:c>
      <x:c r="J180" s="17" t="str">
        <x:v>제한 문구 미탐지</x:v>
      </x:c>
      <x:c r="K180" s="17" t="str">
        <x:v>상세공고 확인</x:v>
      </x:c>
      <x:c r="L180" s="17" t="str">
        <x:v>상세공고 확인</x:v>
      </x:c>
      <x:c r="M180" s="17" t="str">
        <x:v>상세공고 확인</x:v>
      </x:c>
      <x:c r="N180" s="17" t="str">
        <x:v>상세공고 확인</x:v>
      </x:c>
      <x:c r="O180" s="17" t="str">
        <x:v>상세공고 확인</x:v>
      </x:c>
      <x:c r="P180" s="17" t="str">
        <x:v>상세공고 확인</x:v>
      </x:c>
      <x:c r="Q180" s="17" t="str">
        <x:v>상세공고 확인</x:v>
      </x:c>
      <x:c r="R180" s="17" t="str">
        <x:v>상세공고 확인</x:v>
      </x:c>
      <x:c r="S180" s="17" t="str">
        <x:v>상세공고 확인</x:v>
      </x:c>
      <x:c r="T180" s="17" t="str">
        <x:v>상세공고 확인</x:v>
      </x:c>
      <x:c r="U180" s="17" t="str">
        <x:v>상세공고 확인</x:v>
      </x:c>
      <x:c r="V180" s="17" t="str">
        <x:v>목록 항목 확인</x:v>
      </x:c>
      <x:c r="W180" s="17" t="str">
        <x:v>공고 상세에서 확인</x:v>
      </x:c>
      <x:c r="X180" s="18" t="str">
        <x:v>https://job.alio.go.kr/recruitview.do?idx=304588</x:v>
      </x:c>
      <x:c r="Y180" s="1"/>
      <x:c r="Z180" s="1"/>
    </x:row>
    <x:row r="181" ht="54" customHeight="1">
      <x:c r="A181" s="17" t="n">
        <x:v>243</x:v>
      </x:c>
      <x:c r="B181" s="17" t="str">
        <x:v>주택관리공단(주)</x:v>
      </x:c>
      <x:c r="C181" s="17" t="str">
        <x:v>채용형 인턴 채용공고(주택관리공단 대구경북지사)</x:v>
      </x:c>
      <x:c r="D181" s="17" t="str">
        <x:v>대구</x:v>
      </x:c>
      <x:c r="E181" s="17" t="str">
        <x:v>청년인턴(채용형)</x:v>
      </x:c>
      <x:c r="F181" s="17" t="str">
        <x:v>2026.09.03</x:v>
      </x:c>
      <x:c r="G181" s="17" t="str">
        <x:v>26.09.10 D-1</x:v>
      </x:c>
      <x:c r="H181" s="17" t="str">
        <x:v>신입·채용형 인턴</x:v>
      </x:c>
      <x:c r="I181" s="17" t="str">
        <x:v>우선검토</x:v>
      </x:c>
      <x:c r="J181" s="17" t="str">
        <x:v>제한 문구 미탐지</x:v>
      </x:c>
      <x:c r="K181" s="17" t="str">
        <x:v>신입+경력</x:v>
      </x:c>
      <x:c r="L181" s="17" t="str">
        <x:v>학력무관</x:v>
      </x:c>
      <x:c r="M181" s="17" t="str">
        <x:v>1명</x:v>
      </x:c>
      <x:c r="N181" s="17" t="str">
        <x:v>건설,기계,전기.전자,환경.에너지.안전</x:v>
      </x:c>
      <x:c r="O181" s="17" t="str">
        <x:v>장애인,국민기초생활보장 수급자, 공동주택관리 기술업무 수행에 필요한 자격증 소지자</x:v>
      </x:c>
      <x:c r="P181" s="17" t="str">
        <x:v>명시 있음</x:v>
      </x:c>
      <x:c r="Q181" s="17" t="str">
        <x:v>상세공고 확인</x:v>
      </x:c>
      <x:c r="R181" s="17" t="str">
        <x:v>○ 응시자격 · 학력, 어학, 성별, 연령 : 제한없음 · 병역 : ?병역법? 제76조에서 정한 병역의무 불이행 사실이 없는 자 * 단, 최종 합격자 발표일까지 전역예정자로서 전형절차에 응시 가능자 지원 가능 · 기타 : 공단 직원채용 결격사유에 해당되지 않는 자</x:v>
      </x:c>
      <x:c r="S181" s="17" t="str">
        <x:v>어학</x:v>
      </x:c>
      <x:c r="T181" s="17" t="str">
        <x:v>○ 채용절차 1. 채용공고 2. 입사지원서 작성 및 제출 3. 1차 서류전형 4. 1차 서류전형 합격자 발표 5. 2차 면접전형 6. 2차 면접전형 합격자 발표 7. 결격사유 확인 8. 최종합격자 발표 9. 임용 ○ 채용방법 - 국가직무능력표준(NCS)에 기반하여 직업능력(직업기초능력+직무수행능력)평가</x:v>
      </x:c>
      <x:c r="U181" s="17" t="str">
        <x:v>2차 면접전형 6 / 2차 면접전형 합격자 발표 7</x:v>
      </x:c>
      <x:c r="V181" s="17" t="str">
        <x:v>상세 페이지 확인</x:v>
      </x:c>
      <x:c r="W181" s="17" t="str">
        <x:v>http://www.kohom.or.kr/</x:v>
      </x:c>
      <x:c r="X181" s="18" t="str">
        <x:v>https://job.alio.go.kr/recruitview.do?idx=304587</x:v>
      </x:c>
      <x:c r="Y181" s="1"/>
      <x:c r="Z181" s="1"/>
    </x:row>
    <x:row r="182" ht="54" customHeight="1">
      <x:c r="A182" s="17" t="n">
        <x:v>242</x:v>
      </x:c>
      <x:c r="B182" s="17" t="str">
        <x:v>주택관리공단(주)</x:v>
      </x:c>
      <x:c r="C182" s="17" t="str">
        <x:v>육아휴직 대체직 채용공고(주택관리공단 전북지사)</x:v>
      </x:c>
      <x:c r="D182" s="17" t="str">
        <x:v>전북</x:v>
      </x:c>
      <x:c r="E182" s="17" t="str">
        <x:v>비정규직</x:v>
      </x:c>
      <x:c r="F182" s="17" t="str">
        <x:v>2026.09.03</x:v>
      </x:c>
      <x:c r="G182" s="17" t="str">
        <x:v>26.09.10 D-1</x:v>
      </x:c>
      <x:c r="H182" s="17" t="str">
        <x:v>기간제·비정규</x:v>
      </x:c>
      <x:c r="I182" s="17" t="str">
        <x:v>세부조건 확인</x:v>
      </x:c>
      <x:c r="J182" s="17" t="str">
        <x:v>제한 문구 미탐지</x:v>
      </x:c>
      <x:c r="K182" s="17" t="str">
        <x:v>상세공고 확인</x:v>
      </x:c>
      <x:c r="L182" s="17" t="str">
        <x:v>상세공고 확인</x:v>
      </x:c>
      <x:c r="M182" s="17" t="str">
        <x:v>상세공고 확인</x:v>
      </x:c>
      <x:c r="N182" s="17" t="str">
        <x:v>상세공고 확인</x:v>
      </x:c>
      <x:c r="O182" s="17" t="str">
        <x:v>상세공고 확인</x:v>
      </x:c>
      <x:c r="P182" s="17" t="str">
        <x:v>상세공고 확인</x:v>
      </x:c>
      <x:c r="Q182" s="17" t="str">
        <x:v>상세공고 확인</x:v>
      </x:c>
      <x:c r="R182" s="17" t="str">
        <x:v>상세공고 확인</x:v>
      </x:c>
      <x:c r="S182" s="17" t="str">
        <x:v>상세공고 확인</x:v>
      </x:c>
      <x:c r="T182" s="17" t="str">
        <x:v>상세공고 확인</x:v>
      </x:c>
      <x:c r="U182" s="17" t="str">
        <x:v>상세공고 확인</x:v>
      </x:c>
      <x:c r="V182" s="17" t="str">
        <x:v>목록 항목 확인</x:v>
      </x:c>
      <x:c r="W182" s="17" t="str">
        <x:v>공고 상세에서 확인</x:v>
      </x:c>
      <x:c r="X182" s="18" t="str">
        <x:v>https://job.alio.go.kr/recruitview.do?idx=304586</x:v>
      </x:c>
      <x:c r="Y182" s="1"/>
      <x:c r="Z182" s="1"/>
    </x:row>
    <x:row r="183" ht="54" customHeight="1">
      <x:c r="A183" s="17" t="n">
        <x:v>241</x:v>
      </x:c>
      <x:c r="B183" s="17" t="str">
        <x:v>한전KPS(주)</x:v>
      </x:c>
      <x:c r="C183" s="17" t="str">
        <x:v>한전KPS(주) 서울경기전력지사 군포지점 단기노무원(부지정리) 모집</x:v>
      </x:c>
      <x:c r="D183" s="17" t="str">
        <x:v>서울 외 1</x:v>
      </x:c>
      <x:c r="E183" s="17" t="str">
        <x:v>비정규직</x:v>
      </x:c>
      <x:c r="F183" s="17" t="str">
        <x:v>2026.09.03</x:v>
      </x:c>
      <x:c r="G183" s="17" t="str">
        <x:v>26.09.11 D-2</x:v>
      </x:c>
      <x:c r="H183" s="17" t="str">
        <x:v>기간제·비정규</x:v>
      </x:c>
      <x:c r="I183" s="17" t="str">
        <x:v>세부조건 확인</x:v>
      </x:c>
      <x:c r="J183" s="17" t="str">
        <x:v>제한 문구 미탐지</x:v>
      </x:c>
      <x:c r="K183" s="17" t="str">
        <x:v>상세공고 확인</x:v>
      </x:c>
      <x:c r="L183" s="17" t="str">
        <x:v>상세공고 확인</x:v>
      </x:c>
      <x:c r="M183" s="17" t="str">
        <x:v>상세공고 확인</x:v>
      </x:c>
      <x:c r="N183" s="17" t="str">
        <x:v>상세공고 확인</x:v>
      </x:c>
      <x:c r="O183" s="17" t="str">
        <x:v>상세공고 확인</x:v>
      </x:c>
      <x:c r="P183" s="17" t="str">
        <x:v>상세공고 확인</x:v>
      </x:c>
      <x:c r="Q183" s="17" t="str">
        <x:v>상세공고 확인</x:v>
      </x:c>
      <x:c r="R183" s="17" t="str">
        <x:v>상세공고 확인</x:v>
      </x:c>
      <x:c r="S183" s="17" t="str">
        <x:v>상세공고 확인</x:v>
      </x:c>
      <x:c r="T183" s="17" t="str">
        <x:v>상세공고 확인</x:v>
      </x:c>
      <x:c r="U183" s="17" t="str">
        <x:v>상세공고 확인</x:v>
      </x:c>
      <x:c r="V183" s="17" t="str">
        <x:v>목록 항목 확인</x:v>
      </x:c>
      <x:c r="W183" s="17" t="str">
        <x:v>공고 상세에서 확인</x:v>
      </x:c>
      <x:c r="X183" s="18" t="str">
        <x:v>https://job.alio.go.kr/recruitview.do?idx=304582</x:v>
      </x:c>
      <x:c r="Y183" s="1"/>
      <x:c r="Z183" s="1"/>
    </x:row>
    <x:row r="184" ht="54" customHeight="1">
      <x:c r="A184" s="17" t="n">
        <x:v>240</x:v>
      </x:c>
      <x:c r="B184" s="17" t="str">
        <x:v>국립공원공단</x:v>
      </x:c>
      <x:c r="C184" s="17" t="str">
        <x:v>[지리산전남] 가을성수기 기간제(수익시설 2차) 직원 채용 공고</x:v>
      </x:c>
      <x:c r="D184" s="17" t="str">
        <x:v>전남광주</x:v>
      </x:c>
      <x:c r="E184" s="17" t="str">
        <x:v>비정규직</x:v>
      </x:c>
      <x:c r="F184" s="17" t="str">
        <x:v>2026.09.03</x:v>
      </x:c>
      <x:c r="G184" s="17" t="str">
        <x:v>26.09.09 D+0</x:v>
      </x:c>
      <x:c r="H184" s="17" t="str">
        <x:v>기간제·비정규</x:v>
      </x:c>
      <x:c r="I184" s="17" t="str">
        <x:v>세부조건 확인</x:v>
      </x:c>
      <x:c r="J184" s="17" t="str">
        <x:v>제한 문구 미탐지</x:v>
      </x:c>
      <x:c r="K184" s="17" t="str">
        <x:v>상세공고 확인</x:v>
      </x:c>
      <x:c r="L184" s="17" t="str">
        <x:v>상세공고 확인</x:v>
      </x:c>
      <x:c r="M184" s="17" t="str">
        <x:v>상세공고 확인</x:v>
      </x:c>
      <x:c r="N184" s="17" t="str">
        <x:v>상세공고 확인</x:v>
      </x:c>
      <x:c r="O184" s="17" t="str">
        <x:v>상세공고 확인</x:v>
      </x:c>
      <x:c r="P184" s="17" t="str">
        <x:v>상세공고 확인</x:v>
      </x:c>
      <x:c r="Q184" s="17" t="str">
        <x:v>상세공고 확인</x:v>
      </x:c>
      <x:c r="R184" s="17" t="str">
        <x:v>상세공고 확인</x:v>
      </x:c>
      <x:c r="S184" s="17" t="str">
        <x:v>상세공고 확인</x:v>
      </x:c>
      <x:c r="T184" s="17" t="str">
        <x:v>상세공고 확인</x:v>
      </x:c>
      <x:c r="U184" s="17" t="str">
        <x:v>상세공고 확인</x:v>
      </x:c>
      <x:c r="V184" s="17" t="str">
        <x:v>목록 항목 확인</x:v>
      </x:c>
      <x:c r="W184" s="17" t="str">
        <x:v>공고 상세에서 확인</x:v>
      </x:c>
      <x:c r="X184" s="18" t="str">
        <x:v>https://job.alio.go.kr/recruitview.do?idx=304581</x:v>
      </x:c>
      <x:c r="Y184" s="1"/>
      <x:c r="Z184" s="1"/>
    </x:row>
    <x:row r="185" ht="54" customHeight="1">
      <x:c r="A185" s="17" t="n">
        <x:v>239</x:v>
      </x:c>
      <x:c r="B185" s="17" t="str">
        <x:v>한전KPS(주)</x:v>
      </x:c>
      <x:c r="C185" s="17" t="str">
        <x:v>한전KPS(주) 한울1사업처 한울1호기 제27차 계획예방정비공사 단기노무원 채용 공고(2차)</x:v>
      </x:c>
      <x:c r="D185" s="17" t="str">
        <x:v>경북</x:v>
      </x:c>
      <x:c r="E185" s="17" t="str">
        <x:v>비정규직</x:v>
      </x:c>
      <x:c r="F185" s="17" t="str">
        <x:v>2026.09.03</x:v>
      </x:c>
      <x:c r="G185" s="17" t="str">
        <x:v>26.09.16 D-7</x:v>
      </x:c>
      <x:c r="H185" s="17" t="str">
        <x:v>기간제·비정규</x:v>
      </x:c>
      <x:c r="I185" s="17" t="str">
        <x:v>세부조건 확인</x:v>
      </x:c>
      <x:c r="J185" s="17" t="str">
        <x:v>제한 문구 미탐지</x:v>
      </x:c>
      <x:c r="K185" s="17" t="str">
        <x:v>상세공고 확인</x:v>
      </x:c>
      <x:c r="L185" s="17" t="str">
        <x:v>상세공고 확인</x:v>
      </x:c>
      <x:c r="M185" s="17" t="str">
        <x:v>상세공고 확인</x:v>
      </x:c>
      <x:c r="N185" s="17" t="str">
        <x:v>상세공고 확인</x:v>
      </x:c>
      <x:c r="O185" s="17" t="str">
        <x:v>상세공고 확인</x:v>
      </x:c>
      <x:c r="P185" s="17" t="str">
        <x:v>상세공고 확인</x:v>
      </x:c>
      <x:c r="Q185" s="17" t="str">
        <x:v>상세공고 확인</x:v>
      </x:c>
      <x:c r="R185" s="17" t="str">
        <x:v>상세공고 확인</x:v>
      </x:c>
      <x:c r="S185" s="17" t="str">
        <x:v>상세공고 확인</x:v>
      </x:c>
      <x:c r="T185" s="17" t="str">
        <x:v>상세공고 확인</x:v>
      </x:c>
      <x:c r="U185" s="17" t="str">
        <x:v>상세공고 확인</x:v>
      </x:c>
      <x:c r="V185" s="17" t="str">
        <x:v>목록 항목 확인</x:v>
      </x:c>
      <x:c r="W185" s="17" t="str">
        <x:v>공고 상세에서 확인</x:v>
      </x:c>
      <x:c r="X185" s="18" t="str">
        <x:v>https://job.alio.go.kr/recruitview.do?idx=304580</x:v>
      </x:c>
      <x:c r="Y185" s="1"/>
      <x:c r="Z185" s="1"/>
    </x:row>
    <x:row r="186" ht="54" customHeight="1">
      <x:c r="A186" s="17" t="n">
        <x:v>238</x:v>
      </x:c>
      <x:c r="B186" s="17" t="str">
        <x:v>한전KPS(주)</x:v>
      </x:c>
      <x:c r="C186" s="17" t="str">
        <x:v>한전KPS(주)서인천사업처 신인천 4CC 계획예방정비공사 청소세탁 단기노무원 채용공고</x:v>
      </x:c>
      <x:c r="D186" s="17" t="str">
        <x:v>인천</x:v>
      </x:c>
      <x:c r="E186" s="17" t="str">
        <x:v>비정규직</x:v>
      </x:c>
      <x:c r="F186" s="17" t="str">
        <x:v>2026.09.03</x:v>
      </x:c>
      <x:c r="G186" s="17" t="str">
        <x:v>26.09.10 D-1</x:v>
      </x:c>
      <x:c r="H186" s="17" t="str">
        <x:v>기간제·비정규</x:v>
      </x:c>
      <x:c r="I186" s="17" t="str">
        <x:v>세부조건 확인</x:v>
      </x:c>
      <x:c r="J186" s="17" t="str">
        <x:v>제한 문구 미탐지</x:v>
      </x:c>
      <x:c r="K186" s="17" t="str">
        <x:v>상세공고 확인</x:v>
      </x:c>
      <x:c r="L186" s="17" t="str">
        <x:v>상세공고 확인</x:v>
      </x:c>
      <x:c r="M186" s="17" t="str">
        <x:v>상세공고 확인</x:v>
      </x:c>
      <x:c r="N186" s="17" t="str">
        <x:v>상세공고 확인</x:v>
      </x:c>
      <x:c r="O186" s="17" t="str">
        <x:v>상세공고 확인</x:v>
      </x:c>
      <x:c r="P186" s="17" t="str">
        <x:v>상세공고 확인</x:v>
      </x:c>
      <x:c r="Q186" s="17" t="str">
        <x:v>상세공고 확인</x:v>
      </x:c>
      <x:c r="R186" s="17" t="str">
        <x:v>상세공고 확인</x:v>
      </x:c>
      <x:c r="S186" s="17" t="str">
        <x:v>상세공고 확인</x:v>
      </x:c>
      <x:c r="T186" s="17" t="str">
        <x:v>상세공고 확인</x:v>
      </x:c>
      <x:c r="U186" s="17" t="str">
        <x:v>상세공고 확인</x:v>
      </x:c>
      <x:c r="V186" s="17" t="str">
        <x:v>목록 항목 확인</x:v>
      </x:c>
      <x:c r="W186" s="17" t="str">
        <x:v>공고 상세에서 확인</x:v>
      </x:c>
      <x:c r="X186" s="18" t="str">
        <x:v>https://job.alio.go.kr/recruitview.do?idx=304579</x:v>
      </x:c>
      <x:c r="Y186" s="1"/>
      <x:c r="Z186" s="1"/>
    </x:row>
    <x:row r="187" ht="54" customHeight="1">
      <x:c r="A187" s="17" t="n">
        <x:v>237</x:v>
      </x:c>
      <x:c r="B187" s="17" t="str">
        <x:v>한전KPS(주)</x:v>
      </x:c>
      <x:c r="C187" s="17" t="str">
        <x:v>한전KPS(주) 영흥사업처 5호기 계획예방정비공사 단기노무원 모집(전기2팀)</x:v>
      </x:c>
      <x:c r="D187" s="17" t="str">
        <x:v>인천</x:v>
      </x:c>
      <x:c r="E187" s="17" t="str">
        <x:v>비정규직</x:v>
      </x:c>
      <x:c r="F187" s="17" t="str">
        <x:v>2026.09.03</x:v>
      </x:c>
      <x:c r="G187" s="17" t="str">
        <x:v>26.09.10 D-1</x:v>
      </x:c>
      <x:c r="H187" s="17" t="str">
        <x:v>기간제·비정규</x:v>
      </x:c>
      <x:c r="I187" s="17" t="str">
        <x:v>세부조건 확인</x:v>
      </x:c>
      <x:c r="J187" s="17" t="str">
        <x:v>제한 문구 미탐지</x:v>
      </x:c>
      <x:c r="K187" s="17" t="str">
        <x:v>상세공고 확인</x:v>
      </x:c>
      <x:c r="L187" s="17" t="str">
        <x:v>상세공고 확인</x:v>
      </x:c>
      <x:c r="M187" s="17" t="str">
        <x:v>상세공고 확인</x:v>
      </x:c>
      <x:c r="N187" s="17" t="str">
        <x:v>상세공고 확인</x:v>
      </x:c>
      <x:c r="O187" s="17" t="str">
        <x:v>상세공고 확인</x:v>
      </x:c>
      <x:c r="P187" s="17" t="str">
        <x:v>상세공고 확인</x:v>
      </x:c>
      <x:c r="Q187" s="17" t="str">
        <x:v>상세공고 확인</x:v>
      </x:c>
      <x:c r="R187" s="17" t="str">
        <x:v>상세공고 확인</x:v>
      </x:c>
      <x:c r="S187" s="17" t="str">
        <x:v>상세공고 확인</x:v>
      </x:c>
      <x:c r="T187" s="17" t="str">
        <x:v>상세공고 확인</x:v>
      </x:c>
      <x:c r="U187" s="17" t="str">
        <x:v>상세공고 확인</x:v>
      </x:c>
      <x:c r="V187" s="17" t="str">
        <x:v>목록 항목 확인</x:v>
      </x:c>
      <x:c r="W187" s="17" t="str">
        <x:v>공고 상세에서 확인</x:v>
      </x:c>
      <x:c r="X187" s="18" t="str">
        <x:v>https://job.alio.go.kr/recruitview.do?idx=304576</x:v>
      </x:c>
      <x:c r="Y187" s="1"/>
      <x:c r="Z187" s="1"/>
    </x:row>
    <x:row r="188" ht="54" customHeight="1">
      <x:c r="A188" s="17" t="n">
        <x:v>236</x:v>
      </x:c>
      <x:c r="B188" s="17" t="str">
        <x:v>국립공원공단</x:v>
      </x:c>
      <x:c r="C188" s="17" t="str">
        <x:v>[지리산전남] 2026년 하반기(2차) 국립공원지킴이 채용 공고</x:v>
      </x:c>
      <x:c r="D188" s="17" t="str">
        <x:v>전남광주</x:v>
      </x:c>
      <x:c r="E188" s="17" t="str">
        <x:v>비정규직</x:v>
      </x:c>
      <x:c r="F188" s="17" t="str">
        <x:v>2026.09.03</x:v>
      </x:c>
      <x:c r="G188" s="17" t="str">
        <x:v>26.09.17 D-8</x:v>
      </x:c>
      <x:c r="H188" s="17" t="str">
        <x:v>기간제·비정규</x:v>
      </x:c>
      <x:c r="I188" s="17" t="str">
        <x:v>세부조건 확인</x:v>
      </x:c>
      <x:c r="J188" s="17" t="str">
        <x:v>제한 문구 미탐지</x:v>
      </x:c>
      <x:c r="K188" s="17" t="str">
        <x:v>상세공고 확인</x:v>
      </x:c>
      <x:c r="L188" s="17" t="str">
        <x:v>상세공고 확인</x:v>
      </x:c>
      <x:c r="M188" s="17" t="str">
        <x:v>상세공고 확인</x:v>
      </x:c>
      <x:c r="N188" s="17" t="str">
        <x:v>상세공고 확인</x:v>
      </x:c>
      <x:c r="O188" s="17" t="str">
        <x:v>상세공고 확인</x:v>
      </x:c>
      <x:c r="P188" s="17" t="str">
        <x:v>상세공고 확인</x:v>
      </x:c>
      <x:c r="Q188" s="17" t="str">
        <x:v>상세공고 확인</x:v>
      </x:c>
      <x:c r="R188" s="17" t="str">
        <x:v>상세공고 확인</x:v>
      </x:c>
      <x:c r="S188" s="17" t="str">
        <x:v>상세공고 확인</x:v>
      </x:c>
      <x:c r="T188" s="17" t="str">
        <x:v>상세공고 확인</x:v>
      </x:c>
      <x:c r="U188" s="17" t="str">
        <x:v>상세공고 확인</x:v>
      </x:c>
      <x:c r="V188" s="17" t="str">
        <x:v>목록 항목 확인</x:v>
      </x:c>
      <x:c r="W188" s="17" t="str">
        <x:v>공고 상세에서 확인</x:v>
      </x:c>
      <x:c r="X188" s="18" t="str">
        <x:v>https://job.alio.go.kr/recruitview.do?idx=304575</x:v>
      </x:c>
      <x:c r="Y188" s="1"/>
      <x:c r="Z188" s="1"/>
    </x:row>
    <x:row r="189" ht="54" customHeight="1">
      <x:c r="A189" s="17" t="n">
        <x:v>235</x:v>
      </x:c>
      <x:c r="B189" s="17" t="str">
        <x:v>한전KPS(주)</x:v>
      </x:c>
      <x:c r="C189" s="17" t="str">
        <x:v>한전KPS(주) 서울경기전력지사 수원지점 단기노무원(부지정리) 모집</x:v>
      </x:c>
      <x:c r="D189" s="17" t="str">
        <x:v>경기</x:v>
      </x:c>
      <x:c r="E189" s="17" t="str">
        <x:v>비정규직</x:v>
      </x:c>
      <x:c r="F189" s="17" t="str">
        <x:v>2026.09.03</x:v>
      </x:c>
      <x:c r="G189" s="17" t="str">
        <x:v>26.09.11 D-2</x:v>
      </x:c>
      <x:c r="H189" s="17" t="str">
        <x:v>기간제·비정규</x:v>
      </x:c>
      <x:c r="I189" s="17" t="str">
        <x:v>세부조건 확인</x:v>
      </x:c>
      <x:c r="J189" s="17" t="str">
        <x:v>제한 문구 미탐지</x:v>
      </x:c>
      <x:c r="K189" s="17" t="str">
        <x:v>상세공고 확인</x:v>
      </x:c>
      <x:c r="L189" s="17" t="str">
        <x:v>상세공고 확인</x:v>
      </x:c>
      <x:c r="M189" s="17" t="str">
        <x:v>상세공고 확인</x:v>
      </x:c>
      <x:c r="N189" s="17" t="str">
        <x:v>상세공고 확인</x:v>
      </x:c>
      <x:c r="O189" s="17" t="str">
        <x:v>상세공고 확인</x:v>
      </x:c>
      <x:c r="P189" s="17" t="str">
        <x:v>상세공고 확인</x:v>
      </x:c>
      <x:c r="Q189" s="17" t="str">
        <x:v>상세공고 확인</x:v>
      </x:c>
      <x:c r="R189" s="17" t="str">
        <x:v>상세공고 확인</x:v>
      </x:c>
      <x:c r="S189" s="17" t="str">
        <x:v>상세공고 확인</x:v>
      </x:c>
      <x:c r="T189" s="17" t="str">
        <x:v>상세공고 확인</x:v>
      </x:c>
      <x:c r="U189" s="17" t="str">
        <x:v>상세공고 확인</x:v>
      </x:c>
      <x:c r="V189" s="17" t="str">
        <x:v>목록 항목 확인</x:v>
      </x:c>
      <x:c r="W189" s="17" t="str">
        <x:v>공고 상세에서 확인</x:v>
      </x:c>
      <x:c r="X189" s="18" t="str">
        <x:v>https://job.alio.go.kr/recruitview.do?idx=304574</x:v>
      </x:c>
      <x:c r="Y189" s="1"/>
      <x:c r="Z189" s="1"/>
    </x:row>
    <x:row r="190" ht="54" customHeight="1">
      <x:c r="A190" s="17" t="n">
        <x:v>234</x:v>
      </x:c>
      <x:c r="B190" s="17" t="str">
        <x:v>한전KDN</x:v>
      </x:c>
      <x:c r="C190" s="17" t="str">
        <x:v>한전KDN(주) 울산지사 배전분야 일용원 모집공고</x:v>
      </x:c>
      <x:c r="D190" s="17" t="str">
        <x:v>울산</x:v>
      </x:c>
      <x:c r="E190" s="17" t="str">
        <x:v>비정규직</x:v>
      </x:c>
      <x:c r="F190" s="17" t="str">
        <x:v>2026.09.03</x:v>
      </x:c>
      <x:c r="G190" s="17" t="str">
        <x:v>26.09.17 D-8</x:v>
      </x:c>
      <x:c r="H190" s="17" t="str">
        <x:v>기간제·비정규</x:v>
      </x:c>
      <x:c r="I190" s="17" t="str">
        <x:v>세부조건 확인</x:v>
      </x:c>
      <x:c r="J190" s="17" t="str">
        <x:v>제한 문구 미탐지</x:v>
      </x:c>
      <x:c r="K190" s="17" t="str">
        <x:v>상세공고 확인</x:v>
      </x:c>
      <x:c r="L190" s="17" t="str">
        <x:v>상세공고 확인</x:v>
      </x:c>
      <x:c r="M190" s="17" t="str">
        <x:v>상세공고 확인</x:v>
      </x:c>
      <x:c r="N190" s="17" t="str">
        <x:v>상세공고 확인</x:v>
      </x:c>
      <x:c r="O190" s="17" t="str">
        <x:v>상세공고 확인</x:v>
      </x:c>
      <x:c r="P190" s="17" t="str">
        <x:v>상세공고 확인</x:v>
      </x:c>
      <x:c r="Q190" s="17" t="str">
        <x:v>상세공고 확인</x:v>
      </x:c>
      <x:c r="R190" s="17" t="str">
        <x:v>상세공고 확인</x:v>
      </x:c>
      <x:c r="S190" s="17" t="str">
        <x:v>상세공고 확인</x:v>
      </x:c>
      <x:c r="T190" s="17" t="str">
        <x:v>상세공고 확인</x:v>
      </x:c>
      <x:c r="U190" s="17" t="str">
        <x:v>상세공고 확인</x:v>
      </x:c>
      <x:c r="V190" s="17" t="str">
        <x:v>목록 항목 확인</x:v>
      </x:c>
      <x:c r="W190" s="17" t="str">
        <x:v>공고 상세에서 확인</x:v>
      </x:c>
      <x:c r="X190" s="18" t="str">
        <x:v>https://job.alio.go.kr/recruitview.do?idx=304573</x:v>
      </x:c>
      <x:c r="Y190" s="1"/>
      <x:c r="Z190" s="1"/>
    </x:row>
    <x:row r="191" ht="54" customHeight="1">
      <x:c r="A191" s="17" t="n">
        <x:v>233</x:v>
      </x:c>
      <x:c r="B191" s="17" t="str">
        <x:v>한국장애인개발원</x:v>
      </x:c>
      <x:c r="C191" s="17" t="str">
        <x:v>[제2026-95호]2026년도 직업재활부(사업평가팀) 사회형평적(장애인) 청년인턴 채용 공고</x:v>
      </x:c>
      <x:c r="D191" s="17" t="str">
        <x:v>서울</x:v>
      </x:c>
      <x:c r="E191" s="17" t="str">
        <x:v>청년인턴(체험형)</x:v>
      </x:c>
      <x:c r="F191" s="17" t="str">
        <x:v>2026.09.03</x:v>
      </x:c>
      <x:c r="G191" s="17" t="str">
        <x:v>26.09.17 D-8</x:v>
      </x:c>
      <x:c r="H191" s="17" t="str">
        <x:v>체험형·청년인턴</x:v>
      </x:c>
      <x:c r="I191" s="17" t="str">
        <x:v>세부조건 확인</x:v>
      </x:c>
      <x:c r="J191" s="17" t="str">
        <x:v>제한 문구 미탐지</x:v>
      </x:c>
      <x:c r="K191" s="17" t="str">
        <x:v>상세공고 확인</x:v>
      </x:c>
      <x:c r="L191" s="17" t="str">
        <x:v>상세공고 확인</x:v>
      </x:c>
      <x:c r="M191" s="17" t="str">
        <x:v>상세공고 확인</x:v>
      </x:c>
      <x:c r="N191" s="17" t="str">
        <x:v>상세공고 확인</x:v>
      </x:c>
      <x:c r="O191" s="17" t="str">
        <x:v>상세공고 확인</x:v>
      </x:c>
      <x:c r="P191" s="17" t="str">
        <x:v>상세공고 확인</x:v>
      </x:c>
      <x:c r="Q191" s="17" t="str">
        <x:v>상세공고 확인</x:v>
      </x:c>
      <x:c r="R191" s="17" t="str">
        <x:v>상세공고 확인</x:v>
      </x:c>
      <x:c r="S191" s="17" t="str">
        <x:v>상세공고 확인</x:v>
      </x:c>
      <x:c r="T191" s="17" t="str">
        <x:v>상세공고 확인</x:v>
      </x:c>
      <x:c r="U191" s="17" t="str">
        <x:v>상세공고 확인</x:v>
      </x:c>
      <x:c r="V191" s="17" t="str">
        <x:v>목록 항목 확인</x:v>
      </x:c>
      <x:c r="W191" s="17" t="str">
        <x:v>공고 상세에서 확인</x:v>
      </x:c>
      <x:c r="X191" s="18" t="str">
        <x:v>https://job.alio.go.kr/recruitview.do?idx=304570</x:v>
      </x:c>
      <x:c r="Y191" s="1"/>
      <x:c r="Z191" s="1"/>
    </x:row>
    <x:row r="192" ht="54" customHeight="1">
      <x:c r="A192" s="17" t="n">
        <x:v>232</x:v>
      </x:c>
      <x:c r="B192" s="17" t="str">
        <x:v>동남권원자력의학원</x:v>
      </x:c>
      <x:c r="C192" s="17" t="str">
        <x:v>[직원채용] 별정직 의사직(마취통증의학과) 공개 채용</x:v>
      </x:c>
      <x:c r="D192" s="17" t="str">
        <x:v>부산</x:v>
      </x:c>
      <x:c r="E192" s="17" t="str">
        <x:v>비정규직</x:v>
      </x:c>
      <x:c r="F192" s="17" t="str">
        <x:v>2026.09.03</x:v>
      </x:c>
      <x:c r="G192" s="17" t="str">
        <x:v>26.09.16 D-7</x:v>
      </x:c>
      <x:c r="H192" s="17" t="str">
        <x:v>기간제·비정규</x:v>
      </x:c>
      <x:c r="I192" s="17" t="str">
        <x:v>세부조건 확인</x:v>
      </x:c>
      <x:c r="J192" s="17" t="str">
        <x:v>제한 문구 미탐지</x:v>
      </x:c>
      <x:c r="K192" s="17" t="str">
        <x:v>상세공고 확인</x:v>
      </x:c>
      <x:c r="L192" s="17" t="str">
        <x:v>상세공고 확인</x:v>
      </x:c>
      <x:c r="M192" s="17" t="str">
        <x:v>상세공고 확인</x:v>
      </x:c>
      <x:c r="N192" s="17" t="str">
        <x:v>상세공고 확인</x:v>
      </x:c>
      <x:c r="O192" s="17" t="str">
        <x:v>상세공고 확인</x:v>
      </x:c>
      <x:c r="P192" s="17" t="str">
        <x:v>상세공고 확인</x:v>
      </x:c>
      <x:c r="Q192" s="17" t="str">
        <x:v>상세공고 확인</x:v>
      </x:c>
      <x:c r="R192" s="17" t="str">
        <x:v>상세공고 확인</x:v>
      </x:c>
      <x:c r="S192" s="17" t="str">
        <x:v>상세공고 확인</x:v>
      </x:c>
      <x:c r="T192" s="17" t="str">
        <x:v>상세공고 확인</x:v>
      </x:c>
      <x:c r="U192" s="17" t="str">
        <x:v>상세공고 확인</x:v>
      </x:c>
      <x:c r="V192" s="17" t="str">
        <x:v>목록 항목 확인</x:v>
      </x:c>
      <x:c r="W192" s="17" t="str">
        <x:v>공고 상세에서 확인</x:v>
      </x:c>
      <x:c r="X192" s="18" t="str">
        <x:v>https://job.alio.go.kr/recruitview.do?idx=304554</x:v>
      </x:c>
      <x:c r="Y192" s="1"/>
      <x:c r="Z192" s="1"/>
    </x:row>
    <x:row r="193" ht="54" customHeight="1">
      <x:c r="A193" s="17" t="n">
        <x:v>231</x:v>
      </x:c>
      <x:c r="B193" s="17" t="str">
        <x:v>한전KDN</x:v>
      </x:c>
      <x:c r="C193" s="17" t="str">
        <x:v>한전KDN(주) 대구본부 AMI분야 작업원 모집공고</x:v>
      </x:c>
      <x:c r="D193" s="17" t="str">
        <x:v>대구 외 1</x:v>
      </x:c>
      <x:c r="E193" s="17" t="str">
        <x:v>비정규직</x:v>
      </x:c>
      <x:c r="F193" s="17" t="str">
        <x:v>2026.09.03</x:v>
      </x:c>
      <x:c r="G193" s="17" t="str">
        <x:v>26.09.17 D-8</x:v>
      </x:c>
      <x:c r="H193" s="17" t="str">
        <x:v>기간제·비정규</x:v>
      </x:c>
      <x:c r="I193" s="17" t="str">
        <x:v>세부조건 확인</x:v>
      </x:c>
      <x:c r="J193" s="17" t="str">
        <x:v>제한 문구 미탐지</x:v>
      </x:c>
      <x:c r="K193" s="17" t="str">
        <x:v>상세공고 확인</x:v>
      </x:c>
      <x:c r="L193" s="17" t="str">
        <x:v>상세공고 확인</x:v>
      </x:c>
      <x:c r="M193" s="17" t="str">
        <x:v>상세공고 확인</x:v>
      </x:c>
      <x:c r="N193" s="17" t="str">
        <x:v>상세공고 확인</x:v>
      </x:c>
      <x:c r="O193" s="17" t="str">
        <x:v>상세공고 확인</x:v>
      </x:c>
      <x:c r="P193" s="17" t="str">
        <x:v>상세공고 확인</x:v>
      </x:c>
      <x:c r="Q193" s="17" t="str">
        <x:v>상세공고 확인</x:v>
      </x:c>
      <x:c r="R193" s="17" t="str">
        <x:v>상세공고 확인</x:v>
      </x:c>
      <x:c r="S193" s="17" t="str">
        <x:v>상세공고 확인</x:v>
      </x:c>
      <x:c r="T193" s="17" t="str">
        <x:v>상세공고 확인</x:v>
      </x:c>
      <x:c r="U193" s="17" t="str">
        <x:v>상세공고 확인</x:v>
      </x:c>
      <x:c r="V193" s="17" t="str">
        <x:v>목록 항목 확인</x:v>
      </x:c>
      <x:c r="W193" s="17" t="str">
        <x:v>공고 상세에서 확인</x:v>
      </x:c>
      <x:c r="X193" s="18" t="str">
        <x:v>https://job.alio.go.kr/recruitview.do?idx=304537</x:v>
      </x:c>
      <x:c r="Y193" s="1"/>
      <x:c r="Z193" s="1"/>
    </x:row>
    <x:row r="194" ht="54" customHeight="1">
      <x:c r="A194" s="17" t="n">
        <x:v>230</x:v>
      </x:c>
      <x:c r="B194" s="17" t="str">
        <x:v>한국보건의료인국가시험원</x:v>
      </x:c>
      <x:c r="C194" s="17" t="str">
        <x:v>2026년도 제5차 한국보건의료인국가시험원 대체인력(기간제직원) 채용 공고 (인재채움뱅크)</x:v>
      </x:c>
      <x:c r="D194" s="17" t="str">
        <x:v>서울</x:v>
      </x:c>
      <x:c r="E194" s="17" t="str">
        <x:v>비정규직</x:v>
      </x:c>
      <x:c r="F194" s="17" t="str">
        <x:v>2026.09.03</x:v>
      </x:c>
      <x:c r="G194" s="17" t="str">
        <x:v>26.09.17 D-8</x:v>
      </x:c>
      <x:c r="H194" s="17" t="str">
        <x:v>기간제·비정규</x:v>
      </x:c>
      <x:c r="I194" s="17" t="str">
        <x:v>세부조건 확인</x:v>
      </x:c>
      <x:c r="J194" s="17" t="str">
        <x:v>제한 문구 미탐지</x:v>
      </x:c>
      <x:c r="K194" s="17" t="str">
        <x:v>상세공고 확인</x:v>
      </x:c>
      <x:c r="L194" s="17" t="str">
        <x:v>상세공고 확인</x:v>
      </x:c>
      <x:c r="M194" s="17" t="str">
        <x:v>상세공고 확인</x:v>
      </x:c>
      <x:c r="N194" s="17" t="str">
        <x:v>상세공고 확인</x:v>
      </x:c>
      <x:c r="O194" s="17" t="str">
        <x:v>상세공고 확인</x:v>
      </x:c>
      <x:c r="P194" s="17" t="str">
        <x:v>상세공고 확인</x:v>
      </x:c>
      <x:c r="Q194" s="17" t="str">
        <x:v>상세공고 확인</x:v>
      </x:c>
      <x:c r="R194" s="17" t="str">
        <x:v>상세공고 확인</x:v>
      </x:c>
      <x:c r="S194" s="17" t="str">
        <x:v>상세공고 확인</x:v>
      </x:c>
      <x:c r="T194" s="17" t="str">
        <x:v>상세공고 확인</x:v>
      </x:c>
      <x:c r="U194" s="17" t="str">
        <x:v>상세공고 확인</x:v>
      </x:c>
      <x:c r="V194" s="17" t="str">
        <x:v>목록 항목 확인</x:v>
      </x:c>
      <x:c r="W194" s="17" t="str">
        <x:v>공고 상세에서 확인</x:v>
      </x:c>
      <x:c r="X194" s="18" t="str">
        <x:v>https://job.alio.go.kr/recruitview.do?idx=304504</x:v>
      </x:c>
      <x:c r="Y194" s="1"/>
      <x:c r="Z194" s="1"/>
    </x:row>
    <x:row r="195" ht="54" customHeight="1">
      <x:c r="A195" s="17" t="n">
        <x:v>229</x:v>
      </x:c>
      <x:c r="B195" s="17" t="str">
        <x:v>한국토지주택공사</x:v>
      </x:c>
      <x:c r="C195" s="17" t="str">
        <x:v>한국토지주택공사 토지주택연구원 기간제근로자 채용공고</x:v>
      </x:c>
      <x:c r="D195" s="17" t="str">
        <x:v>대전</x:v>
      </x:c>
      <x:c r="E195" s="17" t="str">
        <x:v>비정규직</x:v>
      </x:c>
      <x:c r="F195" s="17" t="str">
        <x:v>2026.09.03</x:v>
      </x:c>
      <x:c r="G195" s="17" t="str">
        <x:v>26.09.17 D-8</x:v>
      </x:c>
      <x:c r="H195" s="17" t="str">
        <x:v>기간제·비정규</x:v>
      </x:c>
      <x:c r="I195" s="17" t="str">
        <x:v>세부조건 확인</x:v>
      </x:c>
      <x:c r="J195" s="17" t="str">
        <x:v>제한 문구 미탐지</x:v>
      </x:c>
      <x:c r="K195" s="17" t="str">
        <x:v>상세공고 확인</x:v>
      </x:c>
      <x:c r="L195" s="17" t="str">
        <x:v>상세공고 확인</x:v>
      </x:c>
      <x:c r="M195" s="17" t="str">
        <x:v>상세공고 확인</x:v>
      </x:c>
      <x:c r="N195" s="17" t="str">
        <x:v>상세공고 확인</x:v>
      </x:c>
      <x:c r="O195" s="17" t="str">
        <x:v>상세공고 확인</x:v>
      </x:c>
      <x:c r="P195" s="17" t="str">
        <x:v>상세공고 확인</x:v>
      </x:c>
      <x:c r="Q195" s="17" t="str">
        <x:v>상세공고 확인</x:v>
      </x:c>
      <x:c r="R195" s="17" t="str">
        <x:v>상세공고 확인</x:v>
      </x:c>
      <x:c r="S195" s="17" t="str">
        <x:v>상세공고 확인</x:v>
      </x:c>
      <x:c r="T195" s="17" t="str">
        <x:v>상세공고 확인</x:v>
      </x:c>
      <x:c r="U195" s="17" t="str">
        <x:v>상세공고 확인</x:v>
      </x:c>
      <x:c r="V195" s="17" t="str">
        <x:v>목록 항목 확인</x:v>
      </x:c>
      <x:c r="W195" s="17" t="str">
        <x:v>공고 상세에서 확인</x:v>
      </x:c>
      <x:c r="X195" s="18" t="str">
        <x:v>https://job.alio.go.kr/recruitview.do?idx=304502</x:v>
      </x:c>
      <x:c r="Y195" s="1"/>
      <x:c r="Z195" s="1"/>
    </x:row>
    <x:row r="196" ht="54" customHeight="1">
      <x:c r="A196" s="17" t="n">
        <x:v>228</x:v>
      </x:c>
      <x:c r="B196" s="17" t="str">
        <x:v>서울올림픽기념국민체육진흥공단</x:v>
      </x:c>
      <x:c r="C196" s="17" t="str">
        <x:v>한국스포츠과학원 초빙연구원(나급) 채용 공고-스포츠반도핑 정보활동 및 조사체계 구축 연구</x:v>
      </x:c>
      <x:c r="D196" s="17" t="str">
        <x:v>서울</x:v>
      </x:c>
      <x:c r="E196" s="17" t="str">
        <x:v>비정규직</x:v>
      </x:c>
      <x:c r="F196" s="17" t="str">
        <x:v>2026.09.03</x:v>
      </x:c>
      <x:c r="G196" s="17" t="str">
        <x:v>26.09.17 D-8</x:v>
      </x:c>
      <x:c r="H196" s="17" t="str">
        <x:v>기간제·비정규</x:v>
      </x:c>
      <x:c r="I196" s="17" t="str">
        <x:v>세부조건 확인</x:v>
      </x:c>
      <x:c r="J196" s="17" t="str">
        <x:v>제한 문구 미탐지</x:v>
      </x:c>
      <x:c r="K196" s="17" t="str">
        <x:v>상세공고 확인</x:v>
      </x:c>
      <x:c r="L196" s="17" t="str">
        <x:v>상세공고 확인</x:v>
      </x:c>
      <x:c r="M196" s="17" t="str">
        <x:v>상세공고 확인</x:v>
      </x:c>
      <x:c r="N196" s="17" t="str">
        <x:v>상세공고 확인</x:v>
      </x:c>
      <x:c r="O196" s="17" t="str">
        <x:v>상세공고 확인</x:v>
      </x:c>
      <x:c r="P196" s="17" t="str">
        <x:v>상세공고 확인</x:v>
      </x:c>
      <x:c r="Q196" s="17" t="str">
        <x:v>상세공고 확인</x:v>
      </x:c>
      <x:c r="R196" s="17" t="str">
        <x:v>상세공고 확인</x:v>
      </x:c>
      <x:c r="S196" s="17" t="str">
        <x:v>상세공고 확인</x:v>
      </x:c>
      <x:c r="T196" s="17" t="str">
        <x:v>상세공고 확인</x:v>
      </x:c>
      <x:c r="U196" s="17" t="str">
        <x:v>상세공고 확인</x:v>
      </x:c>
      <x:c r="V196" s="17" t="str">
        <x:v>목록 항목 확인</x:v>
      </x:c>
      <x:c r="W196" s="17" t="str">
        <x:v>공고 상세에서 확인</x:v>
      </x:c>
      <x:c r="X196" s="18" t="str">
        <x:v>https://job.alio.go.kr/recruitview.do?idx=304501</x:v>
      </x:c>
      <x:c r="Y196" s="1"/>
      <x:c r="Z196" s="1"/>
    </x:row>
    <x:row r="197" ht="54" customHeight="1">
      <x:c r="A197" s="17" t="n">
        <x:v>227</x:v>
      </x:c>
      <x:c r="B197" s="17" t="str">
        <x:v>한국수목원정원관리원</x:v>
      </x:c>
      <x:c r="C197" s="17" t="str">
        <x:v>2026년 제3차 국립정원문화원 기간제 근로자 채용 공고</x:v>
      </x:c>
      <x:c r="D197" s="17" t="str">
        <x:v>전남광주</x:v>
      </x:c>
      <x:c r="E197" s="17" t="str">
        <x:v>비정규직</x:v>
      </x:c>
      <x:c r="F197" s="17" t="str">
        <x:v>2026.09.02</x:v>
      </x:c>
      <x:c r="G197" s="17" t="str">
        <x:v>26.09.16 D-7</x:v>
      </x:c>
      <x:c r="H197" s="17" t="str">
        <x:v>기간제·비정규</x:v>
      </x:c>
      <x:c r="I197" s="17" t="str">
        <x:v>세부조건 확인</x:v>
      </x:c>
      <x:c r="J197" s="17" t="str">
        <x:v>제한 문구 미탐지</x:v>
      </x:c>
      <x:c r="K197" s="17" t="str">
        <x:v>상세공고 확인</x:v>
      </x:c>
      <x:c r="L197" s="17" t="str">
        <x:v>상세공고 확인</x:v>
      </x:c>
      <x:c r="M197" s="17" t="str">
        <x:v>상세공고 확인</x:v>
      </x:c>
      <x:c r="N197" s="17" t="str">
        <x:v>상세공고 확인</x:v>
      </x:c>
      <x:c r="O197" s="17" t="str">
        <x:v>상세공고 확인</x:v>
      </x:c>
      <x:c r="P197" s="17" t="str">
        <x:v>상세공고 확인</x:v>
      </x:c>
      <x:c r="Q197" s="17" t="str">
        <x:v>상세공고 확인</x:v>
      </x:c>
      <x:c r="R197" s="17" t="str">
        <x:v>상세공고 확인</x:v>
      </x:c>
      <x:c r="S197" s="17" t="str">
        <x:v>상세공고 확인</x:v>
      </x:c>
      <x:c r="T197" s="17" t="str">
        <x:v>상세공고 확인</x:v>
      </x:c>
      <x:c r="U197" s="17" t="str">
        <x:v>상세공고 확인</x:v>
      </x:c>
      <x:c r="V197" s="17" t="str">
        <x:v>목록 항목 확인</x:v>
      </x:c>
      <x:c r="W197" s="17" t="str">
        <x:v>공고 상세에서 확인</x:v>
      </x:c>
      <x:c r="X197" s="18" t="str">
        <x:v>https://job.alio.go.kr/recruitview.do?idx=304568</x:v>
      </x:c>
      <x:c r="Y197" s="1"/>
      <x:c r="Z197" s="1"/>
    </x:row>
    <x:row r="198" ht="54" customHeight="1">
      <x:c r="A198" s="17" t="n">
        <x:v>226</x:v>
      </x:c>
      <x:c r="B198" s="17" t="str">
        <x:v>국립공원공단</x:v>
      </x:c>
      <x:c r="C198" s="17" t="str">
        <x:v>(수정) [설악산] 2026년 국립공원지킴이(녹색순찰대) 추가 모집 공고</x:v>
      </x:c>
      <x:c r="D198" s="17" t="str">
        <x:v>강원</x:v>
      </x:c>
      <x:c r="E198" s="17" t="str">
        <x:v>비정규직</x:v>
      </x:c>
      <x:c r="F198" s="17" t="str">
        <x:v>2026.09.02</x:v>
      </x:c>
      <x:c r="G198" s="17" t="str">
        <x:v>26.09.14 D-5</x:v>
      </x:c>
      <x:c r="H198" s="17" t="str">
        <x:v>기간제·비정규</x:v>
      </x:c>
      <x:c r="I198" s="17" t="str">
        <x:v>세부조건 확인</x:v>
      </x:c>
      <x:c r="J198" s="17" t="str">
        <x:v>제한 문구 미탐지</x:v>
      </x:c>
      <x:c r="K198" s="17" t="str">
        <x:v>상세공고 확인</x:v>
      </x:c>
      <x:c r="L198" s="17" t="str">
        <x:v>상세공고 확인</x:v>
      </x:c>
      <x:c r="M198" s="17" t="str">
        <x:v>상세공고 확인</x:v>
      </x:c>
      <x:c r="N198" s="17" t="str">
        <x:v>상세공고 확인</x:v>
      </x:c>
      <x:c r="O198" s="17" t="str">
        <x:v>상세공고 확인</x:v>
      </x:c>
      <x:c r="P198" s="17" t="str">
        <x:v>상세공고 확인</x:v>
      </x:c>
      <x:c r="Q198" s="17" t="str">
        <x:v>상세공고 확인</x:v>
      </x:c>
      <x:c r="R198" s="17" t="str">
        <x:v>상세공고 확인</x:v>
      </x:c>
      <x:c r="S198" s="17" t="str">
        <x:v>상세공고 확인</x:v>
      </x:c>
      <x:c r="T198" s="17" t="str">
        <x:v>상세공고 확인</x:v>
      </x:c>
      <x:c r="U198" s="17" t="str">
        <x:v>상세공고 확인</x:v>
      </x:c>
      <x:c r="V198" s="17" t="str">
        <x:v>목록 항목 확인</x:v>
      </x:c>
      <x:c r="W198" s="17" t="str">
        <x:v>공고 상세에서 확인</x:v>
      </x:c>
      <x:c r="X198" s="18" t="str">
        <x:v>https://job.alio.go.kr/recruitview.do?idx=304616</x:v>
      </x:c>
      <x:c r="Y198" s="1"/>
      <x:c r="Z198" s="1"/>
    </x:row>
    <x:row r="199" ht="54" customHeight="1">
      <x:c r="A199" s="17" t="n">
        <x:v>225</x:v>
      </x:c>
      <x:c r="B199" s="17" t="str">
        <x:v>부산항만공사</x:v>
      </x:c>
      <x:c r="C199" s="17" t="str">
        <x:v>부산항만공사 정규직(신입) 채용 공고</x:v>
      </x:c>
      <x:c r="D199" s="17" t="str">
        <x:v>부산</x:v>
      </x:c>
      <x:c r="E199" s="17" t="str">
        <x:v>정규직</x:v>
      </x:c>
      <x:c r="F199" s="17" t="str">
        <x:v>2026.09.02</x:v>
      </x:c>
      <x:c r="G199" s="17" t="str">
        <x:v>26.09.17 D-8</x:v>
      </x:c>
      <x:c r="H199" s="17" t="str">
        <x:v>신입·정규직</x:v>
      </x:c>
      <x:c r="I199" s="17" t="str">
        <x:v>우선검토</x:v>
      </x:c>
      <x:c r="J199" s="17" t="str">
        <x:v>제한 문구 미탐지</x:v>
      </x:c>
      <x:c r="K199" s="17" t="str">
        <x:v>신입</x:v>
      </x:c>
      <x:c r="L199" s="17" t="str">
        <x:v>학력무관,고졸</x:v>
      </x:c>
      <x:c r="M199" s="17" t="str">
        <x:v>11명</x:v>
      </x:c>
      <x:c r="N199" s="17" t="str">
        <x:v>경영.회계.사무,건설</x:v>
      </x:c>
      <x:c r="O199" s="17" t="str">
        <x:v>취업지원대상자, 장애인, 중증장애인, 저소득층, 다문화가족, 북한이탈주민, 자립준비청년, 우수인턴</x:v>
      </x:c>
      <x:c r="P199" s="17" t="str">
        <x:v>미탐지(원문 재확인)</x:v>
      </x:c>
      <x:c r="Q199" s="17" t="str">
        <x:v>상세공고 확인</x:v>
      </x:c>
      <x:c r="R199" s="17" t="str">
        <x:v>[공통] ○ 블라인드 채용 가이드라인에 따라 학력ㆍ성별ㆍ전공 등 제한 없음- 단, 임용예정일(2026.11.30.) 기준 공사 정년(60세) 미만인 자 ○ 남성의 경우 병역필 또는 면제자- 고졸 분야 지원 시 병역 미필자 가능, 현역인 경우 최종합격자 발표일 이전 전역 가능한 자 ○ 부산항만공사 취업규칙 제9조 등에 따른 채용 결격사유가 없는 자 ○ 임용 즉시 근무 가능한 자 ○ 모집분야별 중복지원 불가 및 중복지원 시 불합격 처리 ○ [한국사] 국사편찬위원회 한국사능력검정시험 3급 이상 합격자- 유효기간 해당사항 없음 [사무(일반, 취업지원), 기술(토목,건축)] 공인 영어성적 기준 점수(TOEIC 기준 700점 등) 이상인 자 [사무] ㅇ 사무(고졸) : 최종학력이 고등학교 졸업 또는 졸업예정인 자, 공고마감일(2026.9.17.) 기준 고졸 검정고시 합격일로부터 1년이 경과하지 않은 자 ㅇ 사무(취업지원) : 「국가유공자 등 예우 및 지원에 관한 법률」 등 보훈관계법률에 의한 취업지원(보호) 대상자 [기술] ㅇ 기술(토목) : 「국가기술자격법」에서 정하는 토목산업기사 이상 자격증 보유자 ㅇ 기술(건축) : 「국가기술자격법」에서 정하는 건축산업기사 이상 자격증 보유자</x:v>
      </x:c>
      <x:c r="S199" s="17" t="str">
        <x:v>한국사, TOEIC, 토목산업기사, 건축산업기사</x:v>
      </x:c>
      <x:c r="T199" s="17" t="str">
        <x:v>1차(필기·서류전형) : 인성검사 적합자에 한하여 직업공통능력평가 및 직무수행능력평가(고졸, 취업지원 분야 제외)에서 득점한 점수와 가점(해당자에 한함)을 합산한 총점의 고득점자순으로 서류 적/부 판단 (5배수 선발 예정) 2차(면접전형) : 토론면접(30%), 역량(집단·개별)면접(70%) (1배수 선발 예정) ※ 자세한 사항은 첨부파일의 채용공고문 참고</x:v>
      </x:c>
      <x:c r="U199" s="17" t="str">
        <x:v>1차(필기·서류전형) : 인성검사 적합자에 한하여 직업공통능력평가 및 직무수행능력평가(고졸, 취업지원 분야 제외)에서 득점한 점수와 가점(해당자에 한함)을 합산한 총점의 고득점자순으로 서류 적/부 판단 (5배수 선발 예정) 2차(면접전형) : 토론면접(30%), 역량(집단·개별)면접(70%) (1배수 선발 예정) ※ 자세한 사항은 첨부파일의 채용공고문 참고</x:v>
      </x:c>
      <x:c r="V199" s="17" t="str">
        <x:v>상세 페이지 확인</x:v>
      </x:c>
      <x:c r="W199" s="17" t="str">
        <x:v>https://www.busanpa.com/board/list.bpa?boardId=BBS_0000046&amp;menuCd=DOM_000000107001001000&amp;contentsSid=47</x:v>
      </x:c>
      <x:c r="X199" s="18" t="str">
        <x:v>https://job.alio.go.kr/recruitview.do?idx=304555</x:v>
      </x:c>
      <x:c r="Y199" s="1"/>
      <x:c r="Z199" s="1"/>
    </x:row>
    <x:row r="200" ht="54" customHeight="1">
      <x:c r="A200" s="17" t="n">
        <x:v>224</x:v>
      </x:c>
      <x:c r="B200" s="17" t="str">
        <x:v>정보통신정책연구원</x:v>
      </x:c>
      <x:c r="C200" s="17" t="str">
        <x:v>2026년도 계약직 행정원 채용공고(휴직대체)</x:v>
      </x:c>
      <x:c r="D200" s="17" t="str">
        <x:v>충북</x:v>
      </x:c>
      <x:c r="E200" s="17" t="str">
        <x:v>비정규직</x:v>
      </x:c>
      <x:c r="F200" s="17" t="str">
        <x:v>2026.09.02</x:v>
      </x:c>
      <x:c r="G200" s="17" t="str">
        <x:v>26.09.17 D-8</x:v>
      </x:c>
      <x:c r="H200" s="17" t="str">
        <x:v>기간제·비정규</x:v>
      </x:c>
      <x:c r="I200" s="17" t="str">
        <x:v>세부조건 확인</x:v>
      </x:c>
      <x:c r="J200" s="17" t="str">
        <x:v>제한 문구 미탐지</x:v>
      </x:c>
      <x:c r="K200" s="17" t="str">
        <x:v>상세공고 확인</x:v>
      </x:c>
      <x:c r="L200" s="17" t="str">
        <x:v>상세공고 확인</x:v>
      </x:c>
      <x:c r="M200" s="17" t="str">
        <x:v>상세공고 확인</x:v>
      </x:c>
      <x:c r="N200" s="17" t="str">
        <x:v>상세공고 확인</x:v>
      </x:c>
      <x:c r="O200" s="17" t="str">
        <x:v>상세공고 확인</x:v>
      </x:c>
      <x:c r="P200" s="17" t="str">
        <x:v>상세공고 확인</x:v>
      </x:c>
      <x:c r="Q200" s="17" t="str">
        <x:v>상세공고 확인</x:v>
      </x:c>
      <x:c r="R200" s="17" t="str">
        <x:v>상세공고 확인</x:v>
      </x:c>
      <x:c r="S200" s="17" t="str">
        <x:v>상세공고 확인</x:v>
      </x:c>
      <x:c r="T200" s="17" t="str">
        <x:v>상세공고 확인</x:v>
      </x:c>
      <x:c r="U200" s="17" t="str">
        <x:v>상세공고 확인</x:v>
      </x:c>
      <x:c r="V200" s="17" t="str">
        <x:v>목록 항목 확인</x:v>
      </x:c>
      <x:c r="W200" s="17" t="str">
        <x:v>공고 상세에서 확인</x:v>
      </x:c>
      <x:c r="X200" s="18" t="str">
        <x:v>https://job.alio.go.kr/recruitview.do?idx=304553</x:v>
      </x:c>
      <x:c r="Y200" s="1"/>
      <x:c r="Z200" s="1"/>
    </x:row>
    <x:row r="201" ht="54" customHeight="1">
      <x:c r="A201" s="17" t="n">
        <x:v>223</x:v>
      </x:c>
      <x:c r="B201" s="17" t="str">
        <x:v>전남대학교병원</x:v>
      </x:c>
      <x:c r="C201" s="17" t="str">
        <x:v>2026년 9월 전남대학교병원 직원(대체근로자) 공개채용 공고</x:v>
      </x:c>
      <x:c r="D201" s="17" t="str">
        <x:v>전남광주</x:v>
      </x:c>
      <x:c r="E201" s="17" t="str">
        <x:v>비정규직</x:v>
      </x:c>
      <x:c r="F201" s="17" t="str">
        <x:v>2026.09.02</x:v>
      </x:c>
      <x:c r="G201" s="17" t="str">
        <x:v>26.09.09 D+0</x:v>
      </x:c>
      <x:c r="H201" s="17" t="str">
        <x:v>기간제·비정규</x:v>
      </x:c>
      <x:c r="I201" s="17" t="str">
        <x:v>세부조건 확인</x:v>
      </x:c>
      <x:c r="J201" s="17" t="str">
        <x:v>제한 문구 미탐지</x:v>
      </x:c>
      <x:c r="K201" s="17" t="str">
        <x:v>상세공고 확인</x:v>
      </x:c>
      <x:c r="L201" s="17" t="str">
        <x:v>상세공고 확인</x:v>
      </x:c>
      <x:c r="M201" s="17" t="str">
        <x:v>상세공고 확인</x:v>
      </x:c>
      <x:c r="N201" s="17" t="str">
        <x:v>상세공고 확인</x:v>
      </x:c>
      <x:c r="O201" s="17" t="str">
        <x:v>상세공고 확인</x:v>
      </x:c>
      <x:c r="P201" s="17" t="str">
        <x:v>상세공고 확인</x:v>
      </x:c>
      <x:c r="Q201" s="17" t="str">
        <x:v>상세공고 확인</x:v>
      </x:c>
      <x:c r="R201" s="17" t="str">
        <x:v>상세공고 확인</x:v>
      </x:c>
      <x:c r="S201" s="17" t="str">
        <x:v>상세공고 확인</x:v>
      </x:c>
      <x:c r="T201" s="17" t="str">
        <x:v>상세공고 확인</x:v>
      </x:c>
      <x:c r="U201" s="17" t="str">
        <x:v>상세공고 확인</x:v>
      </x:c>
      <x:c r="V201" s="17" t="str">
        <x:v>목록 항목 확인</x:v>
      </x:c>
      <x:c r="W201" s="17" t="str">
        <x:v>공고 상세에서 확인</x:v>
      </x:c>
      <x:c r="X201" s="18" t="str">
        <x:v>https://job.alio.go.kr/recruitview.do?idx=304552</x:v>
      </x:c>
      <x:c r="Y201" s="1"/>
      <x:c r="Z201" s="1"/>
    </x:row>
    <x:row r="202" ht="54" customHeight="1">
      <x:c r="A202" s="17" t="n">
        <x:v>222</x:v>
      </x:c>
      <x:c r="B202" s="17" t="str">
        <x:v>한국전력공사</x:v>
      </x:c>
      <x:c r="C202" s="17" t="str">
        <x:v>2026년도 하반기 4직급 대졸수준 신입사원 채용공고</x:v>
      </x:c>
      <x:c r="D202" s="17" t="str">
        <x:v>서울 외 15</x:v>
      </x:c>
      <x:c r="E202" s="17" t="str">
        <x:v>정규직</x:v>
      </x:c>
      <x:c r="F202" s="17" t="str">
        <x:v>2026.09.02</x:v>
      </x:c>
      <x:c r="G202" s="17" t="str">
        <x:v>26.09.16 D-7</x:v>
      </x:c>
      <x:c r="H202" s="17" t="str">
        <x:v>신입·정규직</x:v>
      </x:c>
      <x:c r="I202" s="17" t="str">
        <x:v>우선검토</x:v>
      </x:c>
      <x:c r="J202" s="17" t="str">
        <x:v>제한 문구 미탐지</x:v>
      </x:c>
      <x:c r="K202" s="17" t="str">
        <x:v>신입</x:v>
      </x:c>
      <x:c r="L202" s="17" t="str">
        <x:v>학력무관</x:v>
      </x:c>
      <x:c r="M202" s="17" t="str">
        <x:v>490명</x:v>
      </x:c>
      <x:c r="N202" s="17" t="str">
        <x:v>경영.회계.사무,건설,전기.전자,정보통신</x:v>
      </x:c>
      <x:c r="O202" s="17" t="str">
        <x:v>취업지원대상자, 장애인, 고급자격증 보유자, 한전전기공학 장학생(배전, 송변전 분야에 한함), 비수도권 및 본사 이전지역인재, 한전 장애인 인턴(장애인 제한경쟁에 한함), 양성평등, 한전 체험형인턴, 기초생활수급자, 한전 기간제 근로자, 한전 시간선택제 근로자, KEPCO 프렌즈 우수활동자(舊대학생 서포터즈), 전력데이터 활용 신서비스 개발 경진대회 입상자, 한전 발명기술혁신대전 입상자, 한전 청년청렴 Auditor 우수활동자, 북한이탈주민, 다문화가족, 자립준비청년 등 ※ 자세한 사항은 첨부파일의 공고문 참조</x:v>
      </x:c>
      <x:c r="P202" s="17" t="str">
        <x:v>명시 있음</x:v>
      </x:c>
      <x:c r="Q202" s="17" t="str">
        <x:v>상세공고 확인</x:v>
      </x:c>
      <x:c r="R202" s="17" t="str">
        <x:v>1. 학력·전공 ○ 사무 : 제한 없음 ○ 기술 : 해당분야 전공자 또는 관련분야 자격증 보유자 2. 외국어 ○ 영어, 일어, 중국어 700점 이상 (TOEIC 기준) ○ 유효성적 : '24. 11. 28.부터 응시하고 접수 마감일까지 발표한 국내 정기시험 성적만 인정 (단, TOEIC, TOEIC-S, OPIc, TEPS, TEPS-S, JPT, HSK는 국가공무원 채용시스템에 등록된 어학성적에 한하여 유효기간을 시험의 실시연도 +5년까지 인정) ○ 고급자격증 보유자는 외국어 성적 면제 ○ 해외학위자도 국내 외국어 유효성적을 보유해야 지원 가능 3. 연령 : 제한없음(단, 공사 정년(60세)에 도달한 자는 지원불가) 4. 병역 : 병역법 제76조에서 정한 병역의무 불이행 사실이 없는 자 5. 기타 ○ 당사 인사관리규정 제11조 신규채용자의 결격사유가 없는 자 ○ 지원서 접수마감일 현재 한전 4직급 직원으로 재직 중이지 않은 자(단, 상위 채용수준으로는 지원가능) ○ 입사일부터 근무 가능한 자 ○ 전국권(이전지역인재) 지원시 전남광주 소재 학교(대학까지의 최종학력 기준, 대학원 이상 제외) 졸업(예정)·중퇴·재학·휴학중인 자만 지원 가능 ○ 보훈 분야는 「국가유공자법」에서 정한 취업지원대상자만 지원 가능 ○ 장애인 분야(사무)는 「장애인고용법」에서 정한 장애인만 지원 가능 ※ 자세한 사항은 첨부파일의 공고문 참조</x:v>
      </x:c>
      <x:c r="S202" s="17" t="str">
        <x:v>외국어, TOEIC, 어학</x:v>
      </x:c>
      <x:c r="T202" s="17" t="str">
        <x:v>1. [1차] 서류전형 ○ 외국어성적(100점), 자격증가점(사무20점, 기술40점) / 사무 : 50배수, 전기(배전, 송변전) : 10배수, 기술(전기 외) : 15배수 ※ 장애인 및 보훈 전형 전원 합격 2. [2차] 필기전형 ○ 직무능력검사(100점), 인성·인재상·조직적합도 검사 결과(적·부) / 2~3배수(공고문 참조) 3. [3차] 면접전형 ○ 직무면접(50점), 경험면접(50점) / 1배수 ※ 자세한 사항은 첨부파일의 공고문 참조</x:v>
      </x:c>
      <x:c r="U202" s="17" t="str">
        <x:v>[3차] 면접전형 ○ 직무면접(50점), 경험면접(50점) / 1배수 ※ 자세한 사항은 첨부파일의 공고문 참조</x:v>
      </x:c>
      <x:c r="V202" s="17" t="str">
        <x:v>상세 페이지 확인</x:v>
      </x:c>
      <x:c r="W202" s="17" t="str">
        <x:v>http://recruit.kepco.co.kr/</x:v>
      </x:c>
      <x:c r="X202" s="18" t="str">
        <x:v>https://job.alio.go.kr/recruitview.do?idx=304551</x:v>
      </x:c>
      <x:c r="Y202" s="1"/>
      <x:c r="Z202" s="1"/>
    </x:row>
    <x:row r="203" ht="54" customHeight="1">
      <x:c r="A203" s="17" t="n">
        <x:v>221</x:v>
      </x:c>
      <x:c r="B203" s="17" t="str">
        <x:v>한국보훈복지의료공단</x:v>
      </x:c>
      <x:c r="C203" s="17" t="str">
        <x:v>[원주보훈요양원] 2026년 휴직대체 계약직(물리치료사) 공개채용 공고</x:v>
      </x:c>
      <x:c r="D203" s="17" t="str">
        <x:v>강원</x:v>
      </x:c>
      <x:c r="E203" s="17" t="str">
        <x:v>비정규직</x:v>
      </x:c>
      <x:c r="F203" s="17" t="str">
        <x:v>2026.09.02</x:v>
      </x:c>
      <x:c r="G203" s="17" t="str">
        <x:v>26.09.17 D-8</x:v>
      </x:c>
      <x:c r="H203" s="17" t="str">
        <x:v>기간제·비정규</x:v>
      </x:c>
      <x:c r="I203" s="17" t="str">
        <x:v>세부조건 확인</x:v>
      </x:c>
      <x:c r="J203" s="17" t="str">
        <x:v>제한 문구 미탐지</x:v>
      </x:c>
      <x:c r="K203" s="17" t="str">
        <x:v>상세공고 확인</x:v>
      </x:c>
      <x:c r="L203" s="17" t="str">
        <x:v>상세공고 확인</x:v>
      </x:c>
      <x:c r="M203" s="17" t="str">
        <x:v>상세공고 확인</x:v>
      </x:c>
      <x:c r="N203" s="17" t="str">
        <x:v>상세공고 확인</x:v>
      </x:c>
      <x:c r="O203" s="17" t="str">
        <x:v>상세공고 확인</x:v>
      </x:c>
      <x:c r="P203" s="17" t="str">
        <x:v>상세공고 확인</x:v>
      </x:c>
      <x:c r="Q203" s="17" t="str">
        <x:v>상세공고 확인</x:v>
      </x:c>
      <x:c r="R203" s="17" t="str">
        <x:v>상세공고 확인</x:v>
      </x:c>
      <x:c r="S203" s="17" t="str">
        <x:v>상세공고 확인</x:v>
      </x:c>
      <x:c r="T203" s="17" t="str">
        <x:v>상세공고 확인</x:v>
      </x:c>
      <x:c r="U203" s="17" t="str">
        <x:v>상세공고 확인</x:v>
      </x:c>
      <x:c r="V203" s="17" t="str">
        <x:v>목록 항목 확인</x:v>
      </x:c>
      <x:c r="W203" s="17" t="str">
        <x:v>공고 상세에서 확인</x:v>
      </x:c>
      <x:c r="X203" s="18" t="str">
        <x:v>https://job.alio.go.kr/recruitview.do?idx=304549</x:v>
      </x:c>
      <x:c r="Y203" s="1"/>
      <x:c r="Z203" s="1"/>
    </x:row>
    <x:row r="204" ht="54" customHeight="1">
      <x:c r="A204" s="17" t="n">
        <x:v>220</x:v>
      </x:c>
      <x:c r="B204" s="17" t="str">
        <x:v>경북대학교병원</x:v>
      </x:c>
      <x:c r="C204" s="17" t="str">
        <x:v>2026년 제4차 정규직 공개채용 공고</x:v>
      </x:c>
      <x:c r="D204" s="17" t="str">
        <x:v>대구</x:v>
      </x:c>
      <x:c r="E204" s="17" t="str">
        <x:v>정규직</x:v>
      </x:c>
      <x:c r="F204" s="17" t="str">
        <x:v>2026.09.02</x:v>
      </x:c>
      <x:c r="G204" s="17" t="str">
        <x:v>26.09.16 D-7</x:v>
      </x:c>
      <x:c r="H204" s="17" t="str">
        <x:v>정규직(세부 확인)</x:v>
      </x:c>
      <x:c r="I204" s="17" t="str">
        <x:v>검토</x:v>
      </x:c>
      <x:c r="J204" s="17" t="str">
        <x:v>제한 문구 미탐지</x:v>
      </x:c>
      <x:c r="K204" s="17" t="str">
        <x:v>신입+경력</x:v>
      </x:c>
      <x:c r="L204" s="17" t="str">
        <x:v>학력무관</x:v>
      </x:c>
      <x:c r="M204" s="17" t="str">
        <x:v>51명</x:v>
      </x:c>
      <x:c r="N204" s="17" t="str">
        <x:v>보건.의료</x:v>
      </x:c>
      <x:c r="O204" s="17" t="str">
        <x:v>취업지원대상자, 장애인, 공고문 상 우대자격 소지자 등(세부사항 공고문 참조)</x:v>
      </x:c>
      <x:c r="P204" s="17" t="str">
        <x:v>미탐지(원문 재확인)</x:v>
      </x:c>
      <x:c r="Q204" s="17" t="str">
        <x:v>상세공고 확인</x:v>
      </x:c>
      <x:c r="R204" s="17" t="str">
        <x:v>○ 행정직(법무), 별정직, 의료기술직, 시설기술직, 원무직, 간호조무직, 운영지원직 : 직무별 해당자격 소지자(세부사항 공고문 참조)</x:v>
      </x:c>
      <x:c r="S204" s="17" t="str">
        <x:v>전기공사기사, 소방설비기사, 컴퓨터활용능력</x:v>
      </x:c>
      <x:c r="T204" s="17" t="str">
        <x:v>1차: 지원서 자격적부 2차: 1차 필기전형/서류전형 3차: 2차 면접전형 최종: 3차 입사지원서 기재사항 진위확인 전형</x:v>
      </x:c>
      <x:c r="U204" s="17" t="str">
        <x:v>1차: 지원서 자격적부 2차: 1차 필기전형/서류전형 3차: 2차 면접전형 최종: 3차 입사지원서 기재사항 진위확인 전형</x:v>
      </x:c>
      <x:c r="V204" s="17" t="str">
        <x:v>상세 페이지 확인</x:v>
      </x:c>
      <x:c r="W204" s="17" t="str">
        <x:v>https://www.knuh.kr/content/04information/02_01.asp</x:v>
      </x:c>
      <x:c r="X204" s="18" t="str">
        <x:v>https://job.alio.go.kr/recruitview.do?idx=304548</x:v>
      </x:c>
      <x:c r="Y204" s="1"/>
      <x:c r="Z204" s="1"/>
    </x:row>
    <x:row r="205" ht="54" customHeight="1">
      <x:c r="A205" s="17" t="n">
        <x:v>219</x:v>
      </x:c>
      <x:c r="B205" s="17" t="str">
        <x:v>한국보훈복지의료공단</x:v>
      </x:c>
      <x:c r="C205" s="17" t="str">
        <x:v>[원주보훈요양원] 2026년 제2차 체험형 청년인턴(장애인) 채용</x:v>
      </x:c>
      <x:c r="D205" s="17" t="str">
        <x:v>강원</x:v>
      </x:c>
      <x:c r="E205" s="17" t="str">
        <x:v>청년인턴(체험형)</x:v>
      </x:c>
      <x:c r="F205" s="17" t="str">
        <x:v>2026.09.02</x:v>
      </x:c>
      <x:c r="G205" s="17" t="str">
        <x:v>26.09.17 D-8</x:v>
      </x:c>
      <x:c r="H205" s="17" t="str">
        <x:v>체험형·청년인턴</x:v>
      </x:c>
      <x:c r="I205" s="17" t="str">
        <x:v>세부조건 확인</x:v>
      </x:c>
      <x:c r="J205" s="17" t="str">
        <x:v>제한 문구 미탐지</x:v>
      </x:c>
      <x:c r="K205" s="17" t="str">
        <x:v>상세공고 확인</x:v>
      </x:c>
      <x:c r="L205" s="17" t="str">
        <x:v>상세공고 확인</x:v>
      </x:c>
      <x:c r="M205" s="17" t="str">
        <x:v>상세공고 확인</x:v>
      </x:c>
      <x:c r="N205" s="17" t="str">
        <x:v>상세공고 확인</x:v>
      </x:c>
      <x:c r="O205" s="17" t="str">
        <x:v>상세공고 확인</x:v>
      </x:c>
      <x:c r="P205" s="17" t="str">
        <x:v>상세공고 확인</x:v>
      </x:c>
      <x:c r="Q205" s="17" t="str">
        <x:v>상세공고 확인</x:v>
      </x:c>
      <x:c r="R205" s="17" t="str">
        <x:v>상세공고 확인</x:v>
      </x:c>
      <x:c r="S205" s="17" t="str">
        <x:v>상세공고 확인</x:v>
      </x:c>
      <x:c r="T205" s="17" t="str">
        <x:v>상세공고 확인</x:v>
      </x:c>
      <x:c r="U205" s="17" t="str">
        <x:v>상세공고 확인</x:v>
      </x:c>
      <x:c r="V205" s="17" t="str">
        <x:v>목록 항목 확인</x:v>
      </x:c>
      <x:c r="W205" s="17" t="str">
        <x:v>공고 상세에서 확인</x:v>
      </x:c>
      <x:c r="X205" s="18" t="str">
        <x:v>https://job.alio.go.kr/recruitview.do?idx=304546</x:v>
      </x:c>
      <x:c r="Y205" s="1"/>
      <x:c r="Z205" s="1"/>
    </x:row>
    <x:row r="206" ht="54" customHeight="1">
      <x:c r="A206" s="17" t="n">
        <x:v>218</x:v>
      </x:c>
      <x:c r="B206" s="17" t="str">
        <x:v>한국학중앙연구원</x:v>
      </x:c>
      <x:c r="C206" s="17" t="str">
        <x:v>기능직(통신) 채용 공고</x:v>
      </x:c>
      <x:c r="D206" s="17" t="str">
        <x:v>경기</x:v>
      </x:c>
      <x:c r="E206" s="17" t="str">
        <x:v>정규직</x:v>
      </x:c>
      <x:c r="F206" s="17" t="str">
        <x:v>2026.09.02</x:v>
      </x:c>
      <x:c r="G206" s="17" t="str">
        <x:v>26.09.17 D-8</x:v>
      </x:c>
      <x:c r="H206" s="17" t="str">
        <x:v>정규직(세부 확인)</x:v>
      </x:c>
      <x:c r="I206" s="17" t="str">
        <x:v>세부조건 확인</x:v>
      </x:c>
      <x:c r="J206" s="17" t="str">
        <x:v>제한 문구 미탐지</x:v>
      </x:c>
      <x:c r="K206" s="17" t="str">
        <x:v>상세공고 확인</x:v>
      </x:c>
      <x:c r="L206" s="17" t="str">
        <x:v>상세공고 확인</x:v>
      </x:c>
      <x:c r="M206" s="17" t="str">
        <x:v>상세공고 확인</x:v>
      </x:c>
      <x:c r="N206" s="17" t="str">
        <x:v>상세공고 확인</x:v>
      </x:c>
      <x:c r="O206" s="17" t="str">
        <x:v>상세공고 확인</x:v>
      </x:c>
      <x:c r="P206" s="17" t="str">
        <x:v>상세공고 확인</x:v>
      </x:c>
      <x:c r="Q206" s="17" t="str">
        <x:v>상세공고 확인</x:v>
      </x:c>
      <x:c r="R206" s="17" t="str">
        <x:v>상세공고 확인</x:v>
      </x:c>
      <x:c r="S206" s="17" t="str">
        <x:v>상세공고 확인</x:v>
      </x:c>
      <x:c r="T206" s="17" t="str">
        <x:v>상세공고 확인</x:v>
      </x:c>
      <x:c r="U206" s="17" t="str">
        <x:v>상세공고 확인</x:v>
      </x:c>
      <x:c r="V206" s="17" t="str">
        <x:v>목록 항목 확인</x:v>
      </x:c>
      <x:c r="W206" s="17" t="str">
        <x:v>공고 상세에서 확인</x:v>
      </x:c>
      <x:c r="X206" s="18" t="str">
        <x:v>https://job.alio.go.kr/recruitview.do?idx=304545</x:v>
      </x:c>
      <x:c r="Y206" s="1"/>
      <x:c r="Z206" s="1"/>
    </x:row>
    <x:row r="207" ht="54" customHeight="1">
      <x:c r="A207" s="17" t="n">
        <x:v>217</x:v>
      </x:c>
      <x:c r="B207" s="17" t="str">
        <x:v>제주대학교병원</x:v>
      </x:c>
      <x:c r="C207" s="17" t="str">
        <x:v>제주대학교병원 휴직대체 계약직(보건의료정보관리사, 업무지원_환경) 모집공고</x:v>
      </x:c>
      <x:c r="D207" s="17" t="str">
        <x:v>제주</x:v>
      </x:c>
      <x:c r="E207" s="17" t="str">
        <x:v>비정규직</x:v>
      </x:c>
      <x:c r="F207" s="17" t="str">
        <x:v>2026.09.02</x:v>
      </x:c>
      <x:c r="G207" s="17" t="str">
        <x:v>26.09.09 D+0</x:v>
      </x:c>
      <x:c r="H207" s="17" t="str">
        <x:v>기간제·비정규</x:v>
      </x:c>
      <x:c r="I207" s="17" t="str">
        <x:v>세부조건 확인</x:v>
      </x:c>
      <x:c r="J207" s="17" t="str">
        <x:v>제한 문구 미탐지</x:v>
      </x:c>
      <x:c r="K207" s="17" t="str">
        <x:v>상세공고 확인</x:v>
      </x:c>
      <x:c r="L207" s="17" t="str">
        <x:v>상세공고 확인</x:v>
      </x:c>
      <x:c r="M207" s="17" t="str">
        <x:v>상세공고 확인</x:v>
      </x:c>
      <x:c r="N207" s="17" t="str">
        <x:v>상세공고 확인</x:v>
      </x:c>
      <x:c r="O207" s="17" t="str">
        <x:v>상세공고 확인</x:v>
      </x:c>
      <x:c r="P207" s="17" t="str">
        <x:v>상세공고 확인</x:v>
      </x:c>
      <x:c r="Q207" s="17" t="str">
        <x:v>상세공고 확인</x:v>
      </x:c>
      <x:c r="R207" s="17" t="str">
        <x:v>상세공고 확인</x:v>
      </x:c>
      <x:c r="S207" s="17" t="str">
        <x:v>상세공고 확인</x:v>
      </x:c>
      <x:c r="T207" s="17" t="str">
        <x:v>상세공고 확인</x:v>
      </x:c>
      <x:c r="U207" s="17" t="str">
        <x:v>상세공고 확인</x:v>
      </x:c>
      <x:c r="V207" s="17" t="str">
        <x:v>목록 항목 확인</x:v>
      </x:c>
      <x:c r="W207" s="17" t="str">
        <x:v>공고 상세에서 확인</x:v>
      </x:c>
      <x:c r="X207" s="18" t="str">
        <x:v>https://job.alio.go.kr/recruitview.do?idx=304543</x:v>
      </x:c>
      <x:c r="Y207" s="1"/>
      <x:c r="Z207" s="1"/>
    </x:row>
    <x:row r="208" ht="54" customHeight="1">
      <x:c r="A208" s="17" t="n">
        <x:v>216</x:v>
      </x:c>
      <x:c r="B208" s="17" t="str">
        <x:v>제주대학교병원</x:v>
      </x:c>
      <x:c r="C208" s="17" t="str">
        <x:v>제주대학교병원 원무직(업무보조) 모집공고</x:v>
      </x:c>
      <x:c r="D208" s="17" t="str">
        <x:v>제주</x:v>
      </x:c>
      <x:c r="E208" s="17" t="str">
        <x:v>정규직</x:v>
      </x:c>
      <x:c r="F208" s="17" t="str">
        <x:v>2026.09.02</x:v>
      </x:c>
      <x:c r="G208" s="17" t="str">
        <x:v>26.09.09 D+0</x:v>
      </x:c>
      <x:c r="H208" s="17" t="str">
        <x:v>정규직(세부 확인)</x:v>
      </x:c>
      <x:c r="I208" s="17" t="str">
        <x:v>세부조건 확인</x:v>
      </x:c>
      <x:c r="J208" s="17" t="str">
        <x:v>제한 문구 미탐지</x:v>
      </x:c>
      <x:c r="K208" s="17" t="str">
        <x:v>상세공고 확인</x:v>
      </x:c>
      <x:c r="L208" s="17" t="str">
        <x:v>상세공고 확인</x:v>
      </x:c>
      <x:c r="M208" s="17" t="str">
        <x:v>상세공고 확인</x:v>
      </x:c>
      <x:c r="N208" s="17" t="str">
        <x:v>상세공고 확인</x:v>
      </x:c>
      <x:c r="O208" s="17" t="str">
        <x:v>상세공고 확인</x:v>
      </x:c>
      <x:c r="P208" s="17" t="str">
        <x:v>상세공고 확인</x:v>
      </x:c>
      <x:c r="Q208" s="17" t="str">
        <x:v>상세공고 확인</x:v>
      </x:c>
      <x:c r="R208" s="17" t="str">
        <x:v>상세공고 확인</x:v>
      </x:c>
      <x:c r="S208" s="17" t="str">
        <x:v>상세공고 확인</x:v>
      </x:c>
      <x:c r="T208" s="17" t="str">
        <x:v>상세공고 확인</x:v>
      </x:c>
      <x:c r="U208" s="17" t="str">
        <x:v>상세공고 확인</x:v>
      </x:c>
      <x:c r="V208" s="17" t="str">
        <x:v>목록 항목 확인</x:v>
      </x:c>
      <x:c r="W208" s="17" t="str">
        <x:v>공고 상세에서 확인</x:v>
      </x:c>
      <x:c r="X208" s="18" t="str">
        <x:v>https://job.alio.go.kr/recruitview.do?idx=304542</x:v>
      </x:c>
      <x:c r="Y208" s="1"/>
      <x:c r="Z208" s="1"/>
    </x:row>
    <x:row r="209" ht="54" customHeight="1">
      <x:c r="A209" s="17" t="n">
        <x:v>215</x:v>
      </x:c>
      <x:c r="B209" s="17" t="str">
        <x:v>한국학중앙연구원</x:v>
      </x:c>
      <x:c r="C209" s="17" t="str">
        <x:v>교원 초빙 공고</x:v>
      </x:c>
      <x:c r="D209" s="17" t="str">
        <x:v>경기</x:v>
      </x:c>
      <x:c r="E209" s="17" t="str">
        <x:v>정규직</x:v>
      </x:c>
      <x:c r="F209" s="17" t="str">
        <x:v>2026.09.02</x:v>
      </x:c>
      <x:c r="G209" s="17" t="str">
        <x:v>26.09.17 D-8</x:v>
      </x:c>
      <x:c r="H209" s="17" t="str">
        <x:v>정규직(세부 확인)</x:v>
      </x:c>
      <x:c r="I209" s="17" t="str">
        <x:v>세부조건 확인</x:v>
      </x:c>
      <x:c r="J209" s="17" t="str">
        <x:v>제한 문구 미탐지</x:v>
      </x:c>
      <x:c r="K209" s="17" t="str">
        <x:v>상세공고 확인</x:v>
      </x:c>
      <x:c r="L209" s="17" t="str">
        <x:v>상세공고 확인</x:v>
      </x:c>
      <x:c r="M209" s="17" t="str">
        <x:v>상세공고 확인</x:v>
      </x:c>
      <x:c r="N209" s="17" t="str">
        <x:v>상세공고 확인</x:v>
      </x:c>
      <x:c r="O209" s="17" t="str">
        <x:v>상세공고 확인</x:v>
      </x:c>
      <x:c r="P209" s="17" t="str">
        <x:v>상세공고 확인</x:v>
      </x:c>
      <x:c r="Q209" s="17" t="str">
        <x:v>상세공고 확인</x:v>
      </x:c>
      <x:c r="R209" s="17" t="str">
        <x:v>상세공고 확인</x:v>
      </x:c>
      <x:c r="S209" s="17" t="str">
        <x:v>상세공고 확인</x:v>
      </x:c>
      <x:c r="T209" s="17" t="str">
        <x:v>상세공고 확인</x:v>
      </x:c>
      <x:c r="U209" s="17" t="str">
        <x:v>상세공고 확인</x:v>
      </x:c>
      <x:c r="V209" s="17" t="str">
        <x:v>목록 항목 확인</x:v>
      </x:c>
      <x:c r="W209" s="17" t="str">
        <x:v>공고 상세에서 확인</x:v>
      </x:c>
      <x:c r="X209" s="18" t="str">
        <x:v>https://job.alio.go.kr/recruitview.do?idx=304540</x:v>
      </x:c>
      <x:c r="Y209" s="1"/>
      <x:c r="Z209" s="1"/>
    </x:row>
    <x:row r="210" ht="54" customHeight="1">
      <x:c r="A210" s="17" t="n">
        <x:v>214</x:v>
      </x:c>
      <x:c r="B210" s="17" t="str">
        <x:v>대한적십자사</x:v>
      </x:c>
      <x:c r="C210" s="17" t="str">
        <x:v>2026년도 제9차 혈액관리본부 소속기관 의무직 신규채용 공고(중앙혈액검사센터)</x:v>
      </x:c>
      <x:c r="D210" s="17" t="str">
        <x:v>서울</x:v>
      </x:c>
      <x:c r="E210" s="17" t="str">
        <x:v>비정규직</x:v>
      </x:c>
      <x:c r="F210" s="17" t="str">
        <x:v>2026.09.02</x:v>
      </x:c>
      <x:c r="G210" s="17" t="str">
        <x:v>26.09.17 D-8</x:v>
      </x:c>
      <x:c r="H210" s="17" t="str">
        <x:v>기간제·비정규</x:v>
      </x:c>
      <x:c r="I210" s="17" t="str">
        <x:v>세부조건 확인</x:v>
      </x:c>
      <x:c r="J210" s="17" t="str">
        <x:v>제한 문구 미탐지</x:v>
      </x:c>
      <x:c r="K210" s="17" t="str">
        <x:v>상세공고 확인</x:v>
      </x:c>
      <x:c r="L210" s="17" t="str">
        <x:v>상세공고 확인</x:v>
      </x:c>
      <x:c r="M210" s="17" t="str">
        <x:v>상세공고 확인</x:v>
      </x:c>
      <x:c r="N210" s="17" t="str">
        <x:v>상세공고 확인</x:v>
      </x:c>
      <x:c r="O210" s="17" t="str">
        <x:v>상세공고 확인</x:v>
      </x:c>
      <x:c r="P210" s="17" t="str">
        <x:v>상세공고 확인</x:v>
      </x:c>
      <x:c r="Q210" s="17" t="str">
        <x:v>상세공고 확인</x:v>
      </x:c>
      <x:c r="R210" s="17" t="str">
        <x:v>상세공고 확인</x:v>
      </x:c>
      <x:c r="S210" s="17" t="str">
        <x:v>상세공고 확인</x:v>
      </x:c>
      <x:c r="T210" s="17" t="str">
        <x:v>상세공고 확인</x:v>
      </x:c>
      <x:c r="U210" s="17" t="str">
        <x:v>상세공고 확인</x:v>
      </x:c>
      <x:c r="V210" s="17" t="str">
        <x:v>목록 항목 확인</x:v>
      </x:c>
      <x:c r="W210" s="17" t="str">
        <x:v>공고 상세에서 확인</x:v>
      </x:c>
      <x:c r="X210" s="18" t="str">
        <x:v>https://job.alio.go.kr/recruitview.do?idx=304539</x:v>
      </x:c>
      <x:c r="Y210" s="1"/>
      <x:c r="Z210" s="1"/>
    </x:row>
    <x:row r="211" ht="54" customHeight="1">
      <x:c r="A211" s="17" t="n">
        <x:v>213</x:v>
      </x:c>
      <x:c r="B211" s="17" t="str">
        <x:v>한국콘텐츠진흥원</x:v>
      </x:c>
      <x:c r="C211" s="17" t="str">
        <x:v>2026년 4분기 한국콘텐츠진흥원 기간제 계약직원 채용 공고</x:v>
      </x:c>
      <x:c r="D211" s="17" t="str">
        <x:v>서울</x:v>
      </x:c>
      <x:c r="E211" s="17" t="str">
        <x:v>비정규직</x:v>
      </x:c>
      <x:c r="F211" s="17" t="str">
        <x:v>2026.09.02</x:v>
      </x:c>
      <x:c r="G211" s="17" t="str">
        <x:v>26.09.16 D-7</x:v>
      </x:c>
      <x:c r="H211" s="17" t="str">
        <x:v>기간제·비정규</x:v>
      </x:c>
      <x:c r="I211" s="17" t="str">
        <x:v>세부조건 확인</x:v>
      </x:c>
      <x:c r="J211" s="17" t="str">
        <x:v>제한 문구 미탐지</x:v>
      </x:c>
      <x:c r="K211" s="17" t="str">
        <x:v>상세공고 확인</x:v>
      </x:c>
      <x:c r="L211" s="17" t="str">
        <x:v>상세공고 확인</x:v>
      </x:c>
      <x:c r="M211" s="17" t="str">
        <x:v>상세공고 확인</x:v>
      </x:c>
      <x:c r="N211" s="17" t="str">
        <x:v>상세공고 확인</x:v>
      </x:c>
      <x:c r="O211" s="17" t="str">
        <x:v>상세공고 확인</x:v>
      </x:c>
      <x:c r="P211" s="17" t="str">
        <x:v>상세공고 확인</x:v>
      </x:c>
      <x:c r="Q211" s="17" t="str">
        <x:v>상세공고 확인</x:v>
      </x:c>
      <x:c r="R211" s="17" t="str">
        <x:v>상세공고 확인</x:v>
      </x:c>
      <x:c r="S211" s="17" t="str">
        <x:v>상세공고 확인</x:v>
      </x:c>
      <x:c r="T211" s="17" t="str">
        <x:v>상세공고 확인</x:v>
      </x:c>
      <x:c r="U211" s="17" t="str">
        <x:v>상세공고 확인</x:v>
      </x:c>
      <x:c r="V211" s="17" t="str">
        <x:v>목록 항목 확인</x:v>
      </x:c>
      <x:c r="W211" s="17" t="str">
        <x:v>공고 상세에서 확인</x:v>
      </x:c>
      <x:c r="X211" s="18" t="str">
        <x:v>https://job.alio.go.kr/recruitview.do?idx=304538</x:v>
      </x:c>
      <x:c r="Y211" s="1"/>
      <x:c r="Z211" s="1"/>
    </x:row>
    <x:row r="212" ht="54" customHeight="1">
      <x:c r="A212" s="17" t="n">
        <x:v>212</x:v>
      </x:c>
      <x:c r="B212" s="17" t="str">
        <x:v>대한적십자사</x:v>
      </x:c>
      <x:c r="C212" s="17" t="str">
        <x:v>2026년도 제4차 혈액관리본부 소속기관 원장 신규채용 공고(중부혈액검사센터)</x:v>
      </x:c>
      <x:c r="D212" s="17" t="str">
        <x:v>대전</x:v>
      </x:c>
      <x:c r="E212" s="17" t="str">
        <x:v>비정규직</x:v>
      </x:c>
      <x:c r="F212" s="17" t="str">
        <x:v>2026.09.02</x:v>
      </x:c>
      <x:c r="G212" s="17" t="str">
        <x:v>26.09.17 D-8</x:v>
      </x:c>
      <x:c r="H212" s="17" t="str">
        <x:v>경력·전문직</x:v>
      </x:c>
      <x:c r="I212" s="17" t="str">
        <x:v>경력·전문 우선</x:v>
      </x:c>
      <x:c r="J212" s="17" t="str">
        <x:v>제한 문구 미탐지</x:v>
      </x:c>
      <x:c r="K212" s="17" t="str">
        <x:v>상세공고 확인</x:v>
      </x:c>
      <x:c r="L212" s="17" t="str">
        <x:v>상세공고 확인</x:v>
      </x:c>
      <x:c r="M212" s="17" t="str">
        <x:v>상세공고 확인</x:v>
      </x:c>
      <x:c r="N212" s="17" t="str">
        <x:v>상세공고 확인</x:v>
      </x:c>
      <x:c r="O212" s="17" t="str">
        <x:v>상세공고 확인</x:v>
      </x:c>
      <x:c r="P212" s="17" t="str">
        <x:v>상세공고 확인</x:v>
      </x:c>
      <x:c r="Q212" s="17" t="str">
        <x:v>상세공고 확인</x:v>
      </x:c>
      <x:c r="R212" s="17" t="str">
        <x:v>상세공고 확인</x:v>
      </x:c>
      <x:c r="S212" s="17" t="str">
        <x:v>상세공고 확인</x:v>
      </x:c>
      <x:c r="T212" s="17" t="str">
        <x:v>상세공고 확인</x:v>
      </x:c>
      <x:c r="U212" s="17" t="str">
        <x:v>상세공고 확인</x:v>
      </x:c>
      <x:c r="V212" s="17" t="str">
        <x:v>목록 항목 확인</x:v>
      </x:c>
      <x:c r="W212" s="17" t="str">
        <x:v>공고 상세에서 확인</x:v>
      </x:c>
      <x:c r="X212" s="18" t="str">
        <x:v>https://job.alio.go.kr/recruitview.do?idx=304536</x:v>
      </x:c>
      <x:c r="Y212" s="1"/>
      <x:c r="Z212" s="1"/>
    </x:row>
    <x:row r="213" ht="54" customHeight="1">
      <x:c r="A213" s="17" t="n">
        <x:v>211</x:v>
      </x:c>
      <x:c r="B213" s="17" t="str">
        <x:v>한국콘텐츠진흥원</x:v>
      </x:c>
      <x:c r="C213" s="17" t="str">
        <x:v>2026년 4분기 한국콘텐츠진흥원 경력직원 채용 공고</x:v>
      </x:c>
      <x:c r="D213" s="17" t="str">
        <x:v>전남광주</x:v>
      </x:c>
      <x:c r="E213" s="17" t="str">
        <x:v>무기계약직</x:v>
      </x:c>
      <x:c r="F213" s="17" t="str">
        <x:v>2026.09.02</x:v>
      </x:c>
      <x:c r="G213" s="17" t="str">
        <x:v>26.09.16 D-7</x:v>
      </x:c>
      <x:c r="H213" s="17" t="str">
        <x:v>경력·전문직</x:v>
      </x:c>
      <x:c r="I213" s="17" t="str">
        <x:v>경력·전문 우선</x:v>
      </x:c>
      <x:c r="J213" s="17" t="str">
        <x:v>제한 문구 미탐지</x:v>
      </x:c>
      <x:c r="K213" s="17" t="str">
        <x:v>상세공고 확인</x:v>
      </x:c>
      <x:c r="L213" s="17" t="str">
        <x:v>상세공고 확인</x:v>
      </x:c>
      <x:c r="M213" s="17" t="str">
        <x:v>상세공고 확인</x:v>
      </x:c>
      <x:c r="N213" s="17" t="str">
        <x:v>상세공고 확인</x:v>
      </x:c>
      <x:c r="O213" s="17" t="str">
        <x:v>상세공고 확인</x:v>
      </x:c>
      <x:c r="P213" s="17" t="str">
        <x:v>상세공고 확인</x:v>
      </x:c>
      <x:c r="Q213" s="17" t="str">
        <x:v>상세공고 확인</x:v>
      </x:c>
      <x:c r="R213" s="17" t="str">
        <x:v>상세공고 확인</x:v>
      </x:c>
      <x:c r="S213" s="17" t="str">
        <x:v>상세공고 확인</x:v>
      </x:c>
      <x:c r="T213" s="17" t="str">
        <x:v>상세공고 확인</x:v>
      </x:c>
      <x:c r="U213" s="17" t="str">
        <x:v>상세공고 확인</x:v>
      </x:c>
      <x:c r="V213" s="17" t="str">
        <x:v>목록 항목 확인</x:v>
      </x:c>
      <x:c r="W213" s="17" t="str">
        <x:v>공고 상세에서 확인</x:v>
      </x:c>
      <x:c r="X213" s="18" t="str">
        <x:v>https://job.alio.go.kr/recruitview.do?idx=304535</x:v>
      </x:c>
      <x:c r="Y213" s="1"/>
      <x:c r="Z213" s="1"/>
    </x:row>
    <x:row r="214" ht="54" customHeight="1">
      <x:c r="A214" s="17" t="n">
        <x:v>210</x:v>
      </x:c>
      <x:c r="B214" s="17" t="str">
        <x:v>한국장애인고용공단</x:v>
      </x:c>
      <x:c r="C214" s="17" t="str">
        <x:v>[경기남부직업능력개발원] 기간제근로자(전산관리원 대체인력) 공개경쟁 채용</x:v>
      </x:c>
      <x:c r="D214" s="17" t="str">
        <x:v>경기</x:v>
      </x:c>
      <x:c r="E214" s="17" t="str">
        <x:v>비정규직</x:v>
      </x:c>
      <x:c r="F214" s="17" t="str">
        <x:v>2026.09.02</x:v>
      </x:c>
      <x:c r="G214" s="17" t="str">
        <x:v>26.09.14 D-5</x:v>
      </x:c>
      <x:c r="H214" s="17" t="str">
        <x:v>기간제·비정규</x:v>
      </x:c>
      <x:c r="I214" s="17" t="str">
        <x:v>세부조건 확인</x:v>
      </x:c>
      <x:c r="J214" s="17" t="str">
        <x:v>제한 문구 미탐지</x:v>
      </x:c>
      <x:c r="K214" s="17" t="str">
        <x:v>상세공고 확인</x:v>
      </x:c>
      <x:c r="L214" s="17" t="str">
        <x:v>상세공고 확인</x:v>
      </x:c>
      <x:c r="M214" s="17" t="str">
        <x:v>상세공고 확인</x:v>
      </x:c>
      <x:c r="N214" s="17" t="str">
        <x:v>상세공고 확인</x:v>
      </x:c>
      <x:c r="O214" s="17" t="str">
        <x:v>상세공고 확인</x:v>
      </x:c>
      <x:c r="P214" s="17" t="str">
        <x:v>상세공고 확인</x:v>
      </x:c>
      <x:c r="Q214" s="17" t="str">
        <x:v>상세공고 확인</x:v>
      </x:c>
      <x:c r="R214" s="17" t="str">
        <x:v>상세공고 확인</x:v>
      </x:c>
      <x:c r="S214" s="17" t="str">
        <x:v>상세공고 확인</x:v>
      </x:c>
      <x:c r="T214" s="17" t="str">
        <x:v>상세공고 확인</x:v>
      </x:c>
      <x:c r="U214" s="17" t="str">
        <x:v>상세공고 확인</x:v>
      </x:c>
      <x:c r="V214" s="17" t="str">
        <x:v>목록 항목 확인</x:v>
      </x:c>
      <x:c r="W214" s="17" t="str">
        <x:v>공고 상세에서 확인</x:v>
      </x:c>
      <x:c r="X214" s="18" t="str">
        <x:v>https://job.alio.go.kr/recruitview.do?idx=304534</x:v>
      </x:c>
      <x:c r="Y214" s="1"/>
      <x:c r="Z214" s="1"/>
    </x:row>
    <x:row r="215" ht="54" customHeight="1">
      <x:c r="A215" s="17" t="n">
        <x:v>209</x:v>
      </x:c>
      <x:c r="B215" s="17" t="str">
        <x:v>한국학중앙연구원</x:v>
      </x:c>
      <x:c r="C215" s="17" t="str">
        <x:v>비정규직(휴직 대체인력) 채용 공고</x:v>
      </x:c>
      <x:c r="D215" s="17" t="str">
        <x:v>경기</x:v>
      </x:c>
      <x:c r="E215" s="17" t="str">
        <x:v>비정규직</x:v>
      </x:c>
      <x:c r="F215" s="17" t="str">
        <x:v>2026.09.02</x:v>
      </x:c>
      <x:c r="G215" s="17" t="str">
        <x:v>26.09.17 D-8</x:v>
      </x:c>
      <x:c r="H215" s="17" t="str">
        <x:v>기간제·비정규</x:v>
      </x:c>
      <x:c r="I215" s="17" t="str">
        <x:v>세부조건 확인</x:v>
      </x:c>
      <x:c r="J215" s="17" t="str">
        <x:v>제한 문구 미탐지</x:v>
      </x:c>
      <x:c r="K215" s="17" t="str">
        <x:v>상세공고 확인</x:v>
      </x:c>
      <x:c r="L215" s="17" t="str">
        <x:v>상세공고 확인</x:v>
      </x:c>
      <x:c r="M215" s="17" t="str">
        <x:v>상세공고 확인</x:v>
      </x:c>
      <x:c r="N215" s="17" t="str">
        <x:v>상세공고 확인</x:v>
      </x:c>
      <x:c r="O215" s="17" t="str">
        <x:v>상세공고 확인</x:v>
      </x:c>
      <x:c r="P215" s="17" t="str">
        <x:v>상세공고 확인</x:v>
      </x:c>
      <x:c r="Q215" s="17" t="str">
        <x:v>상세공고 확인</x:v>
      </x:c>
      <x:c r="R215" s="17" t="str">
        <x:v>상세공고 확인</x:v>
      </x:c>
      <x:c r="S215" s="17" t="str">
        <x:v>상세공고 확인</x:v>
      </x:c>
      <x:c r="T215" s="17" t="str">
        <x:v>상세공고 확인</x:v>
      </x:c>
      <x:c r="U215" s="17" t="str">
        <x:v>상세공고 확인</x:v>
      </x:c>
      <x:c r="V215" s="17" t="str">
        <x:v>목록 항목 확인</x:v>
      </x:c>
      <x:c r="W215" s="17" t="str">
        <x:v>공고 상세에서 확인</x:v>
      </x:c>
      <x:c r="X215" s="18" t="str">
        <x:v>https://job.alio.go.kr/recruitview.do?idx=304533</x:v>
      </x:c>
      <x:c r="Y215" s="1"/>
      <x:c r="Z215" s="1"/>
    </x:row>
    <x:row r="216" ht="54" customHeight="1">
      <x:c r="A216" s="17" t="n">
        <x:v>208</x:v>
      </x:c>
      <x:c r="B216" s="17" t="str">
        <x:v>대한적십자사</x:v>
      </x:c>
      <x:c r="C216" s="17" t="str">
        <x:v>상주적십자병원 직원(정규직 간호사, 정규직 간호조무사, 정규직 기술직_운전원, 비정규직 사무보조원, 비정규직 임상병리사) 모집 공고</x:v>
      </x:c>
      <x:c r="D216" s="17" t="str">
        <x:v>경북</x:v>
      </x:c>
      <x:c r="E216" s="17" t="str">
        <x:v>비정규직 외 1</x:v>
      </x:c>
      <x:c r="F216" s="17" t="str">
        <x:v>2026.09.02</x:v>
      </x:c>
      <x:c r="G216" s="17" t="str">
        <x:v>26.09.18 D-9</x:v>
      </x:c>
      <x:c r="H216" s="17" t="str">
        <x:v>경력·전문직</x:v>
      </x:c>
      <x:c r="I216" s="17" t="str">
        <x:v>경력·전문 우선</x:v>
      </x:c>
      <x:c r="J216" s="17" t="str">
        <x:v>제한 문구 미탐지</x:v>
      </x:c>
      <x:c r="K216" s="17" t="str">
        <x:v>상세공고 확인</x:v>
      </x:c>
      <x:c r="L216" s="17" t="str">
        <x:v>상세공고 확인</x:v>
      </x:c>
      <x:c r="M216" s="17" t="str">
        <x:v>상세공고 확인</x:v>
      </x:c>
      <x:c r="N216" s="17" t="str">
        <x:v>상세공고 확인</x:v>
      </x:c>
      <x:c r="O216" s="17" t="str">
        <x:v>상세공고 확인</x:v>
      </x:c>
      <x:c r="P216" s="17" t="str">
        <x:v>상세공고 확인</x:v>
      </x:c>
      <x:c r="Q216" s="17" t="str">
        <x:v>상세공고 확인</x:v>
      </x:c>
      <x:c r="R216" s="17" t="str">
        <x:v>상세공고 확인</x:v>
      </x:c>
      <x:c r="S216" s="17" t="str">
        <x:v>상세공고 확인</x:v>
      </x:c>
      <x:c r="T216" s="17" t="str">
        <x:v>상세공고 확인</x:v>
      </x:c>
      <x:c r="U216" s="17" t="str">
        <x:v>상세공고 확인</x:v>
      </x:c>
      <x:c r="V216" s="17" t="str">
        <x:v>목록 항목 확인</x:v>
      </x:c>
      <x:c r="W216" s="17" t="str">
        <x:v>공고 상세에서 확인</x:v>
      </x:c>
      <x:c r="X216" s="18" t="str">
        <x:v>https://job.alio.go.kr/recruitview.do?idx=304532</x:v>
      </x:c>
      <x:c r="Y216" s="1"/>
      <x:c r="Z216" s="1"/>
    </x:row>
    <x:row r="217" ht="54" customHeight="1">
      <x:c r="A217" s="17" t="n">
        <x:v>207</x:v>
      </x:c>
      <x:c r="B217" s="17" t="str">
        <x:v>한국장애인고용공단</x:v>
      </x:c>
      <x:c r="C217" s="17" t="str">
        <x:v>[경기남부직업능력개발원] 특정업무직(운영지원직) 시설정비원(주간) 채용</x:v>
      </x:c>
      <x:c r="D217" s="17" t="str">
        <x:v>경기</x:v>
      </x:c>
      <x:c r="E217" s="17" t="str">
        <x:v>무기계약직 외 1</x:v>
      </x:c>
      <x:c r="F217" s="17" t="str">
        <x:v>2026.09.02</x:v>
      </x:c>
      <x:c r="G217" s="17" t="str">
        <x:v>26.09.14 D-5</x:v>
      </x:c>
      <x:c r="H217" s="17" t="str">
        <x:v>무기계약·공무직</x:v>
      </x:c>
      <x:c r="I217" s="17" t="str">
        <x:v>세부조건 확인</x:v>
      </x:c>
      <x:c r="J217" s="17" t="str">
        <x:v>제한 문구 미탐지</x:v>
      </x:c>
      <x:c r="K217" s="17" t="str">
        <x:v>상세공고 확인</x:v>
      </x:c>
      <x:c r="L217" s="17" t="str">
        <x:v>상세공고 확인</x:v>
      </x:c>
      <x:c r="M217" s="17" t="str">
        <x:v>상세공고 확인</x:v>
      </x:c>
      <x:c r="N217" s="17" t="str">
        <x:v>상세공고 확인</x:v>
      </x:c>
      <x:c r="O217" s="17" t="str">
        <x:v>상세공고 확인</x:v>
      </x:c>
      <x:c r="P217" s="17" t="str">
        <x:v>상세공고 확인</x:v>
      </x:c>
      <x:c r="Q217" s="17" t="str">
        <x:v>상세공고 확인</x:v>
      </x:c>
      <x:c r="R217" s="17" t="str">
        <x:v>상세공고 확인</x:v>
      </x:c>
      <x:c r="S217" s="17" t="str">
        <x:v>상세공고 확인</x:v>
      </x:c>
      <x:c r="T217" s="17" t="str">
        <x:v>상세공고 확인</x:v>
      </x:c>
      <x:c r="U217" s="17" t="str">
        <x:v>상세공고 확인</x:v>
      </x:c>
      <x:c r="V217" s="17" t="str">
        <x:v>목록 항목 확인</x:v>
      </x:c>
      <x:c r="W217" s="17" t="str">
        <x:v>공고 상세에서 확인</x:v>
      </x:c>
      <x:c r="X217" s="18" t="str">
        <x:v>https://job.alio.go.kr/recruitview.do?idx=304531</x:v>
      </x:c>
      <x:c r="Y217" s="1"/>
      <x:c r="Z217" s="1"/>
    </x:row>
    <x:row r="218" ht="54" customHeight="1">
      <x:c r="A218" s="17" t="n">
        <x:v>206</x:v>
      </x:c>
      <x:c r="B218" s="17" t="str">
        <x:v>한국콘텐츠진흥원</x:v>
      </x:c>
      <x:c r="C218" s="17" t="str">
        <x:v>(수정) 2026년 4분기 한국콘텐츠진흥원 공무직원(환경미화(보훈), 조리) 채용 공고</x:v>
      </x:c>
      <x:c r="D218" s="17" t="str">
        <x:v>서울 외 1</x:v>
      </x:c>
      <x:c r="E218" s="17" t="str">
        <x:v>무기계약직</x:v>
      </x:c>
      <x:c r="F218" s="17" t="str">
        <x:v>2026.09.02</x:v>
      </x:c>
      <x:c r="G218" s="17" t="str">
        <x:v>26.09.16 D-7</x:v>
      </x:c>
      <x:c r="H218" s="17" t="str">
        <x:v>제한경쟁·조건부</x:v>
      </x:c>
      <x:c r="I218" s="17" t="str">
        <x:v>조건 충족자만</x:v>
      </x:c>
      <x:c r="J218" s="17" t="str">
        <x:v>보훈 관련 제한경쟁</x:v>
      </x:c>
      <x:c r="K218" s="17" t="str">
        <x:v>상세공고 확인</x:v>
      </x:c>
      <x:c r="L218" s="17" t="str">
        <x:v>상세공고 확인</x:v>
      </x:c>
      <x:c r="M218" s="17" t="str">
        <x:v>상세공고 확인</x:v>
      </x:c>
      <x:c r="N218" s="17" t="str">
        <x:v>상세공고 확인</x:v>
      </x:c>
      <x:c r="O218" s="17" t="str">
        <x:v>상세공고 확인</x:v>
      </x:c>
      <x:c r="P218" s="17" t="str">
        <x:v>상세공고 확인</x:v>
      </x:c>
      <x:c r="Q218" s="17" t="str">
        <x:v>상세공고 확인</x:v>
      </x:c>
      <x:c r="R218" s="17" t="str">
        <x:v>상세공고 확인</x:v>
      </x:c>
      <x:c r="S218" s="17" t="str">
        <x:v>상세공고 확인</x:v>
      </x:c>
      <x:c r="T218" s="17" t="str">
        <x:v>상세공고 확인</x:v>
      </x:c>
      <x:c r="U218" s="17" t="str">
        <x:v>상세공고 확인</x:v>
      </x:c>
      <x:c r="V218" s="17" t="str">
        <x:v>목록 항목 확인</x:v>
      </x:c>
      <x:c r="W218" s="17" t="str">
        <x:v>공고 상세에서 확인</x:v>
      </x:c>
      <x:c r="X218" s="18" t="str">
        <x:v>https://job.alio.go.kr/recruitview.do?idx=304724</x:v>
      </x:c>
      <x:c r="Y218" s="1"/>
      <x:c r="Z218" s="1"/>
    </x:row>
    <x:row r="219" ht="54" customHeight="1">
      <x:c r="A219" s="17" t="n">
        <x:v>205</x:v>
      </x:c>
      <x:c r="B219" s="17" t="str">
        <x:v>한식진흥원</x:v>
      </x:c>
      <x:c r="C219" s="17" t="str">
        <x:v>2026년 제4차 한식진흥원 공개채용 공고</x:v>
      </x:c>
      <x:c r="D219" s="17" t="str">
        <x:v>서울 외 1</x:v>
      </x:c>
      <x:c r="E219" s="17" t="str">
        <x:v>정규직</x:v>
      </x:c>
      <x:c r="F219" s="17" t="str">
        <x:v>2026.09.02</x:v>
      </x:c>
      <x:c r="G219" s="17" t="str">
        <x:v>26.09.18 D-9</x:v>
      </x:c>
      <x:c r="H219" s="17" t="str">
        <x:v>정규직(세부 확인)</x:v>
      </x:c>
      <x:c r="I219" s="17" t="str">
        <x:v>검토</x:v>
      </x:c>
      <x:c r="J219" s="17" t="str">
        <x:v>제한 문구 미탐지</x:v>
      </x:c>
      <x:c r="K219" s="17" t="str">
        <x:v>신입+경력</x:v>
      </x:c>
      <x:c r="L219" s="17" t="str">
        <x:v>학력무관</x:v>
      </x:c>
      <x:c r="M219" s="17" t="str">
        <x:v>3명</x:v>
      </x:c>
      <x:c r="N219" s="17" t="str">
        <x:v>경영.회계.사무,문화.예술.디자인.방송</x:v>
      </x:c>
      <x:c r="O219" s="17" t="str">
        <x:v>취업지원대상자, 장애인, 정부권장정책에 해당하는 경우</x:v>
      </x:c>
      <x:c r="P219" s="17" t="str">
        <x:v>미탐지(원문 재확인)</x:v>
      </x:c>
      <x:c r="Q219" s="17" t="str">
        <x:v>상세공고 확인</x:v>
      </x:c>
      <x:c r="R219" s="17" t="str">
        <x:v>(공통) 1. 임용일 기준 개인사업, 타 기관, 기업에 재직하는 등 겸직 사실이 없는 자 2. 만 18세 이상이고, 접수마감일 기준 정년(만60세) 이하인 자 3. 채용 확정 후 즉시 근무가 가능한 자(임용 예정일 변경 및 유예 불가) * 채용직무별 자격사항은 첨부된 채용공고문 참고</x:v>
      </x:c>
      <x:c r="S219" s="17" t="str">
        <x:v>상세공고 확인</x:v>
      </x:c>
      <x:c r="T219" s="17" t="str">
        <x:v>ㅁ 전형절차 : 서류전형, 필기전형, 면접전형, 최종합격 ㅇ 서류전형 - 평가기준 : 정량평가 및 정성평가 - 합격자 배수 : 12배수 이내 ㅇ 필기전형 - 평가과목 : 직무별 상이 - 합격자 배수 : 6배수 이내 ㅇ 면접전형 - 평가방법 : 직무별 상이 - 합격자배수 : 1배수 이내 ㅇ 이의제기 신청 기간 - 신청기간 : 10.16. ~ 10.22. 14시 - 신청방법 : 필수 기재항목(성명, 이메일, 연락처, 이의제기 상세이유)을 작성하여 이메일(recruit@hansik.or.kr)로 신청 - 결과회신 : 10.27. 회신 예정(개별 이메일 회신) ㅇ 최종합격 - 제출서류 등 검증 ※ 보다 자세한 사항은 첨부된 채용공고문 참조</x:v>
      </x:c>
      <x:c r="U219" s="17" t="str">
        <x:v>ㅁ 전형절차 : 서류전형, 필기전형, 면접전형, 최종합격 ㅇ 서류전형 - 평가기준 : 정량평가 및 정성평가 - 합격자 배수 : 12배수 이내 ㅇ 필기전형 - 평가과목 : 직무별 상이 - 합격자 배수 : 6배수 이내 ㅇ 면접전형 - 평가방법 : 직무별 상이 - 합격자배수 : 1배수 이내 ㅇ 이의제기 신청 기간 - 신청기간 : 10</x:v>
      </x:c>
      <x:c r="V219" s="17" t="str">
        <x:v>상세 페이지 확인</x:v>
      </x:c>
      <x:c r="W219" s="17" t="str">
        <x:v>https://www.hansik.or.kr/board/no/empmn/view/303?csSignature=FE00C3739CDF036379DB5A519700568A&amp;bbsSeq=67468&amp;bbsId=303&amp;curPage=1&amp;bbsType=no&amp;menuSn=233&amp;flag=N&amp;searchWord=&amp;rowSize=20</x:v>
      </x:c>
      <x:c r="X219" s="18" t="str">
        <x:v>https://job.alio.go.kr/recruitview.do?idx=304529</x:v>
      </x:c>
      <x:c r="Y219" s="1"/>
      <x:c r="Z219" s="1"/>
    </x:row>
    <x:row r="220" ht="54" customHeight="1">
      <x:c r="A220" s="17" t="n">
        <x:v>204</x:v>
      </x:c>
      <x:c r="B220" s="17" t="str">
        <x:v>한국콘텐츠진흥원</x:v>
      </x:c>
      <x:c r="C220" s="17" t="str">
        <x:v>2026년 4분기 한국콘텐츠진흥원 신입직원 채용 공고</x:v>
      </x:c>
      <x:c r="D220" s="17" t="str">
        <x:v>전남광주</x:v>
      </x:c>
      <x:c r="E220" s="17" t="str">
        <x:v>정규직</x:v>
      </x:c>
      <x:c r="F220" s="17" t="str">
        <x:v>2026.09.02</x:v>
      </x:c>
      <x:c r="G220" s="17" t="str">
        <x:v>26.09.28 D-19</x:v>
      </x:c>
      <x:c r="H220" s="17" t="str">
        <x:v>신입·정규직</x:v>
      </x:c>
      <x:c r="I220" s="17" t="str">
        <x:v>우선검토</x:v>
      </x:c>
      <x:c r="J220" s="17" t="str">
        <x:v>제한 문구 미탐지</x:v>
      </x:c>
      <x:c r="K220" s="17" t="str">
        <x:v>신입</x:v>
      </x:c>
      <x:c r="L220" s="17" t="str">
        <x:v>학력무관</x:v>
      </x:c>
      <x:c r="M220" s="17" t="str">
        <x:v>9명</x:v>
      </x:c>
      <x:c r="N220" s="17" t="str">
        <x:v>사업관리</x:v>
      </x:c>
      <x:c r="O220" s="17" t="str">
        <x:v>취업지원대상자, 장애인, 청년, 경력단절여성, 기초생활수급자, 우수인턴, 전문자격증 소지자</x:v>
      </x:c>
      <x:c r="P220" s="17" t="str">
        <x:v>미탐지(원문 재확인)</x:v>
      </x:c>
      <x:c r="Q220" s="17" t="str">
        <x:v>상세공고 확인</x:v>
      </x:c>
      <x:c r="R220" s="17" t="str">
        <x:v>- 연령, 성별, 학력, 전공 제한 없음 (단, 입사예정일 기준 우리원 정년(만 60세)에 도달하는 자는 지원 불가 - 병역법 제 76조에서 정한 병역의무 불이행 사실이 없는 자 - 직무기술서에 따른 업무가 가능한 자 - 입사일 즉시 근무 가능한 자 - 콘진원 인사규정 제 8조의 결격사유에 해당하지 않는 자</x:v>
      </x:c>
      <x:c r="S220" s="17" t="str">
        <x:v>상세공고 확인</x:v>
      </x:c>
      <x:c r="T220" s="17" t="str">
        <x:v>- 서류전형: 20배수 이내 합격 - 필기전형(NCS 및 인성검사): 5배수 이내 합격 - 역량면접: 2.5배수 이내 합격 - 인성면접: 1배수 이내 합격 (채용전형 종료 후 대상자에게 신체검사 및 서류검증 진행)</x:v>
      </x:c>
      <x:c r="U220" s="17" t="str">
        <x:v>- 서류전형: 20배수 이내 합격 - 필기전형(NCS 및 인성검사): 5배수 이내 합격 - 역량면접: 2 / 5배수 이내 합격 - 인성면접: 1배수 이내 합격 (채용전형 종료 후 대상자에게 신체검사 및 서류검증 진행)</x:v>
      </x:c>
      <x:c r="V220" s="17" t="str">
        <x:v>상세 페이지 확인</x:v>
      </x:c>
      <x:c r="W220" s="17" t="str">
        <x:v>https://www.kocca.kr/shortUrl/cxCq</x:v>
      </x:c>
      <x:c r="X220" s="18" t="str">
        <x:v>https://job.alio.go.kr/recruitview.do?idx=304527</x:v>
      </x:c>
      <x:c r="Y220" s="1"/>
      <x:c r="Z220" s="1"/>
    </x:row>
    <x:row r="221" ht="54" customHeight="1">
      <x:c r="A221" s="17" t="n">
        <x:v>203</x:v>
      </x:c>
      <x:c r="B221" s="17" t="str">
        <x:v>한국학중앙연구원</x:v>
      </x:c>
      <x:c r="C221" s="17" t="str">
        <x:v>사서직 채용 공고</x:v>
      </x:c>
      <x:c r="D221" s="17" t="str">
        <x:v>경기</x:v>
      </x:c>
      <x:c r="E221" s="17" t="str">
        <x:v>정규직</x:v>
      </x:c>
      <x:c r="F221" s="17" t="str">
        <x:v>2026.09.02</x:v>
      </x:c>
      <x:c r="G221" s="17" t="str">
        <x:v>26.09.17 D-8</x:v>
      </x:c>
      <x:c r="H221" s="17" t="str">
        <x:v>정규직(세부 확인)</x:v>
      </x:c>
      <x:c r="I221" s="17" t="str">
        <x:v>세부조건 확인</x:v>
      </x:c>
      <x:c r="J221" s="17" t="str">
        <x:v>제한 문구 미탐지</x:v>
      </x:c>
      <x:c r="K221" s="17" t="str">
        <x:v>상세공고 확인</x:v>
      </x:c>
      <x:c r="L221" s="17" t="str">
        <x:v>상세공고 확인</x:v>
      </x:c>
      <x:c r="M221" s="17" t="str">
        <x:v>상세공고 확인</x:v>
      </x:c>
      <x:c r="N221" s="17" t="str">
        <x:v>상세공고 확인</x:v>
      </x:c>
      <x:c r="O221" s="17" t="str">
        <x:v>상세공고 확인</x:v>
      </x:c>
      <x:c r="P221" s="17" t="str">
        <x:v>상세공고 확인</x:v>
      </x:c>
      <x:c r="Q221" s="17" t="str">
        <x:v>상세공고 확인</x:v>
      </x:c>
      <x:c r="R221" s="17" t="str">
        <x:v>상세공고 확인</x:v>
      </x:c>
      <x:c r="S221" s="17" t="str">
        <x:v>상세공고 확인</x:v>
      </x:c>
      <x:c r="T221" s="17" t="str">
        <x:v>상세공고 확인</x:v>
      </x:c>
      <x:c r="U221" s="17" t="str">
        <x:v>상세공고 확인</x:v>
      </x:c>
      <x:c r="V221" s="17" t="str">
        <x:v>목록 항목 확인</x:v>
      </x:c>
      <x:c r="W221" s="17" t="str">
        <x:v>공고 상세에서 확인</x:v>
      </x:c>
      <x:c r="X221" s="18" t="str">
        <x:v>https://job.alio.go.kr/recruitview.do?idx=304526</x:v>
      </x:c>
      <x:c r="Y221" s="1"/>
      <x:c r="Z221" s="1"/>
    </x:row>
    <x:row r="222" ht="54" customHeight="1">
      <x:c r="A222" s="17" t="n">
        <x:v>202</x:v>
      </x:c>
      <x:c r="B222" s="17" t="str">
        <x:v>국립공원공단</x:v>
      </x:c>
      <x:c r="C222" s="17" t="str">
        <x:v>[한려동부] 2026년 한려해상국립공원동부사무소 한시인력(국립공원지킴이) 직원 채용</x:v>
      </x:c>
      <x:c r="D222" s="17" t="str">
        <x:v>경남</x:v>
      </x:c>
      <x:c r="E222" s="17" t="str">
        <x:v>비정규직</x:v>
      </x:c>
      <x:c r="F222" s="17" t="str">
        <x:v>2026.09.02</x:v>
      </x:c>
      <x:c r="G222" s="17" t="str">
        <x:v>26.09.16 D-7</x:v>
      </x:c>
      <x:c r="H222" s="17" t="str">
        <x:v>기간제·비정규</x:v>
      </x:c>
      <x:c r="I222" s="17" t="str">
        <x:v>세부조건 확인</x:v>
      </x:c>
      <x:c r="J222" s="17" t="str">
        <x:v>제한 문구 미탐지</x:v>
      </x:c>
      <x:c r="K222" s="17" t="str">
        <x:v>상세공고 확인</x:v>
      </x:c>
      <x:c r="L222" s="17" t="str">
        <x:v>상세공고 확인</x:v>
      </x:c>
      <x:c r="M222" s="17" t="str">
        <x:v>상세공고 확인</x:v>
      </x:c>
      <x:c r="N222" s="17" t="str">
        <x:v>상세공고 확인</x:v>
      </x:c>
      <x:c r="O222" s="17" t="str">
        <x:v>상세공고 확인</x:v>
      </x:c>
      <x:c r="P222" s="17" t="str">
        <x:v>상세공고 확인</x:v>
      </x:c>
      <x:c r="Q222" s="17" t="str">
        <x:v>상세공고 확인</x:v>
      </x:c>
      <x:c r="R222" s="17" t="str">
        <x:v>상세공고 확인</x:v>
      </x:c>
      <x:c r="S222" s="17" t="str">
        <x:v>상세공고 확인</x:v>
      </x:c>
      <x:c r="T222" s="17" t="str">
        <x:v>상세공고 확인</x:v>
      </x:c>
      <x:c r="U222" s="17" t="str">
        <x:v>상세공고 확인</x:v>
      </x:c>
      <x:c r="V222" s="17" t="str">
        <x:v>목록 항목 확인</x:v>
      </x:c>
      <x:c r="W222" s="17" t="str">
        <x:v>공고 상세에서 확인</x:v>
      </x:c>
      <x:c r="X222" s="18" t="str">
        <x:v>https://job.alio.go.kr/recruitview.do?idx=304525</x:v>
      </x:c>
      <x:c r="Y222" s="1"/>
      <x:c r="Z222" s="1"/>
    </x:row>
    <x:row r="223" ht="54" customHeight="1">
      <x:c r="A223" s="17" t="n">
        <x:v>201</x:v>
      </x:c>
      <x:c r="B223" s="17" t="str">
        <x:v>(재)우체국물류지원단</x:v>
      </x:c>
      <x:c r="C223" s="17" t="str">
        <x:v>우체국물류지원단 서울지사 동서울물류사업소 추석 특별소통 단기 기간제(일용직_우편물구분) 채용 공고</x:v>
      </x:c>
      <x:c r="D223" s="17" t="str">
        <x:v>서울</x:v>
      </x:c>
      <x:c r="E223" s="17" t="str">
        <x:v>비정규직</x:v>
      </x:c>
      <x:c r="F223" s="17" t="str">
        <x:v>2026.09.02</x:v>
      </x:c>
      <x:c r="G223" s="17" t="str">
        <x:v>26.09.11 D-2</x:v>
      </x:c>
      <x:c r="H223" s="17" t="str">
        <x:v>기간제·비정규</x:v>
      </x:c>
      <x:c r="I223" s="17" t="str">
        <x:v>세부조건 확인</x:v>
      </x:c>
      <x:c r="J223" s="17" t="str">
        <x:v>제한 문구 미탐지</x:v>
      </x:c>
      <x:c r="K223" s="17" t="str">
        <x:v>상세공고 확인</x:v>
      </x:c>
      <x:c r="L223" s="17" t="str">
        <x:v>상세공고 확인</x:v>
      </x:c>
      <x:c r="M223" s="17" t="str">
        <x:v>상세공고 확인</x:v>
      </x:c>
      <x:c r="N223" s="17" t="str">
        <x:v>상세공고 확인</x:v>
      </x:c>
      <x:c r="O223" s="17" t="str">
        <x:v>상세공고 확인</x:v>
      </x:c>
      <x:c r="P223" s="17" t="str">
        <x:v>상세공고 확인</x:v>
      </x:c>
      <x:c r="Q223" s="17" t="str">
        <x:v>상세공고 확인</x:v>
      </x:c>
      <x:c r="R223" s="17" t="str">
        <x:v>상세공고 확인</x:v>
      </x:c>
      <x:c r="S223" s="17" t="str">
        <x:v>상세공고 확인</x:v>
      </x:c>
      <x:c r="T223" s="17" t="str">
        <x:v>상세공고 확인</x:v>
      </x:c>
      <x:c r="U223" s="17" t="str">
        <x:v>상세공고 확인</x:v>
      </x:c>
      <x:c r="V223" s="17" t="str">
        <x:v>목록 항목 확인</x:v>
      </x:c>
      <x:c r="W223" s="17" t="str">
        <x:v>공고 상세에서 확인</x:v>
      </x:c>
      <x:c r="X223" s="18" t="str">
        <x:v>https://job.alio.go.kr/recruitview.do?idx=304524</x:v>
      </x:c>
      <x:c r="Y223" s="1"/>
      <x:c r="Z223" s="1"/>
    </x:row>
    <x:row r="224" ht="54" customHeight="1">
      <x:c r="A224" s="17" t="n">
        <x:v>200</x:v>
      </x:c>
      <x:c r="B224" s="17" t="str">
        <x:v>한국수자원공사</x:v>
      </x:c>
      <x:c r="C224" s="17" t="str">
        <x:v>[한국수자원공사] 영·섬유역협력단 진안현대화사업소 '26년 노후 상수관망 정비사업 특수직(기술관리_건설사업) 채용 공고</x:v>
      </x:c>
      <x:c r="D224" s="17" t="str">
        <x:v>전북</x:v>
      </x:c>
      <x:c r="E224" s="17" t="str">
        <x:v>비정규직</x:v>
      </x:c>
      <x:c r="F224" s="17" t="str">
        <x:v>2026.09.02</x:v>
      </x:c>
      <x:c r="G224" s="17" t="str">
        <x:v>26.09.16 D-7</x:v>
      </x:c>
      <x:c r="H224" s="17" t="str">
        <x:v>기간제·비정규</x:v>
      </x:c>
      <x:c r="I224" s="17" t="str">
        <x:v>세부조건 확인</x:v>
      </x:c>
      <x:c r="J224" s="17" t="str">
        <x:v>제한 문구 미탐지</x:v>
      </x:c>
      <x:c r="K224" s="17" t="str">
        <x:v>상세공고 확인</x:v>
      </x:c>
      <x:c r="L224" s="17" t="str">
        <x:v>상세공고 확인</x:v>
      </x:c>
      <x:c r="M224" s="17" t="str">
        <x:v>상세공고 확인</x:v>
      </x:c>
      <x:c r="N224" s="17" t="str">
        <x:v>상세공고 확인</x:v>
      </x:c>
      <x:c r="O224" s="17" t="str">
        <x:v>상세공고 확인</x:v>
      </x:c>
      <x:c r="P224" s="17" t="str">
        <x:v>상세공고 확인</x:v>
      </x:c>
      <x:c r="Q224" s="17" t="str">
        <x:v>상세공고 확인</x:v>
      </x:c>
      <x:c r="R224" s="17" t="str">
        <x:v>상세공고 확인</x:v>
      </x:c>
      <x:c r="S224" s="17" t="str">
        <x:v>상세공고 확인</x:v>
      </x:c>
      <x:c r="T224" s="17" t="str">
        <x:v>상세공고 확인</x:v>
      </x:c>
      <x:c r="U224" s="17" t="str">
        <x:v>상세공고 확인</x:v>
      </x:c>
      <x:c r="V224" s="17" t="str">
        <x:v>목록 항목 확인</x:v>
      </x:c>
      <x:c r="W224" s="17" t="str">
        <x:v>공고 상세에서 확인</x:v>
      </x:c>
      <x:c r="X224" s="18" t="str">
        <x:v>https://job.alio.go.kr/recruitview.do?idx=304522</x:v>
      </x:c>
      <x:c r="Y224" s="1"/>
      <x:c r="Z224" s="1"/>
    </x:row>
    <x:row r="225" ht="54" customHeight="1">
      <x:c r="A225" s="17" t="n">
        <x:v>199</x:v>
      </x:c>
      <x:c r="B225" s="17" t="str">
        <x:v>한국수자원공사</x:v>
      </x:c>
      <x:c r="C225" s="17" t="str">
        <x:v>[한국수자원공사] 영·섬유역협력단 김제현대화사업소 '26년 노후 상수관망 정비사업 특수직(기술관리_건설사업) 채용 공고</x:v>
      </x:c>
      <x:c r="D225" s="17" t="str">
        <x:v>전북</x:v>
      </x:c>
      <x:c r="E225" s="17" t="str">
        <x:v>비정규직</x:v>
      </x:c>
      <x:c r="F225" s="17" t="str">
        <x:v>2026.09.02</x:v>
      </x:c>
      <x:c r="G225" s="17" t="str">
        <x:v>26.09.16 D-7</x:v>
      </x:c>
      <x:c r="H225" s="17" t="str">
        <x:v>기간제·비정규</x:v>
      </x:c>
      <x:c r="I225" s="17" t="str">
        <x:v>세부조건 확인</x:v>
      </x:c>
      <x:c r="J225" s="17" t="str">
        <x:v>제한 문구 미탐지</x:v>
      </x:c>
      <x:c r="K225" s="17" t="str">
        <x:v>상세공고 확인</x:v>
      </x:c>
      <x:c r="L225" s="17" t="str">
        <x:v>상세공고 확인</x:v>
      </x:c>
      <x:c r="M225" s="17" t="str">
        <x:v>상세공고 확인</x:v>
      </x:c>
      <x:c r="N225" s="17" t="str">
        <x:v>상세공고 확인</x:v>
      </x:c>
      <x:c r="O225" s="17" t="str">
        <x:v>상세공고 확인</x:v>
      </x:c>
      <x:c r="P225" s="17" t="str">
        <x:v>상세공고 확인</x:v>
      </x:c>
      <x:c r="Q225" s="17" t="str">
        <x:v>상세공고 확인</x:v>
      </x:c>
      <x:c r="R225" s="17" t="str">
        <x:v>상세공고 확인</x:v>
      </x:c>
      <x:c r="S225" s="17" t="str">
        <x:v>상세공고 확인</x:v>
      </x:c>
      <x:c r="T225" s="17" t="str">
        <x:v>상세공고 확인</x:v>
      </x:c>
      <x:c r="U225" s="17" t="str">
        <x:v>상세공고 확인</x:v>
      </x:c>
      <x:c r="V225" s="17" t="str">
        <x:v>목록 항목 확인</x:v>
      </x:c>
      <x:c r="W225" s="17" t="str">
        <x:v>공고 상세에서 확인</x:v>
      </x:c>
      <x:c r="X225" s="18" t="str">
        <x:v>https://job.alio.go.kr/recruitview.do?idx=304521</x:v>
      </x:c>
      <x:c r="Y225" s="1"/>
      <x:c r="Z225" s="1"/>
    </x:row>
    <x:row r="226" ht="54" customHeight="1">
      <x:c r="A226" s="17" t="n">
        <x:v>198</x:v>
      </x:c>
      <x:c r="B226" s="17" t="str">
        <x:v>한국수자원공사</x:v>
      </x:c>
      <x:c r="C226" s="17" t="str">
        <x:v>[한국수자원공사] 영·섬유역협력단 익산현대화사업소 '26년 노후 상수관망 정비사업 특수직(기술관리_건설사업) 채용 공고</x:v>
      </x:c>
      <x:c r="D226" s="17" t="str">
        <x:v>전북</x:v>
      </x:c>
      <x:c r="E226" s="17" t="str">
        <x:v>비정규직</x:v>
      </x:c>
      <x:c r="F226" s="17" t="str">
        <x:v>2026.09.02</x:v>
      </x:c>
      <x:c r="G226" s="17" t="str">
        <x:v>26.09.16 D-7</x:v>
      </x:c>
      <x:c r="H226" s="17" t="str">
        <x:v>기간제·비정규</x:v>
      </x:c>
      <x:c r="I226" s="17" t="str">
        <x:v>세부조건 확인</x:v>
      </x:c>
      <x:c r="J226" s="17" t="str">
        <x:v>제한 문구 미탐지</x:v>
      </x:c>
      <x:c r="K226" s="17" t="str">
        <x:v>상세공고 확인</x:v>
      </x:c>
      <x:c r="L226" s="17" t="str">
        <x:v>상세공고 확인</x:v>
      </x:c>
      <x:c r="M226" s="17" t="str">
        <x:v>상세공고 확인</x:v>
      </x:c>
      <x:c r="N226" s="17" t="str">
        <x:v>상세공고 확인</x:v>
      </x:c>
      <x:c r="O226" s="17" t="str">
        <x:v>상세공고 확인</x:v>
      </x:c>
      <x:c r="P226" s="17" t="str">
        <x:v>상세공고 확인</x:v>
      </x:c>
      <x:c r="Q226" s="17" t="str">
        <x:v>상세공고 확인</x:v>
      </x:c>
      <x:c r="R226" s="17" t="str">
        <x:v>상세공고 확인</x:v>
      </x:c>
      <x:c r="S226" s="17" t="str">
        <x:v>상세공고 확인</x:v>
      </x:c>
      <x:c r="T226" s="17" t="str">
        <x:v>상세공고 확인</x:v>
      </x:c>
      <x:c r="U226" s="17" t="str">
        <x:v>상세공고 확인</x:v>
      </x:c>
      <x:c r="V226" s="17" t="str">
        <x:v>목록 항목 확인</x:v>
      </x:c>
      <x:c r="W226" s="17" t="str">
        <x:v>공고 상세에서 확인</x:v>
      </x:c>
      <x:c r="X226" s="18" t="str">
        <x:v>https://job.alio.go.kr/recruitview.do?idx=304519</x:v>
      </x:c>
      <x:c r="Y226" s="1"/>
      <x:c r="Z226" s="1"/>
    </x:row>
    <x:row r="227" ht="54" customHeight="1">
      <x:c r="A227" s="17" t="n">
        <x:v>197</x:v>
      </x:c>
      <x:c r="B227" s="17" t="str">
        <x:v>한국수자원공사</x:v>
      </x:c>
      <x:c r="C227" s="17" t="str">
        <x:v>[한국수자원공사] 영·섬유역협력단 남원현대화사업소 노후 상수관망 정비사업 특수직(기술관리_건설사업) 채용 공고</x:v>
      </x:c>
      <x:c r="D227" s="17" t="str">
        <x:v>전북</x:v>
      </x:c>
      <x:c r="E227" s="17" t="str">
        <x:v>비정규직</x:v>
      </x:c>
      <x:c r="F227" s="17" t="str">
        <x:v>2026.09.02</x:v>
      </x:c>
      <x:c r="G227" s="17" t="str">
        <x:v>26.09.16 D-7</x:v>
      </x:c>
      <x:c r="H227" s="17" t="str">
        <x:v>기간제·비정규</x:v>
      </x:c>
      <x:c r="I227" s="17" t="str">
        <x:v>세부조건 확인</x:v>
      </x:c>
      <x:c r="J227" s="17" t="str">
        <x:v>제한 문구 미탐지</x:v>
      </x:c>
      <x:c r="K227" s="17" t="str">
        <x:v>상세공고 확인</x:v>
      </x:c>
      <x:c r="L227" s="17" t="str">
        <x:v>상세공고 확인</x:v>
      </x:c>
      <x:c r="M227" s="17" t="str">
        <x:v>상세공고 확인</x:v>
      </x:c>
      <x:c r="N227" s="17" t="str">
        <x:v>상세공고 확인</x:v>
      </x:c>
      <x:c r="O227" s="17" t="str">
        <x:v>상세공고 확인</x:v>
      </x:c>
      <x:c r="P227" s="17" t="str">
        <x:v>상세공고 확인</x:v>
      </x:c>
      <x:c r="Q227" s="17" t="str">
        <x:v>상세공고 확인</x:v>
      </x:c>
      <x:c r="R227" s="17" t="str">
        <x:v>상세공고 확인</x:v>
      </x:c>
      <x:c r="S227" s="17" t="str">
        <x:v>상세공고 확인</x:v>
      </x:c>
      <x:c r="T227" s="17" t="str">
        <x:v>상세공고 확인</x:v>
      </x:c>
      <x:c r="U227" s="17" t="str">
        <x:v>상세공고 확인</x:v>
      </x:c>
      <x:c r="V227" s="17" t="str">
        <x:v>목록 항목 확인</x:v>
      </x:c>
      <x:c r="W227" s="17" t="str">
        <x:v>공고 상세에서 확인</x:v>
      </x:c>
      <x:c r="X227" s="18" t="str">
        <x:v>https://job.alio.go.kr/recruitview.do?idx=304518</x:v>
      </x:c>
      <x:c r="Y227" s="1"/>
      <x:c r="Z227" s="1"/>
    </x:row>
    <x:row r="228" ht="54" customHeight="1">
      <x:c r="A228" s="17" t="n">
        <x:v>196</x:v>
      </x:c>
      <x:c r="B228" s="17" t="str">
        <x:v>한국학중앙연구원</x:v>
      </x:c>
      <x:c r="C228" s="17" t="str">
        <x:v>전문직(상담) 채용 공고</x:v>
      </x:c>
      <x:c r="D228" s="17" t="str">
        <x:v>경기</x:v>
      </x:c>
      <x:c r="E228" s="17" t="str">
        <x:v>정규직</x:v>
      </x:c>
      <x:c r="F228" s="17" t="str">
        <x:v>2026.09.02</x:v>
      </x:c>
      <x:c r="G228" s="17" t="str">
        <x:v>26.09.17 D-8</x:v>
      </x:c>
      <x:c r="H228" s="17" t="str">
        <x:v>정규직(세부 확인)</x:v>
      </x:c>
      <x:c r="I228" s="17" t="str">
        <x:v>세부조건 확인</x:v>
      </x:c>
      <x:c r="J228" s="17" t="str">
        <x:v>제한 문구 미탐지</x:v>
      </x:c>
      <x:c r="K228" s="17" t="str">
        <x:v>상세공고 확인</x:v>
      </x:c>
      <x:c r="L228" s="17" t="str">
        <x:v>상세공고 확인</x:v>
      </x:c>
      <x:c r="M228" s="17" t="str">
        <x:v>상세공고 확인</x:v>
      </x:c>
      <x:c r="N228" s="17" t="str">
        <x:v>상세공고 확인</x:v>
      </x:c>
      <x:c r="O228" s="17" t="str">
        <x:v>상세공고 확인</x:v>
      </x:c>
      <x:c r="P228" s="17" t="str">
        <x:v>상세공고 확인</x:v>
      </x:c>
      <x:c r="Q228" s="17" t="str">
        <x:v>상세공고 확인</x:v>
      </x:c>
      <x:c r="R228" s="17" t="str">
        <x:v>상세공고 확인</x:v>
      </x:c>
      <x:c r="S228" s="17" t="str">
        <x:v>상세공고 확인</x:v>
      </x:c>
      <x:c r="T228" s="17" t="str">
        <x:v>상세공고 확인</x:v>
      </x:c>
      <x:c r="U228" s="17" t="str">
        <x:v>상세공고 확인</x:v>
      </x:c>
      <x:c r="V228" s="17" t="str">
        <x:v>목록 항목 확인</x:v>
      </x:c>
      <x:c r="W228" s="17" t="str">
        <x:v>공고 상세에서 확인</x:v>
      </x:c>
      <x:c r="X228" s="18" t="str">
        <x:v>https://job.alio.go.kr/recruitview.do?idx=304517</x:v>
      </x:c>
      <x:c r="Y228" s="1"/>
      <x:c r="Z228" s="1"/>
    </x:row>
    <x:row r="229" ht="54" customHeight="1">
      <x:c r="A229" s="17" t="n">
        <x:v>195</x:v>
      </x:c>
      <x:c r="B229" s="17" t="str">
        <x:v>한국수자원공사</x:v>
      </x:c>
      <x:c r="C229" s="17" t="str">
        <x:v>[한국수자원공사] (재공고) 전남북부권지사 실무직(사무관리_고객관리) 채용 공고</x:v>
      </x:c>
      <x:c r="D229" s="17" t="str">
        <x:v>전남광주</x:v>
      </x:c>
      <x:c r="E229" s="17" t="str">
        <x:v>무기계약직</x:v>
      </x:c>
      <x:c r="F229" s="17" t="str">
        <x:v>2026.09.02</x:v>
      </x:c>
      <x:c r="G229" s="17" t="str">
        <x:v>26.09.16 D-7</x:v>
      </x:c>
      <x:c r="H229" s="17" t="str">
        <x:v>무기계약·공무직</x:v>
      </x:c>
      <x:c r="I229" s="17" t="str">
        <x:v>세부조건 확인</x:v>
      </x:c>
      <x:c r="J229" s="17" t="str">
        <x:v>제한 문구 미탐지</x:v>
      </x:c>
      <x:c r="K229" s="17" t="str">
        <x:v>상세공고 확인</x:v>
      </x:c>
      <x:c r="L229" s="17" t="str">
        <x:v>상세공고 확인</x:v>
      </x:c>
      <x:c r="M229" s="17" t="str">
        <x:v>상세공고 확인</x:v>
      </x:c>
      <x:c r="N229" s="17" t="str">
        <x:v>상세공고 확인</x:v>
      </x:c>
      <x:c r="O229" s="17" t="str">
        <x:v>상세공고 확인</x:v>
      </x:c>
      <x:c r="P229" s="17" t="str">
        <x:v>상세공고 확인</x:v>
      </x:c>
      <x:c r="Q229" s="17" t="str">
        <x:v>상세공고 확인</x:v>
      </x:c>
      <x:c r="R229" s="17" t="str">
        <x:v>상세공고 확인</x:v>
      </x:c>
      <x:c r="S229" s="17" t="str">
        <x:v>상세공고 확인</x:v>
      </x:c>
      <x:c r="T229" s="17" t="str">
        <x:v>상세공고 확인</x:v>
      </x:c>
      <x:c r="U229" s="17" t="str">
        <x:v>상세공고 확인</x:v>
      </x:c>
      <x:c r="V229" s="17" t="str">
        <x:v>목록 항목 확인</x:v>
      </x:c>
      <x:c r="W229" s="17" t="str">
        <x:v>공고 상세에서 확인</x:v>
      </x:c>
      <x:c r="X229" s="18" t="str">
        <x:v>https://job.alio.go.kr/recruitview.do?idx=304515</x:v>
      </x:c>
      <x:c r="Y229" s="1"/>
      <x:c r="Z229" s="1"/>
    </x:row>
    <x:row r="230" ht="54" customHeight="1">
      <x:c r="A230" s="17" t="n">
        <x:v>194</x:v>
      </x:c>
      <x:c r="B230" s="17" t="str">
        <x:v>근로복지공단</x:v>
      </x:c>
      <x:c r="C230" s="17" t="str">
        <x:v>[동해병원] 기간제 의사(산부인과) 채용 공고</x:v>
      </x:c>
      <x:c r="D230" s="17" t="str">
        <x:v>강원</x:v>
      </x:c>
      <x:c r="E230" s="17" t="str">
        <x:v>비정규직</x:v>
      </x:c>
      <x:c r="F230" s="17" t="str">
        <x:v>2026.09.02</x:v>
      </x:c>
      <x:c r="G230" s="17" t="str">
        <x:v>26.09.09 D+0</x:v>
      </x:c>
      <x:c r="H230" s="17" t="str">
        <x:v>기간제·비정규</x:v>
      </x:c>
      <x:c r="I230" s="17" t="str">
        <x:v>세부조건 확인</x:v>
      </x:c>
      <x:c r="J230" s="17" t="str">
        <x:v>제한 문구 미탐지</x:v>
      </x:c>
      <x:c r="K230" s="17" t="str">
        <x:v>상세공고 확인</x:v>
      </x:c>
      <x:c r="L230" s="17" t="str">
        <x:v>상세공고 확인</x:v>
      </x:c>
      <x:c r="M230" s="17" t="str">
        <x:v>상세공고 확인</x:v>
      </x:c>
      <x:c r="N230" s="17" t="str">
        <x:v>상세공고 확인</x:v>
      </x:c>
      <x:c r="O230" s="17" t="str">
        <x:v>상세공고 확인</x:v>
      </x:c>
      <x:c r="P230" s="17" t="str">
        <x:v>상세공고 확인</x:v>
      </x:c>
      <x:c r="Q230" s="17" t="str">
        <x:v>상세공고 확인</x:v>
      </x:c>
      <x:c r="R230" s="17" t="str">
        <x:v>상세공고 확인</x:v>
      </x:c>
      <x:c r="S230" s="17" t="str">
        <x:v>상세공고 확인</x:v>
      </x:c>
      <x:c r="T230" s="17" t="str">
        <x:v>상세공고 확인</x:v>
      </x:c>
      <x:c r="U230" s="17" t="str">
        <x:v>상세공고 확인</x:v>
      </x:c>
      <x:c r="V230" s="17" t="str">
        <x:v>목록 항목 확인</x:v>
      </x:c>
      <x:c r="W230" s="17" t="str">
        <x:v>공고 상세에서 확인</x:v>
      </x:c>
      <x:c r="X230" s="18" t="str">
        <x:v>https://job.alio.go.kr/recruitview.do?idx=304514</x:v>
      </x:c>
      <x:c r="Y230" s="1"/>
      <x:c r="Z230" s="1"/>
    </x:row>
    <x:row r="231" ht="54" customHeight="1">
      <x:c r="A231" s="17" t="n">
        <x:v>193</x:v>
      </x:c>
      <x:c r="B231" s="17" t="str">
        <x:v>한국학중앙연구원</x:v>
      </x:c>
      <x:c r="C231" s="17" t="str">
        <x:v>행정직 채용 공고</x:v>
      </x:c>
      <x:c r="D231" s="17" t="str">
        <x:v>경기</x:v>
      </x:c>
      <x:c r="E231" s="17" t="str">
        <x:v>정규직</x:v>
      </x:c>
      <x:c r="F231" s="17" t="str">
        <x:v>2026.09.02</x:v>
      </x:c>
      <x:c r="G231" s="17" t="str">
        <x:v>26.09.17 D-8</x:v>
      </x:c>
      <x:c r="H231" s="17" t="str">
        <x:v>정규직(세부 확인)</x:v>
      </x:c>
      <x:c r="I231" s="17" t="str">
        <x:v>세부조건 확인</x:v>
      </x:c>
      <x:c r="J231" s="17" t="str">
        <x:v>제한 문구 미탐지</x:v>
      </x:c>
      <x:c r="K231" s="17" t="str">
        <x:v>상세공고 확인</x:v>
      </x:c>
      <x:c r="L231" s="17" t="str">
        <x:v>상세공고 확인</x:v>
      </x:c>
      <x:c r="M231" s="17" t="str">
        <x:v>상세공고 확인</x:v>
      </x:c>
      <x:c r="N231" s="17" t="str">
        <x:v>상세공고 확인</x:v>
      </x:c>
      <x:c r="O231" s="17" t="str">
        <x:v>상세공고 확인</x:v>
      </x:c>
      <x:c r="P231" s="17" t="str">
        <x:v>상세공고 확인</x:v>
      </x:c>
      <x:c r="Q231" s="17" t="str">
        <x:v>상세공고 확인</x:v>
      </x:c>
      <x:c r="R231" s="17" t="str">
        <x:v>상세공고 확인</x:v>
      </x:c>
      <x:c r="S231" s="17" t="str">
        <x:v>상세공고 확인</x:v>
      </x:c>
      <x:c r="T231" s="17" t="str">
        <x:v>상세공고 확인</x:v>
      </x:c>
      <x:c r="U231" s="17" t="str">
        <x:v>상세공고 확인</x:v>
      </x:c>
      <x:c r="V231" s="17" t="str">
        <x:v>목록 항목 확인</x:v>
      </x:c>
      <x:c r="W231" s="17" t="str">
        <x:v>공고 상세에서 확인</x:v>
      </x:c>
      <x:c r="X231" s="18" t="str">
        <x:v>https://job.alio.go.kr/recruitview.do?idx=304513</x:v>
      </x:c>
      <x:c r="Y231" s="1"/>
      <x:c r="Z231" s="1"/>
    </x:row>
    <x:row r="232" ht="54" customHeight="1">
      <x:c r="A232" s="17" t="n">
        <x:v>192</x:v>
      </x:c>
      <x:c r="B232" s="17" t="str">
        <x:v>국립공원공단</x:v>
      </x:c>
      <x:c r="C232" s="17" t="str">
        <x:v>[지리산경남] 지리산국립공원경남사무소 2026년 하반기 국립공원지킴이 채용 공고</x:v>
      </x:c>
      <x:c r="D232" s="17" t="str">
        <x:v>경남</x:v>
      </x:c>
      <x:c r="E232" s="17" t="str">
        <x:v>비정규직</x:v>
      </x:c>
      <x:c r="F232" s="17" t="str">
        <x:v>2026.09.02</x:v>
      </x:c>
      <x:c r="G232" s="17" t="str">
        <x:v>26.09.16 D-7</x:v>
      </x:c>
      <x:c r="H232" s="17" t="str">
        <x:v>기간제·비정규</x:v>
      </x:c>
      <x:c r="I232" s="17" t="str">
        <x:v>세부조건 확인</x:v>
      </x:c>
      <x:c r="J232" s="17" t="str">
        <x:v>제한 문구 미탐지</x:v>
      </x:c>
      <x:c r="K232" s="17" t="str">
        <x:v>상세공고 확인</x:v>
      </x:c>
      <x:c r="L232" s="17" t="str">
        <x:v>상세공고 확인</x:v>
      </x:c>
      <x:c r="M232" s="17" t="str">
        <x:v>상세공고 확인</x:v>
      </x:c>
      <x:c r="N232" s="17" t="str">
        <x:v>상세공고 확인</x:v>
      </x:c>
      <x:c r="O232" s="17" t="str">
        <x:v>상세공고 확인</x:v>
      </x:c>
      <x:c r="P232" s="17" t="str">
        <x:v>상세공고 확인</x:v>
      </x:c>
      <x:c r="Q232" s="17" t="str">
        <x:v>상세공고 확인</x:v>
      </x:c>
      <x:c r="R232" s="17" t="str">
        <x:v>상세공고 확인</x:v>
      </x:c>
      <x:c r="S232" s="17" t="str">
        <x:v>상세공고 확인</x:v>
      </x:c>
      <x:c r="T232" s="17" t="str">
        <x:v>상세공고 확인</x:v>
      </x:c>
      <x:c r="U232" s="17" t="str">
        <x:v>상세공고 확인</x:v>
      </x:c>
      <x:c r="V232" s="17" t="str">
        <x:v>목록 항목 확인</x:v>
      </x:c>
      <x:c r="W232" s="17" t="str">
        <x:v>공고 상세에서 확인</x:v>
      </x:c>
      <x:c r="X232" s="18" t="str">
        <x:v>https://job.alio.go.kr/recruitview.do?idx=304512</x:v>
      </x:c>
      <x:c r="Y232" s="1"/>
      <x:c r="Z232" s="1"/>
    </x:row>
    <x:row r="233" ht="54" customHeight="1">
      <x:c r="A233" s="17" t="n">
        <x:v>191</x:v>
      </x:c>
      <x:c r="B233" s="17" t="str">
        <x:v>영화진흥위원회</x:v>
      </x:c>
      <x:c r="C233" s="17" t="str">
        <x:v>2026년 대체인력(일반사무)-2 공개채용 공고</x:v>
      </x:c>
      <x:c r="D233" s="17" t="str">
        <x:v>부산</x:v>
      </x:c>
      <x:c r="E233" s="17" t="str">
        <x:v>비정규직</x:v>
      </x:c>
      <x:c r="F233" s="17" t="str">
        <x:v>2026.09.02</x:v>
      </x:c>
      <x:c r="G233" s="17" t="str">
        <x:v>26.09.17 D-8</x:v>
      </x:c>
      <x:c r="H233" s="17" t="str">
        <x:v>기간제·비정규</x:v>
      </x:c>
      <x:c r="I233" s="17" t="str">
        <x:v>세부조건 확인</x:v>
      </x:c>
      <x:c r="J233" s="17" t="str">
        <x:v>제한 문구 미탐지</x:v>
      </x:c>
      <x:c r="K233" s="17" t="str">
        <x:v>상세공고 확인</x:v>
      </x:c>
      <x:c r="L233" s="17" t="str">
        <x:v>상세공고 확인</x:v>
      </x:c>
      <x:c r="M233" s="17" t="str">
        <x:v>상세공고 확인</x:v>
      </x:c>
      <x:c r="N233" s="17" t="str">
        <x:v>상세공고 확인</x:v>
      </x:c>
      <x:c r="O233" s="17" t="str">
        <x:v>상세공고 확인</x:v>
      </x:c>
      <x:c r="P233" s="17" t="str">
        <x:v>상세공고 확인</x:v>
      </x:c>
      <x:c r="Q233" s="17" t="str">
        <x:v>상세공고 확인</x:v>
      </x:c>
      <x:c r="R233" s="17" t="str">
        <x:v>상세공고 확인</x:v>
      </x:c>
      <x:c r="S233" s="17" t="str">
        <x:v>상세공고 확인</x:v>
      </x:c>
      <x:c r="T233" s="17" t="str">
        <x:v>상세공고 확인</x:v>
      </x:c>
      <x:c r="U233" s="17" t="str">
        <x:v>상세공고 확인</x:v>
      </x:c>
      <x:c r="V233" s="17" t="str">
        <x:v>목록 항목 확인</x:v>
      </x:c>
      <x:c r="W233" s="17" t="str">
        <x:v>공고 상세에서 확인</x:v>
      </x:c>
      <x:c r="X233" s="18" t="str">
        <x:v>https://job.alio.go.kr/recruitview.do?idx=304511</x:v>
      </x:c>
      <x:c r="Y233" s="1"/>
      <x:c r="Z233" s="1"/>
    </x:row>
    <x:row r="234" ht="54" customHeight="1">
      <x:c r="A234" s="17" t="n">
        <x:v>190</x:v>
      </x:c>
      <x:c r="B234" s="17" t="str">
        <x:v>영화진흥위원회</x:v>
      </x:c>
      <x:c r="C234" s="17" t="str">
        <x:v>2026년 대체인력(일반사무)-1 공개채용 공고</x:v>
      </x:c>
      <x:c r="D234" s="17" t="str">
        <x:v>부산</x:v>
      </x:c>
      <x:c r="E234" s="17" t="str">
        <x:v>비정규직</x:v>
      </x:c>
      <x:c r="F234" s="17" t="str">
        <x:v>2026.09.02</x:v>
      </x:c>
      <x:c r="G234" s="17" t="str">
        <x:v>26.09.17 D-8</x:v>
      </x:c>
      <x:c r="H234" s="17" t="str">
        <x:v>기간제·비정규</x:v>
      </x:c>
      <x:c r="I234" s="17" t="str">
        <x:v>세부조건 확인</x:v>
      </x:c>
      <x:c r="J234" s="17" t="str">
        <x:v>제한 문구 미탐지</x:v>
      </x:c>
      <x:c r="K234" s="17" t="str">
        <x:v>상세공고 확인</x:v>
      </x:c>
      <x:c r="L234" s="17" t="str">
        <x:v>상세공고 확인</x:v>
      </x:c>
      <x:c r="M234" s="17" t="str">
        <x:v>상세공고 확인</x:v>
      </x:c>
      <x:c r="N234" s="17" t="str">
        <x:v>상세공고 확인</x:v>
      </x:c>
      <x:c r="O234" s="17" t="str">
        <x:v>상세공고 확인</x:v>
      </x:c>
      <x:c r="P234" s="17" t="str">
        <x:v>상세공고 확인</x:v>
      </x:c>
      <x:c r="Q234" s="17" t="str">
        <x:v>상세공고 확인</x:v>
      </x:c>
      <x:c r="R234" s="17" t="str">
        <x:v>상세공고 확인</x:v>
      </x:c>
      <x:c r="S234" s="17" t="str">
        <x:v>상세공고 확인</x:v>
      </x:c>
      <x:c r="T234" s="17" t="str">
        <x:v>상세공고 확인</x:v>
      </x:c>
      <x:c r="U234" s="17" t="str">
        <x:v>상세공고 확인</x:v>
      </x:c>
      <x:c r="V234" s="17" t="str">
        <x:v>목록 항목 확인</x:v>
      </x:c>
      <x:c r="W234" s="17" t="str">
        <x:v>공고 상세에서 확인</x:v>
      </x:c>
      <x:c r="X234" s="18" t="str">
        <x:v>https://job.alio.go.kr/recruitview.do?idx=304510</x:v>
      </x:c>
      <x:c r="Y234" s="1"/>
      <x:c r="Z234" s="1"/>
    </x:row>
    <x:row r="235" ht="54" customHeight="1">
      <x:c r="A235" s="17" t="n">
        <x:v>189</x:v>
      </x:c>
      <x:c r="B235" s="17" t="str">
        <x:v>근로복지공단</x:v>
      </x:c>
      <x:c r="C235" s="17" t="str">
        <x:v>[동해병원] 기간제 의사(응급실전담의) 채용 공고</x:v>
      </x:c>
      <x:c r="D235" s="17" t="str">
        <x:v>강원</x:v>
      </x:c>
      <x:c r="E235" s="17" t="str">
        <x:v>비정규직</x:v>
      </x:c>
      <x:c r="F235" s="17" t="str">
        <x:v>2026.09.02</x:v>
      </x:c>
      <x:c r="G235" s="17" t="str">
        <x:v>26.09.09 D+0</x:v>
      </x:c>
      <x:c r="H235" s="17" t="str">
        <x:v>기간제·비정규</x:v>
      </x:c>
      <x:c r="I235" s="17" t="str">
        <x:v>세부조건 확인</x:v>
      </x:c>
      <x:c r="J235" s="17" t="str">
        <x:v>제한 문구 미탐지</x:v>
      </x:c>
      <x:c r="K235" s="17" t="str">
        <x:v>상세공고 확인</x:v>
      </x:c>
      <x:c r="L235" s="17" t="str">
        <x:v>상세공고 확인</x:v>
      </x:c>
      <x:c r="M235" s="17" t="str">
        <x:v>상세공고 확인</x:v>
      </x:c>
      <x:c r="N235" s="17" t="str">
        <x:v>상세공고 확인</x:v>
      </x:c>
      <x:c r="O235" s="17" t="str">
        <x:v>상세공고 확인</x:v>
      </x:c>
      <x:c r="P235" s="17" t="str">
        <x:v>상세공고 확인</x:v>
      </x:c>
      <x:c r="Q235" s="17" t="str">
        <x:v>상세공고 확인</x:v>
      </x:c>
      <x:c r="R235" s="17" t="str">
        <x:v>상세공고 확인</x:v>
      </x:c>
      <x:c r="S235" s="17" t="str">
        <x:v>상세공고 확인</x:v>
      </x:c>
      <x:c r="T235" s="17" t="str">
        <x:v>상세공고 확인</x:v>
      </x:c>
      <x:c r="U235" s="17" t="str">
        <x:v>상세공고 확인</x:v>
      </x:c>
      <x:c r="V235" s="17" t="str">
        <x:v>목록 항목 확인</x:v>
      </x:c>
      <x:c r="W235" s="17" t="str">
        <x:v>공고 상세에서 확인</x:v>
      </x:c>
      <x:c r="X235" s="18" t="str">
        <x:v>https://job.alio.go.kr/recruitview.do?idx=304509</x:v>
      </x:c>
      <x:c r="Y235" s="1"/>
      <x:c r="Z235" s="1"/>
    </x:row>
    <x:row r="236" ht="54" customHeight="1">
      <x:c r="A236" s="17" t="n">
        <x:v>188</x:v>
      </x:c>
      <x:c r="B236" s="17" t="str">
        <x:v>한국마사회</x:v>
      </x:c>
      <x:c r="C236" s="17" t="str">
        <x:v>한국마사회 경마지원직 채용공고(영천경마공원)</x:v>
      </x:c>
      <x:c r="D236" s="17" t="str">
        <x:v>경북</x:v>
      </x:c>
      <x:c r="E236" s="17" t="str">
        <x:v>무기계약직</x:v>
      </x:c>
      <x:c r="F236" s="17" t="str">
        <x:v>2026.09.02</x:v>
      </x:c>
      <x:c r="G236" s="17" t="str">
        <x:v>26.09.16 D-7</x:v>
      </x:c>
      <x:c r="H236" s="17" t="str">
        <x:v>무기계약·공무직</x:v>
      </x:c>
      <x:c r="I236" s="17" t="str">
        <x:v>세부조건 확인</x:v>
      </x:c>
      <x:c r="J236" s="17" t="str">
        <x:v>제한 문구 미탐지</x:v>
      </x:c>
      <x:c r="K236" s="17" t="str">
        <x:v>상세공고 확인</x:v>
      </x:c>
      <x:c r="L236" s="17" t="str">
        <x:v>상세공고 확인</x:v>
      </x:c>
      <x:c r="M236" s="17" t="str">
        <x:v>상세공고 확인</x:v>
      </x:c>
      <x:c r="N236" s="17" t="str">
        <x:v>상세공고 확인</x:v>
      </x:c>
      <x:c r="O236" s="17" t="str">
        <x:v>상세공고 확인</x:v>
      </x:c>
      <x:c r="P236" s="17" t="str">
        <x:v>상세공고 확인</x:v>
      </x:c>
      <x:c r="Q236" s="17" t="str">
        <x:v>상세공고 확인</x:v>
      </x:c>
      <x:c r="R236" s="17" t="str">
        <x:v>상세공고 확인</x:v>
      </x:c>
      <x:c r="S236" s="17" t="str">
        <x:v>상세공고 확인</x:v>
      </x:c>
      <x:c r="T236" s="17" t="str">
        <x:v>상세공고 확인</x:v>
      </x:c>
      <x:c r="U236" s="17" t="str">
        <x:v>상세공고 확인</x:v>
      </x:c>
      <x:c r="V236" s="17" t="str">
        <x:v>목록 항목 확인</x:v>
      </x:c>
      <x:c r="W236" s="17" t="str">
        <x:v>공고 상세에서 확인</x:v>
      </x:c>
      <x:c r="X236" s="18" t="str">
        <x:v>https://job.alio.go.kr/recruitview.do?idx=304507</x:v>
      </x:c>
      <x:c r="Y236" s="1"/>
      <x:c r="Z236" s="1"/>
    </x:row>
    <x:row r="237" ht="54" customHeight="1">
      <x:c r="A237" s="17" t="n">
        <x:v>187</x:v>
      </x:c>
      <x:c r="B237" s="17" t="str">
        <x:v>한국장애인고용공단</x:v>
      </x:c>
      <x:c r="C237" s="17" t="str">
        <x:v>[한국장애인고용공단 전남지사]2026년 체험형 청년인턴(대체근로자) 채용</x:v>
      </x:c>
      <x:c r="D237" s="17" t="str">
        <x:v>전남광주</x:v>
      </x:c>
      <x:c r="E237" s="17" t="str">
        <x:v>비정규직 외 1</x:v>
      </x:c>
      <x:c r="F237" s="17" t="str">
        <x:v>2026.09.02</x:v>
      </x:c>
      <x:c r="G237" s="17" t="str">
        <x:v>26.09.10 D-1</x:v>
      </x:c>
      <x:c r="H237" s="17" t="str">
        <x:v>체험형·청년인턴</x:v>
      </x:c>
      <x:c r="I237" s="17" t="str">
        <x:v>세부조건 확인</x:v>
      </x:c>
      <x:c r="J237" s="17" t="str">
        <x:v>제한 문구 미탐지</x:v>
      </x:c>
      <x:c r="K237" s="17" t="str">
        <x:v>상세공고 확인</x:v>
      </x:c>
      <x:c r="L237" s="17" t="str">
        <x:v>상세공고 확인</x:v>
      </x:c>
      <x:c r="M237" s="17" t="str">
        <x:v>상세공고 확인</x:v>
      </x:c>
      <x:c r="N237" s="17" t="str">
        <x:v>상세공고 확인</x:v>
      </x:c>
      <x:c r="O237" s="17" t="str">
        <x:v>상세공고 확인</x:v>
      </x:c>
      <x:c r="P237" s="17" t="str">
        <x:v>상세공고 확인</x:v>
      </x:c>
      <x:c r="Q237" s="17" t="str">
        <x:v>상세공고 확인</x:v>
      </x:c>
      <x:c r="R237" s="17" t="str">
        <x:v>상세공고 확인</x:v>
      </x:c>
      <x:c r="S237" s="17" t="str">
        <x:v>상세공고 확인</x:v>
      </x:c>
      <x:c r="T237" s="17" t="str">
        <x:v>상세공고 확인</x:v>
      </x:c>
      <x:c r="U237" s="17" t="str">
        <x:v>상세공고 확인</x:v>
      </x:c>
      <x:c r="V237" s="17" t="str">
        <x:v>목록 항목 확인</x:v>
      </x:c>
      <x:c r="W237" s="17" t="str">
        <x:v>공고 상세에서 확인</x:v>
      </x:c>
      <x:c r="X237" s="18" t="str">
        <x:v>https://job.alio.go.kr/recruitview.do?idx=304505</x:v>
      </x:c>
      <x:c r="Y237" s="1"/>
      <x:c r="Z237" s="1"/>
    </x:row>
    <x:row r="238" ht="54" customHeight="1">
      <x:c r="A238" s="17" t="n">
        <x:v>186</x:v>
      </x:c>
      <x:c r="B238" s="17" t="str">
        <x:v>한전KDN</x:v>
      </x:c>
      <x:c r="C238" s="17" t="str">
        <x:v>한전KDN(주) 울산지사 AMI 유지보수 일용근로자 모집공고</x:v>
      </x:c>
      <x:c r="D238" s="17" t="str">
        <x:v>울산</x:v>
      </x:c>
      <x:c r="E238" s="17" t="str">
        <x:v>비정규직</x:v>
      </x:c>
      <x:c r="F238" s="17" t="str">
        <x:v>2026.09.02</x:v>
      </x:c>
      <x:c r="G238" s="17" t="str">
        <x:v>26.09.16 D-7</x:v>
      </x:c>
      <x:c r="H238" s="17" t="str">
        <x:v>기간제·비정규</x:v>
      </x:c>
      <x:c r="I238" s="17" t="str">
        <x:v>세부조건 확인</x:v>
      </x:c>
      <x:c r="J238" s="17" t="str">
        <x:v>제한 문구 미탐지</x:v>
      </x:c>
      <x:c r="K238" s="17" t="str">
        <x:v>상세공고 확인</x:v>
      </x:c>
      <x:c r="L238" s="17" t="str">
        <x:v>상세공고 확인</x:v>
      </x:c>
      <x:c r="M238" s="17" t="str">
        <x:v>상세공고 확인</x:v>
      </x:c>
      <x:c r="N238" s="17" t="str">
        <x:v>상세공고 확인</x:v>
      </x:c>
      <x:c r="O238" s="17" t="str">
        <x:v>상세공고 확인</x:v>
      </x:c>
      <x:c r="P238" s="17" t="str">
        <x:v>상세공고 확인</x:v>
      </x:c>
      <x:c r="Q238" s="17" t="str">
        <x:v>상세공고 확인</x:v>
      </x:c>
      <x:c r="R238" s="17" t="str">
        <x:v>상세공고 확인</x:v>
      </x:c>
      <x:c r="S238" s="17" t="str">
        <x:v>상세공고 확인</x:v>
      </x:c>
      <x:c r="T238" s="17" t="str">
        <x:v>상세공고 확인</x:v>
      </x:c>
      <x:c r="U238" s="17" t="str">
        <x:v>상세공고 확인</x:v>
      </x:c>
      <x:c r="V238" s="17" t="str">
        <x:v>목록 항목 확인</x:v>
      </x:c>
      <x:c r="W238" s="17" t="str">
        <x:v>공고 상세에서 확인</x:v>
      </x:c>
      <x:c r="X238" s="18" t="str">
        <x:v>https://job.alio.go.kr/recruitview.do?idx=304500</x:v>
      </x:c>
      <x:c r="Y238" s="1"/>
      <x:c r="Z238" s="1"/>
    </x:row>
    <x:row r="239" ht="54" customHeight="1">
      <x:c r="A239" s="17" t="n">
        <x:v>185</x:v>
      </x:c>
      <x:c r="B239" s="17" t="str">
        <x:v>서울올림픽기념국민체육진흥공단</x:v>
      </x:c>
      <x:c r="C239" s="17" t="str">
        <x:v>서울올림픽기념국민체육진흥공단 파크텔 지원직(호텔지원(식음서비스)) 채용 공고</x:v>
      </x:c>
      <x:c r="D239" s="17" t="str">
        <x:v>서울</x:v>
      </x:c>
      <x:c r="E239" s="17" t="str">
        <x:v>무기계약직</x:v>
      </x:c>
      <x:c r="F239" s="17" t="str">
        <x:v>2026.09.02</x:v>
      </x:c>
      <x:c r="G239" s="17" t="str">
        <x:v>26.09.16 D-7</x:v>
      </x:c>
      <x:c r="H239" s="17" t="str">
        <x:v>무기계약·공무직</x:v>
      </x:c>
      <x:c r="I239" s="17" t="str">
        <x:v>세부조건 확인</x:v>
      </x:c>
      <x:c r="J239" s="17" t="str">
        <x:v>제한 문구 미탐지</x:v>
      </x:c>
      <x:c r="K239" s="17" t="str">
        <x:v>상세공고 확인</x:v>
      </x:c>
      <x:c r="L239" s="17" t="str">
        <x:v>상세공고 확인</x:v>
      </x:c>
      <x:c r="M239" s="17" t="str">
        <x:v>상세공고 확인</x:v>
      </x:c>
      <x:c r="N239" s="17" t="str">
        <x:v>상세공고 확인</x:v>
      </x:c>
      <x:c r="O239" s="17" t="str">
        <x:v>상세공고 확인</x:v>
      </x:c>
      <x:c r="P239" s="17" t="str">
        <x:v>상세공고 확인</x:v>
      </x:c>
      <x:c r="Q239" s="17" t="str">
        <x:v>상세공고 확인</x:v>
      </x:c>
      <x:c r="R239" s="17" t="str">
        <x:v>상세공고 확인</x:v>
      </x:c>
      <x:c r="S239" s="17" t="str">
        <x:v>상세공고 확인</x:v>
      </x:c>
      <x:c r="T239" s="17" t="str">
        <x:v>상세공고 확인</x:v>
      </x:c>
      <x:c r="U239" s="17" t="str">
        <x:v>상세공고 확인</x:v>
      </x:c>
      <x:c r="V239" s="17" t="str">
        <x:v>목록 항목 확인</x:v>
      </x:c>
      <x:c r="W239" s="17" t="str">
        <x:v>공고 상세에서 확인</x:v>
      </x:c>
      <x:c r="X239" s="18" t="str">
        <x:v>https://job.alio.go.kr/recruitview.do?idx=304486</x:v>
      </x:c>
      <x:c r="Y239" s="1"/>
      <x:c r="Z239" s="1"/>
    </x:row>
    <x:row r="240" ht="54" customHeight="1">
      <x:c r="A240" s="17" t="n">
        <x:v>184</x:v>
      </x:c>
      <x:c r="B240" s="17" t="str">
        <x:v>한국수자원공사</x:v>
      </x:c>
      <x:c r="C240" s="17" t="str">
        <x:v>[한국수자원공사] (재공고) 거제권지사 단기계약근로자(수돗물 안심서비스 운영관리) 채용 공고</x:v>
      </x:c>
      <x:c r="D240" s="17" t="str">
        <x:v>경남</x:v>
      </x:c>
      <x:c r="E240" s="17" t="str">
        <x:v>비정규직</x:v>
      </x:c>
      <x:c r="F240" s="17" t="str">
        <x:v>2026.09.02</x:v>
      </x:c>
      <x:c r="G240" s="17" t="str">
        <x:v>26.09.16 D-7</x:v>
      </x:c>
      <x:c r="H240" s="17" t="str">
        <x:v>기간제·비정규</x:v>
      </x:c>
      <x:c r="I240" s="17" t="str">
        <x:v>세부조건 확인</x:v>
      </x:c>
      <x:c r="J240" s="17" t="str">
        <x:v>제한 문구 미탐지</x:v>
      </x:c>
      <x:c r="K240" s="17" t="str">
        <x:v>상세공고 확인</x:v>
      </x:c>
      <x:c r="L240" s="17" t="str">
        <x:v>상세공고 확인</x:v>
      </x:c>
      <x:c r="M240" s="17" t="str">
        <x:v>상세공고 확인</x:v>
      </x:c>
      <x:c r="N240" s="17" t="str">
        <x:v>상세공고 확인</x:v>
      </x:c>
      <x:c r="O240" s="17" t="str">
        <x:v>상세공고 확인</x:v>
      </x:c>
      <x:c r="P240" s="17" t="str">
        <x:v>상세공고 확인</x:v>
      </x:c>
      <x:c r="Q240" s="17" t="str">
        <x:v>상세공고 확인</x:v>
      </x:c>
      <x:c r="R240" s="17" t="str">
        <x:v>상세공고 확인</x:v>
      </x:c>
      <x:c r="S240" s="17" t="str">
        <x:v>상세공고 확인</x:v>
      </x:c>
      <x:c r="T240" s="17" t="str">
        <x:v>상세공고 확인</x:v>
      </x:c>
      <x:c r="U240" s="17" t="str">
        <x:v>상세공고 확인</x:v>
      </x:c>
      <x:c r="V240" s="17" t="str">
        <x:v>목록 항목 확인</x:v>
      </x:c>
      <x:c r="W240" s="17" t="str">
        <x:v>공고 상세에서 확인</x:v>
      </x:c>
      <x:c r="X240" s="18" t="str">
        <x:v>https://job.alio.go.kr/recruitview.do?idx=304476</x:v>
      </x:c>
      <x:c r="Y240" s="1"/>
      <x:c r="Z240" s="1"/>
    </x:row>
    <x:row r="241" ht="54" customHeight="1">
      <x:c r="A241" s="17" t="n">
        <x:v>183</x:v>
      </x:c>
      <x:c r="B241" s="17" t="str">
        <x:v>한국조폐공사</x:v>
      </x:c>
      <x:c r="C241" s="17" t="str">
        <x:v>2026년도 제 2차 한국조폐공사 제지본부 기간제근로자 채용공고</x:v>
      </x:c>
      <x:c r="D241" s="17" t="str">
        <x:v>충남</x:v>
      </x:c>
      <x:c r="E241" s="17" t="str">
        <x:v>비정규직</x:v>
      </x:c>
      <x:c r="F241" s="17" t="str">
        <x:v>2026.09.02</x:v>
      </x:c>
      <x:c r="G241" s="17" t="str">
        <x:v>26.09.16 D-7</x:v>
      </x:c>
      <x:c r="H241" s="17" t="str">
        <x:v>기간제·비정규</x:v>
      </x:c>
      <x:c r="I241" s="17" t="str">
        <x:v>세부조건 확인</x:v>
      </x:c>
      <x:c r="J241" s="17" t="str">
        <x:v>제한 문구 미탐지</x:v>
      </x:c>
      <x:c r="K241" s="17" t="str">
        <x:v>상세공고 확인</x:v>
      </x:c>
      <x:c r="L241" s="17" t="str">
        <x:v>상세공고 확인</x:v>
      </x:c>
      <x:c r="M241" s="17" t="str">
        <x:v>상세공고 확인</x:v>
      </x:c>
      <x:c r="N241" s="17" t="str">
        <x:v>상세공고 확인</x:v>
      </x:c>
      <x:c r="O241" s="17" t="str">
        <x:v>상세공고 확인</x:v>
      </x:c>
      <x:c r="P241" s="17" t="str">
        <x:v>상세공고 확인</x:v>
      </x:c>
      <x:c r="Q241" s="17" t="str">
        <x:v>상세공고 확인</x:v>
      </x:c>
      <x:c r="R241" s="17" t="str">
        <x:v>상세공고 확인</x:v>
      </x:c>
      <x:c r="S241" s="17" t="str">
        <x:v>상세공고 확인</x:v>
      </x:c>
      <x:c r="T241" s="17" t="str">
        <x:v>상세공고 확인</x:v>
      </x:c>
      <x:c r="U241" s="17" t="str">
        <x:v>상세공고 확인</x:v>
      </x:c>
      <x:c r="V241" s="17" t="str">
        <x:v>목록 항목 확인</x:v>
      </x:c>
      <x:c r="W241" s="17" t="str">
        <x:v>공고 상세에서 확인</x:v>
      </x:c>
      <x:c r="X241" s="18" t="str">
        <x:v>https://job.alio.go.kr/recruitview.do?idx=304446</x:v>
      </x:c>
      <x:c r="Y241" s="1"/>
      <x:c r="Z241" s="1"/>
    </x:row>
    <x:row r="242" ht="54" customHeight="1">
      <x:c r="A242" s="17" t="n">
        <x:v>182</x:v>
      </x:c>
      <x:c r="B242" s="17" t="str">
        <x:v>신용보증기금</x:v>
      </x:c>
      <x:c r="C242" s="17" t="str">
        <x:v>2026년도 하반기 신용보증기금 신입직원 채용</x:v>
      </x:c>
      <x:c r="D242" s="17" t="str">
        <x:v>서울 외 15</x:v>
      </x:c>
      <x:c r="E242" s="17" t="str">
        <x:v>정규직</x:v>
      </x:c>
      <x:c r="F242" s="17" t="str">
        <x:v>2026.09.02</x:v>
      </x:c>
      <x:c r="G242" s="17" t="str">
        <x:v>26.09.16 D-7</x:v>
      </x:c>
      <x:c r="H242" s="17" t="str">
        <x:v>신입·정규직</x:v>
      </x:c>
      <x:c r="I242" s="17" t="str">
        <x:v>우선검토</x:v>
      </x:c>
      <x:c r="J242" s="17" t="str">
        <x:v>제한 문구 미탐지</x:v>
      </x:c>
      <x:c r="K242" s="17" t="str">
        <x:v>신입</x:v>
      </x:c>
      <x:c r="L242" s="17" t="str">
        <x:v>학력무관</x:v>
      </x:c>
      <x:c r="M242" s="17" t="str">
        <x:v>77명</x:v>
      </x:c>
      <x:c r="N242" s="17" t="str">
        <x:v>경영.회계.사무,금융.보험,정보통신</x:v>
      </x:c>
      <x:c r="O242" s="17" t="str">
        <x:v>사회형평 가점, 자격 가점, 경력 가점 등</x:v>
      </x:c>
      <x:c r="P242" s="17" t="str">
        <x:v>명시 있음</x:v>
      </x:c>
      <x:c r="Q242" s="17" t="str">
        <x:v>상세공고 확인</x:v>
      </x:c>
      <x:c r="R242" s="17" t="str">
        <x:v>ㅁ 공통사항(지원자 전체) ㅇ 학력, 연령*, 성별 및 전공 : 제한 없음 * 단, 접수마감일 기준 신용보증기금 정년(만 60세)을 초과한 자는 지원 불가 ㅇ 채용확정 후('26년 12월 말 예정) 전일 근무 가능한 자(입사 유예 불가) ㅇ 채용제한 사유에 해당되지 않는 자(붙임1 참조) ㅇ 병역법 제76조에서 정한 병역의무 불이행 사실이 없는 자 * 채용확정일('26년 12월 말 예정) 이전 전역(예정)자 지원 가능 ※ 채용단위(정규직 5급(상경계, 비상경계, 인공지능, ICT, 보훈), 정규직6급(고교 경영금융, 고교 정보통신)별 자세한 내용은 첨부된 채용 공고를 참고해 주시기 바랍니다.</x:v>
      </x:c>
      <x:c r="S242" s="17" t="str">
        <x:v>한국사, 정보보안기사, 정보처리기사, 빅데이터분석기사, 의사</x:v>
      </x:c>
      <x:c r="T242" s="17" t="str">
        <x:v>1. 입사지원 ㅇ 접수기간 : ’26.9.2.(수) ~ 9.16.(수) 16:00 (접수기간 내 24시간 접수 가능) ㅇ 접수방법 : 채용 홈페이지(http://kodit.saramin.co.kr)를 통한 온라인 접수 2. 서류전형 ㅇ 평가대상 : (1단계) 입사지원자 전원, (2단계) 1단계 평가 통과자 ㅇ 우대사항 : 최근 1년 이내 신용보증기금 최우수 인턴 수료자 서류전형 면제 - 자세한 내용 및 그 외 우대사항은 ‘7. 가점 및 우대사항’ 참조 3. 필기전형 ㅁ 공통사항 ㅇ 응시대상 : 서류전형 합격자 중 응시정보 등록자 ㅇ 응시일자 : ’26. 10. 17.(토) 예정 (1·2차 필기 동시 실시) ㅇ 응시장소 : 서울, 대구 예정 (보훈, 고교 경영금융, 고교 정보통신 채용단위는 일괄적으로 고사장을 지정하여 운영) ㅇ 우대사항 : ‘7. 가점 및 우대사항’ 참조 ㅇ 전형평가(상경계, 비상경계, 인공지능, ICT) : 1·2차 허들형 평가 ㅇ 전형평가(보 훈) : 1차 직업기초능력(NCS)과 2차 논술 필기 평가 합산 ㅇ 전형평가(고교 경영금융, 고교 정보통신) : 직업기초능력(NCS)과 직무전공 평가 합산 ㅇ 최종 합격자 선정배수 : 3배수(단, 고교 정보통신은 5배수) ㅇ 기타 유의사항 - 답안지 작성이 끝났더라도 시험 종료 시까지 퇴실할 수 없음 ㅁ 1차 객관식 필기 평가 ㅇ 평가대상 : 서류전형 합격자 중 응시정보 등록자 ㅇ 평가내용 - 직업기초능력 : 의사소통능력, 문제해결능력, 수리능력, 자원관리능력 - 직무전공 등 : 직무수행능력을 평가하기 위한 전공시험 등 □ 2차 논술 필기 평가 ㅇ 평가내용 : 직무분야 전공 및 직무수행과 연관된 주제 4. 면접전형 ㅇ 응시대상 : 필기전형 합격자 중 기한까지 자기소개서 작성(직무관련 교육사항 포함), 온라인 인성검사 및 관련 증빙서류 제출을 완료한 자 ㅇ 응시일자 : ’26. 11. 16.(월) ~ 11. 27.(금) 예정 (세부일정은 필기전형 합격자 발표 시 안내) ㅇ 응시장소 : 필기전형 합격자 발표 시 안내 ㅇ 우대사항 : ‘7. 가점 및 우대사항’ 참조 ㅇ 평가내용 : 3단계 면접 실시 - 과제수행면접 : 조별 과제수행을 통해 문제해결력 및 협업능력 평가 - 실무면접 : 업무수행계획서와 교육 및 자격사항 등을 중심으로 직무수행역량 평가 - 심층면접 : 자기소개서 및 경력사항 등을 중심으로 기본역량 및 조직적합도 평가 ㅇ 과락 및 합격자 선정 : - (과락) 가점 적용 전 3단계 면접전형 평가점수(원점수)를 합산한 점수가 만점의 40% 미만 - (합격자 선정) 3단계 면접전형 평가점수(원점수)에 가점을 합산한 종합점수 고득점 순 (1배수) ㅇ 결원충원 : 입사포기자 발생 시 입사일 (’26년 12월 말 예정) 직전 최종 영업일 (18시)까지 채용단위별로 예비순번에 따라 추가합격 실시 - 지원자 미…</x:v>
      </x:c>
      <x:c r="U242" s="17" t="str">
        <x:v>면접전형 ㅇ 응시대상 : 필기전형 합격자 중 기한까지 자기소개서 작성(직무관련 교육사항 포함), 온라인 인성검사 및 관련 증빙서류 제출을 완료한 자 ㅇ 응시일자 : ’26 / 가점 및 우대사항’ 참조 ㅇ 평가내용 : 3단계 면접 실시 - 과제수행면접 : 조별 과제수행을 통해 문제해결력 및 협업능력 평가 - 실무면접 : 업무수행계획서와 교육 및 자격사항 등을 중심으로 직무수행역량 평가 - 심층면접 : 자기소개서 및 경력사항 등을 중심으로 기본역량 및 조직적합도 평가 ㅇ 과락 및 합격자 선정 : - (과락) 가점 적용 전 3단계 면접전형 평가점수(원점수)를 합산한 점수가 만점의 40% 미만 - (합격자 선정) 3단계 면접전형 평가점수(원점수)에 가점을 합산한 종합점수 고득점 순 (1배수) ㅇ 결원충원 : 입사포기자 발생 시 입사일 (’26년 12월 말 예정) 직전 최종 영업일 (18시)까지 채용단위별로 예비순번에 따라 추가합격 실시 - 지원자 미달, 과락 점수를 초과하는 득점자가 없는 경우, 예비합격자까지 모두 입사를 포기하는 경우 등 채용단위별로 적격자가 없는 경우 채용하지 않을 수 있음 5</x:v>
      </x:c>
      <x:c r="V242" s="17" t="str">
        <x:v>상세 페이지 확인</x:v>
      </x:c>
      <x:c r="W242" s="17" t="str">
        <x:v>http://kodit.saramin.co.kr/</x:v>
      </x:c>
      <x:c r="X242" s="18" t="str">
        <x:v>https://job.alio.go.kr/recruitview.do?idx=304432</x:v>
      </x:c>
      <x:c r="Y242" s="1"/>
      <x:c r="Z242" s="1"/>
    </x:row>
    <x:row r="243" ht="54" customHeight="1">
      <x:c r="A243" s="17" t="n">
        <x:v>181</x:v>
      </x:c>
      <x:c r="B243" s="17" t="str">
        <x:v>한국마사회</x:v>
      </x:c>
      <x:c r="C243" s="17" t="str">
        <x:v>2026년 제2차 한국마사회 체험형 청년인턴 채용공고(장애인, 사회형평, 말산업 전문)</x:v>
      </x:c>
      <x:c r="D243" s="17" t="str">
        <x:v>부산 외 2</x:v>
      </x:c>
      <x:c r="E243" s="17" t="str">
        <x:v>청년인턴(체험형)</x:v>
      </x:c>
      <x:c r="F243" s="17" t="str">
        <x:v>2026.09.02</x:v>
      </x:c>
      <x:c r="G243" s="17" t="str">
        <x:v>26.09.16 D-7</x:v>
      </x:c>
      <x:c r="H243" s="17" t="str">
        <x:v>체험형·청년인턴</x:v>
      </x:c>
      <x:c r="I243" s="17" t="str">
        <x:v>세부조건 확인</x:v>
      </x:c>
      <x:c r="J243" s="17" t="str">
        <x:v>제한 문구 미탐지</x:v>
      </x:c>
      <x:c r="K243" s="17" t="str">
        <x:v>상세공고 확인</x:v>
      </x:c>
      <x:c r="L243" s="17" t="str">
        <x:v>상세공고 확인</x:v>
      </x:c>
      <x:c r="M243" s="17" t="str">
        <x:v>상세공고 확인</x:v>
      </x:c>
      <x:c r="N243" s="17" t="str">
        <x:v>상세공고 확인</x:v>
      </x:c>
      <x:c r="O243" s="17" t="str">
        <x:v>상세공고 확인</x:v>
      </x:c>
      <x:c r="P243" s="17" t="str">
        <x:v>상세공고 확인</x:v>
      </x:c>
      <x:c r="Q243" s="17" t="str">
        <x:v>상세공고 확인</x:v>
      </x:c>
      <x:c r="R243" s="17" t="str">
        <x:v>상세공고 확인</x:v>
      </x:c>
      <x:c r="S243" s="17" t="str">
        <x:v>상세공고 확인</x:v>
      </x:c>
      <x:c r="T243" s="17" t="str">
        <x:v>상세공고 확인</x:v>
      </x:c>
      <x:c r="U243" s="17" t="str">
        <x:v>상세공고 확인</x:v>
      </x:c>
      <x:c r="V243" s="17" t="str">
        <x:v>목록 항목 확인</x:v>
      </x:c>
      <x:c r="W243" s="17" t="str">
        <x:v>공고 상세에서 확인</x:v>
      </x:c>
      <x:c r="X243" s="18" t="str">
        <x:v>https://job.alio.go.kr/recruitview.do?idx=304403</x:v>
      </x:c>
      <x:c r="Y243" s="1"/>
      <x:c r="Z243" s="1"/>
    </x:row>
    <x:row r="244" ht="54" customHeight="1">
      <x:c r="A244" s="17" t="n">
        <x:v>180</x:v>
      </x:c>
      <x:c r="B244" s="17" t="str">
        <x:v>학교법인한국폴리텍</x:v>
      </x:c>
      <x:c r="C244" s="17" t="str">
        <x:v>한국폴리텍대학 창원캠퍼스 무기계약직원(업무직 영선원) 보훈제한경쟁 채용 공고</x:v>
      </x:c>
      <x:c r="D244" s="17" t="str">
        <x:v>경남</x:v>
      </x:c>
      <x:c r="E244" s="17" t="str">
        <x:v>무기계약직</x:v>
      </x:c>
      <x:c r="F244" s="17" t="str">
        <x:v>2026.09.02</x:v>
      </x:c>
      <x:c r="G244" s="17" t="str">
        <x:v>26.09.09 D+0</x:v>
      </x:c>
      <x:c r="H244" s="17" t="str">
        <x:v>제한경쟁·조건부</x:v>
      </x:c>
      <x:c r="I244" s="17" t="str">
        <x:v>조건 충족자만</x:v>
      </x:c>
      <x:c r="J244" s="17" t="str">
        <x:v>보훈 관련 제한경쟁</x:v>
      </x:c>
      <x:c r="K244" s="17" t="str">
        <x:v>상세공고 확인</x:v>
      </x:c>
      <x:c r="L244" s="17" t="str">
        <x:v>상세공고 확인</x:v>
      </x:c>
      <x:c r="M244" s="17" t="str">
        <x:v>상세공고 확인</x:v>
      </x:c>
      <x:c r="N244" s="17" t="str">
        <x:v>상세공고 확인</x:v>
      </x:c>
      <x:c r="O244" s="17" t="str">
        <x:v>상세공고 확인</x:v>
      </x:c>
      <x:c r="P244" s="17" t="str">
        <x:v>상세공고 확인</x:v>
      </x:c>
      <x:c r="Q244" s="17" t="str">
        <x:v>상세공고 확인</x:v>
      </x:c>
      <x:c r="R244" s="17" t="str">
        <x:v>상세공고 확인</x:v>
      </x:c>
      <x:c r="S244" s="17" t="str">
        <x:v>상세공고 확인</x:v>
      </x:c>
      <x:c r="T244" s="17" t="str">
        <x:v>상세공고 확인</x:v>
      </x:c>
      <x:c r="U244" s="17" t="str">
        <x:v>상세공고 확인</x:v>
      </x:c>
      <x:c r="V244" s="17" t="str">
        <x:v>목록 항목 확인</x:v>
      </x:c>
      <x:c r="W244" s="17" t="str">
        <x:v>공고 상세에서 확인</x:v>
      </x:c>
      <x:c r="X244" s="18" t="str">
        <x:v>https://job.alio.go.kr/recruitview.do?idx=304337</x:v>
      </x:c>
      <x:c r="Y244" s="1"/>
      <x:c r="Z244" s="1"/>
    </x:row>
    <x:row r="245" ht="54" customHeight="1">
      <x:c r="A245" s="17" t="n">
        <x:v>179</x:v>
      </x:c>
      <x:c r="B245" s="17" t="str">
        <x:v>국립중앙의료원</x:v>
      </x:c>
      <x:c r="C245" s="17" t="str">
        <x:v>업무지원직 청소-보훈제한경쟁(시설팀) 채용 공고</x:v>
      </x:c>
      <x:c r="D245" s="17" t="str">
        <x:v>서울</x:v>
      </x:c>
      <x:c r="E245" s="17" t="str">
        <x:v>무기계약직</x:v>
      </x:c>
      <x:c r="F245" s="17" t="str">
        <x:v>2026.09.01</x:v>
      </x:c>
      <x:c r="G245" s="17" t="str">
        <x:v>26.09.16 D-7</x:v>
      </x:c>
      <x:c r="H245" s="17" t="str">
        <x:v>제한경쟁·조건부</x:v>
      </x:c>
      <x:c r="I245" s="17" t="str">
        <x:v>조건 충족자만</x:v>
      </x:c>
      <x:c r="J245" s="17" t="str">
        <x:v>보훈 관련 제한경쟁</x:v>
      </x:c>
      <x:c r="K245" s="17" t="str">
        <x:v>상세공고 확인</x:v>
      </x:c>
      <x:c r="L245" s="17" t="str">
        <x:v>상세공고 확인</x:v>
      </x:c>
      <x:c r="M245" s="17" t="str">
        <x:v>상세공고 확인</x:v>
      </x:c>
      <x:c r="N245" s="17" t="str">
        <x:v>상세공고 확인</x:v>
      </x:c>
      <x:c r="O245" s="17" t="str">
        <x:v>상세공고 확인</x:v>
      </x:c>
      <x:c r="P245" s="17" t="str">
        <x:v>상세공고 확인</x:v>
      </x:c>
      <x:c r="Q245" s="17" t="str">
        <x:v>상세공고 확인</x:v>
      </x:c>
      <x:c r="R245" s="17" t="str">
        <x:v>상세공고 확인</x:v>
      </x:c>
      <x:c r="S245" s="17" t="str">
        <x:v>상세공고 확인</x:v>
      </x:c>
      <x:c r="T245" s="17" t="str">
        <x:v>상세공고 확인</x:v>
      </x:c>
      <x:c r="U245" s="17" t="str">
        <x:v>상세공고 확인</x:v>
      </x:c>
      <x:c r="V245" s="17" t="str">
        <x:v>목록 항목 확인</x:v>
      </x:c>
      <x:c r="W245" s="17" t="str">
        <x:v>공고 상세에서 확인</x:v>
      </x:c>
      <x:c r="X245" s="18" t="str">
        <x:v>https://job.alio.go.kr/recruitview.do?idx=304498</x:v>
      </x:c>
      <x:c r="Y245" s="1"/>
      <x:c r="Z245" s="1"/>
    </x:row>
    <x:row r="246" ht="54" customHeight="1">
      <x:c r="A246" s="17" t="n">
        <x:v>178</x:v>
      </x:c>
      <x:c r="B246" s="17" t="str">
        <x:v>국립중앙의료원</x:v>
      </x:c>
      <x:c r="C246" s="17" t="str">
        <x:v>업무지원직 콜센터(원무팀) 채용 공고</x:v>
      </x:c>
      <x:c r="D246" s="17" t="str">
        <x:v>서울</x:v>
      </x:c>
      <x:c r="E246" s="17" t="str">
        <x:v>무기계약직</x:v>
      </x:c>
      <x:c r="F246" s="17" t="str">
        <x:v>2026.09.01</x:v>
      </x:c>
      <x:c r="G246" s="17" t="str">
        <x:v>26.09.16 D-7</x:v>
      </x:c>
      <x:c r="H246" s="17" t="str">
        <x:v>무기계약·공무직</x:v>
      </x:c>
      <x:c r="I246" s="17" t="str">
        <x:v>세부조건 확인</x:v>
      </x:c>
      <x:c r="J246" s="17" t="str">
        <x:v>제한 문구 미탐지</x:v>
      </x:c>
      <x:c r="K246" s="17" t="str">
        <x:v>상세공고 확인</x:v>
      </x:c>
      <x:c r="L246" s="17" t="str">
        <x:v>상세공고 확인</x:v>
      </x:c>
      <x:c r="M246" s="17" t="str">
        <x:v>상세공고 확인</x:v>
      </x:c>
      <x:c r="N246" s="17" t="str">
        <x:v>상세공고 확인</x:v>
      </x:c>
      <x:c r="O246" s="17" t="str">
        <x:v>상세공고 확인</x:v>
      </x:c>
      <x:c r="P246" s="17" t="str">
        <x:v>상세공고 확인</x:v>
      </x:c>
      <x:c r="Q246" s="17" t="str">
        <x:v>상세공고 확인</x:v>
      </x:c>
      <x:c r="R246" s="17" t="str">
        <x:v>상세공고 확인</x:v>
      </x:c>
      <x:c r="S246" s="17" t="str">
        <x:v>상세공고 확인</x:v>
      </x:c>
      <x:c r="T246" s="17" t="str">
        <x:v>상세공고 확인</x:v>
      </x:c>
      <x:c r="U246" s="17" t="str">
        <x:v>상세공고 확인</x:v>
      </x:c>
      <x:c r="V246" s="17" t="str">
        <x:v>목록 항목 확인</x:v>
      </x:c>
      <x:c r="W246" s="17" t="str">
        <x:v>공고 상세에서 확인</x:v>
      </x:c>
      <x:c r="X246" s="18" t="str">
        <x:v>https://job.alio.go.kr/recruitview.do?idx=304497</x:v>
      </x:c>
      <x:c r="Y246" s="1"/>
      <x:c r="Z246" s="1"/>
    </x:row>
    <x:row r="247" ht="54" customHeight="1">
      <x:c r="A247" s="17" t="n">
        <x:v>177</x:v>
      </x:c>
      <x:c r="B247" s="17" t="str">
        <x:v>국립중앙의료원</x:v>
      </x:c>
      <x:c r="C247" s="17" t="str">
        <x:v>업무지원직 콜센터 매니저(원무팀) 채용 공고</x:v>
      </x:c>
      <x:c r="D247" s="17" t="str">
        <x:v>서울</x:v>
      </x:c>
      <x:c r="E247" s="17" t="str">
        <x:v>무기계약직</x:v>
      </x:c>
      <x:c r="F247" s="17" t="str">
        <x:v>2026.09.01</x:v>
      </x:c>
      <x:c r="G247" s="17" t="str">
        <x:v>26.09.16 D-7</x:v>
      </x:c>
      <x:c r="H247" s="17" t="str">
        <x:v>무기계약·공무직</x:v>
      </x:c>
      <x:c r="I247" s="17" t="str">
        <x:v>세부조건 확인</x:v>
      </x:c>
      <x:c r="J247" s="17" t="str">
        <x:v>제한 문구 미탐지</x:v>
      </x:c>
      <x:c r="K247" s="17" t="str">
        <x:v>상세공고 확인</x:v>
      </x:c>
      <x:c r="L247" s="17" t="str">
        <x:v>상세공고 확인</x:v>
      </x:c>
      <x:c r="M247" s="17" t="str">
        <x:v>상세공고 확인</x:v>
      </x:c>
      <x:c r="N247" s="17" t="str">
        <x:v>상세공고 확인</x:v>
      </x:c>
      <x:c r="O247" s="17" t="str">
        <x:v>상세공고 확인</x:v>
      </x:c>
      <x:c r="P247" s="17" t="str">
        <x:v>상세공고 확인</x:v>
      </x:c>
      <x:c r="Q247" s="17" t="str">
        <x:v>상세공고 확인</x:v>
      </x:c>
      <x:c r="R247" s="17" t="str">
        <x:v>상세공고 확인</x:v>
      </x:c>
      <x:c r="S247" s="17" t="str">
        <x:v>상세공고 확인</x:v>
      </x:c>
      <x:c r="T247" s="17" t="str">
        <x:v>상세공고 확인</x:v>
      </x:c>
      <x:c r="U247" s="17" t="str">
        <x:v>상세공고 확인</x:v>
      </x:c>
      <x:c r="V247" s="17" t="str">
        <x:v>목록 항목 확인</x:v>
      </x:c>
      <x:c r="W247" s="17" t="str">
        <x:v>공고 상세에서 확인</x:v>
      </x:c>
      <x:c r="X247" s="18" t="str">
        <x:v>https://job.alio.go.kr/recruitview.do?idx=304496</x:v>
      </x:c>
      <x:c r="Y247" s="1"/>
      <x:c r="Z247" s="1"/>
    </x:row>
    <x:row r="248" ht="54" customHeight="1">
      <x:c r="A248" s="17" t="n">
        <x:v>176</x:v>
      </x:c>
      <x:c r="B248" s="17" t="str">
        <x:v>국립중앙의료원</x:v>
      </x:c>
      <x:c r="C248" s="17" t="str">
        <x:v>무기계약직 간호사(간호부) 채용 공고</x:v>
      </x:c>
      <x:c r="D248" s="17" t="str">
        <x:v>서울</x:v>
      </x:c>
      <x:c r="E248" s="17" t="str">
        <x:v>무기계약직</x:v>
      </x:c>
      <x:c r="F248" s="17" t="str">
        <x:v>2026.09.01</x:v>
      </x:c>
      <x:c r="G248" s="17" t="str">
        <x:v>26.09.16 D-7</x:v>
      </x:c>
      <x:c r="H248" s="17" t="str">
        <x:v>경력·전문직</x:v>
      </x:c>
      <x:c r="I248" s="17" t="str">
        <x:v>경력·전문 우선</x:v>
      </x:c>
      <x:c r="J248" s="17" t="str">
        <x:v>제한 문구 미탐지</x:v>
      </x:c>
      <x:c r="K248" s="17" t="str">
        <x:v>상세공고 확인</x:v>
      </x:c>
      <x:c r="L248" s="17" t="str">
        <x:v>상세공고 확인</x:v>
      </x:c>
      <x:c r="M248" s="17" t="str">
        <x:v>상세공고 확인</x:v>
      </x:c>
      <x:c r="N248" s="17" t="str">
        <x:v>상세공고 확인</x:v>
      </x:c>
      <x:c r="O248" s="17" t="str">
        <x:v>상세공고 확인</x:v>
      </x:c>
      <x:c r="P248" s="17" t="str">
        <x:v>상세공고 확인</x:v>
      </x:c>
      <x:c r="Q248" s="17" t="str">
        <x:v>상세공고 확인</x:v>
      </x:c>
      <x:c r="R248" s="17" t="str">
        <x:v>상세공고 확인</x:v>
      </x:c>
      <x:c r="S248" s="17" t="str">
        <x:v>상세공고 확인</x:v>
      </x:c>
      <x:c r="T248" s="17" t="str">
        <x:v>상세공고 확인</x:v>
      </x:c>
      <x:c r="U248" s="17" t="str">
        <x:v>상세공고 확인</x:v>
      </x:c>
      <x:c r="V248" s="17" t="str">
        <x:v>목록 항목 확인</x:v>
      </x:c>
      <x:c r="W248" s="17" t="str">
        <x:v>공고 상세에서 확인</x:v>
      </x:c>
      <x:c r="X248" s="18" t="str">
        <x:v>https://job.alio.go.kr/recruitview.do?idx=304495</x:v>
      </x:c>
      <x:c r="Y248" s="1"/>
      <x:c r="Z248" s="1"/>
    </x:row>
    <x:row r="249" ht="54" customHeight="1">
      <x:c r="A249" s="17" t="n">
        <x:v>175</x:v>
      </x:c>
      <x:c r="B249" s="17" t="str">
        <x:v>국립중앙의료원</x:v>
      </x:c>
      <x:c r="C249" s="17" t="str">
        <x:v>무기계약직 간호조무사(간호부) 채용 공고</x:v>
      </x:c>
      <x:c r="D249" s="17" t="str">
        <x:v>서울</x:v>
      </x:c>
      <x:c r="E249" s="17" t="str">
        <x:v>무기계약직</x:v>
      </x:c>
      <x:c r="F249" s="17" t="str">
        <x:v>2026.09.01</x:v>
      </x:c>
      <x:c r="G249" s="17" t="str">
        <x:v>26.09.16 D-7</x:v>
      </x:c>
      <x:c r="H249" s="17" t="str">
        <x:v>무기계약·공무직</x:v>
      </x:c>
      <x:c r="I249" s="17" t="str">
        <x:v>세부조건 확인</x:v>
      </x:c>
      <x:c r="J249" s="17" t="str">
        <x:v>제한 문구 미탐지</x:v>
      </x:c>
      <x:c r="K249" s="17" t="str">
        <x:v>상세공고 확인</x:v>
      </x:c>
      <x:c r="L249" s="17" t="str">
        <x:v>상세공고 확인</x:v>
      </x:c>
      <x:c r="M249" s="17" t="str">
        <x:v>상세공고 확인</x:v>
      </x:c>
      <x:c r="N249" s="17" t="str">
        <x:v>상세공고 확인</x:v>
      </x:c>
      <x:c r="O249" s="17" t="str">
        <x:v>상세공고 확인</x:v>
      </x:c>
      <x:c r="P249" s="17" t="str">
        <x:v>상세공고 확인</x:v>
      </x:c>
      <x:c r="Q249" s="17" t="str">
        <x:v>상세공고 확인</x:v>
      </x:c>
      <x:c r="R249" s="17" t="str">
        <x:v>상세공고 확인</x:v>
      </x:c>
      <x:c r="S249" s="17" t="str">
        <x:v>상세공고 확인</x:v>
      </x:c>
      <x:c r="T249" s="17" t="str">
        <x:v>상세공고 확인</x:v>
      </x:c>
      <x:c r="U249" s="17" t="str">
        <x:v>상세공고 확인</x:v>
      </x:c>
      <x:c r="V249" s="17" t="str">
        <x:v>목록 항목 확인</x:v>
      </x:c>
      <x:c r="W249" s="17" t="str">
        <x:v>공고 상세에서 확인</x:v>
      </x:c>
      <x:c r="X249" s="18" t="str">
        <x:v>https://job.alio.go.kr/recruitview.do?idx=304494</x:v>
      </x:c>
      <x:c r="Y249" s="1"/>
      <x:c r="Z249" s="1"/>
    </x:row>
    <x:row r="250" ht="54" customHeight="1">
      <x:c r="A250" s="17" t="n">
        <x:v>174</x:v>
      </x:c>
      <x:c r="B250" s="17" t="str">
        <x:v>한국직업능력연구원</x:v>
      </x:c>
      <x:c r="C250" s="17" t="str">
        <x:v>[한국직업능력연구원] (재공고) 2026년도 제3차 청년인턴(보훈) 채용 공고</x:v>
      </x:c>
      <x:c r="D250" s="17" t="str">
        <x:v>세종</x:v>
      </x:c>
      <x:c r="E250" s="17" t="str">
        <x:v>청년인턴(체험형)</x:v>
      </x:c>
      <x:c r="F250" s="17" t="str">
        <x:v>2026.09.01</x:v>
      </x:c>
      <x:c r="G250" s="17" t="str">
        <x:v>26.09.16 D-7</x:v>
      </x:c>
      <x:c r="H250" s="17" t="str">
        <x:v>제한경쟁·조건부</x:v>
      </x:c>
      <x:c r="I250" s="17" t="str">
        <x:v>조건 충족자만</x:v>
      </x:c>
      <x:c r="J250" s="17" t="str">
        <x:v>보훈 관련 제한경쟁</x:v>
      </x:c>
      <x:c r="K250" s="17" t="str">
        <x:v>상세공고 확인</x:v>
      </x:c>
      <x:c r="L250" s="17" t="str">
        <x:v>상세공고 확인</x:v>
      </x:c>
      <x:c r="M250" s="17" t="str">
        <x:v>상세공고 확인</x:v>
      </x:c>
      <x:c r="N250" s="17" t="str">
        <x:v>상세공고 확인</x:v>
      </x:c>
      <x:c r="O250" s="17" t="str">
        <x:v>상세공고 확인</x:v>
      </x:c>
      <x:c r="P250" s="17" t="str">
        <x:v>상세공고 확인</x:v>
      </x:c>
      <x:c r="Q250" s="17" t="str">
        <x:v>상세공고 확인</x:v>
      </x:c>
      <x:c r="R250" s="17" t="str">
        <x:v>상세공고 확인</x:v>
      </x:c>
      <x:c r="S250" s="17" t="str">
        <x:v>상세공고 확인</x:v>
      </x:c>
      <x:c r="T250" s="17" t="str">
        <x:v>상세공고 확인</x:v>
      </x:c>
      <x:c r="U250" s="17" t="str">
        <x:v>상세공고 확인</x:v>
      </x:c>
      <x:c r="V250" s="17" t="str">
        <x:v>목록 항목 확인</x:v>
      </x:c>
      <x:c r="W250" s="17" t="str">
        <x:v>공고 상세에서 확인</x:v>
      </x:c>
      <x:c r="X250" s="18" t="str">
        <x:v>https://job.alio.go.kr/recruitview.do?idx=304493</x:v>
      </x:c>
      <x:c r="Y250" s="1"/>
      <x:c r="Z250" s="1"/>
    </x:row>
    <x:row r="251" ht="54" customHeight="1">
      <x:c r="A251" s="17" t="n">
        <x:v>173</x:v>
      </x:c>
      <x:c r="B251" s="17" t="str">
        <x:v>인천국제공항공사</x:v>
      </x:c>
      <x:c r="C251" s="17" t="str">
        <x:v>2026년 신입직원(일반직, 안전보안직) 채용 공고</x:v>
      </x:c>
      <x:c r="D251" s="17" t="str">
        <x:v>인천</x:v>
      </x:c>
      <x:c r="E251" s="17" t="str">
        <x:v>정규직</x:v>
      </x:c>
      <x:c r="F251" s="17" t="str">
        <x:v>2026.09.01</x:v>
      </x:c>
      <x:c r="G251" s="17" t="str">
        <x:v>26.09.15 D-6</x:v>
      </x:c>
      <x:c r="H251" s="17" t="str">
        <x:v>제한경쟁·조건부</x:v>
      </x:c>
      <x:c r="I251" s="17" t="str">
        <x:v>조건 충족자만</x:v>
      </x:c>
      <x:c r="J251" s="17" t="str">
        <x:v>장애 관련 제한경쟁</x:v>
      </x:c>
      <x:c r="K251" s="17" t="str">
        <x:v>신입</x:v>
      </x:c>
      <x:c r="L251" s="17" t="str">
        <x:v>학력무관</x:v>
      </x:c>
      <x:c r="M251" s="17" t="str">
        <x:v>43명</x:v>
      </x:c>
      <x:c r="N251" s="17" t="str">
        <x:v>사업관리,경영.회계.사무,법률.경찰.소방.교도.국방,문화.예술.디자인.방송,건설,기계,전기.전자,정보통신,환경.에너지.안전</x:v>
      </x:c>
      <x:c r="O251" s="17" t="str">
        <x:v>(공통) 보훈, 저소득/한부모가정, 다문화가정, 북한이탈주민, 자립준비청년 (일반직) 직무자격증 보유자, 어학스피킹 성적 보유자, 우리공사 우수인턴, 우리공사 장애인턴, 비수도권 지역인재</x:v>
      </x:c>
      <x:c r="P251" s="17" t="str">
        <x:v>명시 있음</x:v>
      </x:c>
      <x:c r="Q251" s="17" t="str">
        <x:v>상세공고 확인</x:v>
      </x:c>
      <x:c r="R251" s="17" t="str">
        <x:v>[공통사항] ㅇ학력, 전공, 연령, 성별, 경력 제한 없음 (단, 연령의 경우 채용예정일 기준 공사 규정에 따른 정년 이내여야 하며 안전보안직의 경우 자격기준에서 임용조건으로 규정하는 연령 경력 조건을 충족하여야 함) ㅇ공사 인사규정 제20조에 따른 임용 결격사유에 해당하지 않는 자 ㅇ최종합격자 발표 이후 즉시 근무 가능한 자 [일반직 사무 및 기술분야] ㅇ공통사항에 해당하는 응시자격을 모두 갖추고 아래의 응시 자격을 모두 충족하는 자에 한해 지원가능 (1) 남자의 경우 채용예정일 기준 군필 또는 면제자 (2) 공인어학성적 : 아래 어학성적기준 중 하나를 충족하는 자 - (영어) TOEIC 800점 이상 또는 TOEFL-IBT 91점 이상 또는 TEPS 309점 이상 - (일본어) JPT 800점 이상 - (중국어) HSK 5급 210점 이상 [일반직 전문 및 사회형평분야] ㅇ일반직 사무 및 기술에 해당하는 응시자격을 모두 갖추고 아래 자격기준에 해당하는 자 (1) 전문분야(관제) : 항공교통관제사 자격증 소지자로서 항공영어구술능력증명 4등급 이상인자 (2) 사회형평(보훈) : 보훈 관계 법령에 의한 취업지원대상자 (3) 사회형평(장애) : 장애인 고용촉진 및 직업재활법 제2조에 의한 장애인 ※ 전문분야(관제)의 경우, 1차면접 당일 유효한 항공신체검사증명서(3종)를 제출하여야 함 ※ 장애분야에 지원한 장애인의 경우 시험별로 TOEIC 650점, TOEFL-IBT 74점, TEPS 245점, JPT 650점, HSK 4급 255점 이상의 기준을 적용 ※ ‘청력을 잃은 장애의 정도가 심한 청각장애인’인 응시자의 어학성적은 붙임5 파일에 규정된 각 어학성적별 ‘어학성적 인정점수’와 ‘제출 원점수’ 중 유리한 점수 적용 [안전보안직] ㅇ공통사항에 해당하는 응시자격을 모두 갖추고 아래의 응시 자격 및 하단의 분야별 자격기준을 모두 충족하는 자에 한해 지원가능 (1)남자의 경우 채용예정일 기준 군필 또는 면제자 (2)공인어학성적 : 아래 어학성적기준 중 하나를 충족하는 자 - (영어) TOEIC 600점 이상 또는 TOEFL-IBT 68점 이상 또는 TEPS 227점 이상 - (일본어) JPT 600점 이상 - (중국어) HSK 4급 210점 이상 ※ 경력기간은 입사지원서에 기재한 직무관련 경력사항을 바탕으로 채용공고일 기준 기산 ㅇ입사지원서 접수 마감일 현재 만 18세 이상의 대한민국 국적인 자로서, 아래의 자격기준…</x:v>
      </x:c>
      <x:c r="S251" s="17" t="str">
        <x:v>어학, TOEIC, 의사</x:v>
      </x:c>
      <x:c r="T251" s="17" t="str">
        <x:v>[일반직(사무,기술,전문,사회형평)] ㅇ서류전형 : 20~50배수 - 공인어학성적 및 우대사항(100), 응시자격 충족여부(적/부) ㅇ필기전형 : 3~4배수 - 직업기초능력평가(NCS)(50), 직무수행능력평가(전공시험)(50) * 전문분야(관제)는 전공시험 미시행(NCS 100%) ㅇ1차면접 : 1.5~2배수 - 직무면접(직무PT, 직무상황대처, 영어)(100) - 평가기준 : 문제해결능력, 직무지식, 의사소통능력 등 ㅇ2차면접 : 1배수 - 종합면접(입사지원서 및 인재상 기반 종합 질의응답)(100) - 평가기준 : 의사소통능력, 대인관계능력, 열정, 인성 등 ㅇ결격조회 : 서류 진위확인, 신원조사, 신체검사 등 결격사유 확인(적/부) [안전보안직] ㅇ서류전형 : 30배수 - 공인어학성적 및 우대사항(100), 응시자격 충족여부(적/부) ㅇ필기전형 : 4배수 - 직업기초능력평가(NCS)(100) ㅇ1차면접 : 2배수 - 직무면접(직무PT, 직무상황대처)(100) - 평가기준 : 문제해결능력, 직무지식, 의사소통능력 등 ㅇ2차면접 : 1배수 - 종합면접(입사지원서 및 인재상 기반 종합 질의응답)(100) - 평가기준 : 의사소통능력, 대인관계능력, 열정, 인성 등 ㅇ결격조회 : 서류 진위확인, 신원조사, 신체검사 등 결격사유 확인(적/부)</x:v>
      </x:c>
      <x:c r="U251" s="17" t="str">
        <x:v>[일반직(사무,기술,전문,사회형평)] ㅇ서류전형 : 20~50배수 - 공인어학성적 및 우대사항(100), 응시자격 충족여부(적/부) ㅇ필기전형 : 3~4배수 - 직업기초능력평가(NCS)(50), 직무수행능력평가(전공시험)(50) * 전문분야(관제)는 전공시험 미시행(NCS 100%) ㅇ1차면접 : 1 / 5~2배수 - 직무면접(직무PT, 직무상황대처, 영어)(100) - 평가기준 : 문제해결능력, 직무지식, 의사소통능력 등 ㅇ2차면접 : 1배수 - 종합면접(입사지원서 및 인재상 기반 종합 질의응답)(100) - 평가기준 : 의사소통능력, 대인관계능력, 열정, 인성 등 ㅇ결격조회 : 서류 진위확인, 신원조사, 신체검사 등 결격사유 확인(적/부) [안전보안직] ㅇ서류전형 : 30배수 - 공인어학성적 및 우대사항(100), 응시자격 충족여부(적/부) ㅇ필기전형 : 4배수 - 직업기초능력평가(NCS)(100) ㅇ1차면접 : 2배수 - 직무면접(직무PT, 직무상황대처)(100) - 평가기준 : 문제해결능력, 직무지식, 의사소통능력 등 ㅇ2차면접 : 1배수 - 종합면접(입사지원서 및 인재상 기반 종합 질의응답)(100) - 평가기준 : 의사소통능력, 대인관계능력, 열정, 인성 등 ㅇ결격조회 : 서류 진위확인, 신원조사, 신체검사 등 결격사유 확인(적/부)</x:v>
      </x:c>
      <x:c r="V251" s="17" t="str">
        <x:v>상세 페이지 확인</x:v>
      </x:c>
      <x:c r="W251" s="17" t="str">
        <x:v>https://www.airport.kr/co_ko/849/subview.do</x:v>
      </x:c>
      <x:c r="X251" s="18" t="str">
        <x:v>https://job.alio.go.kr/recruitview.do?idx=304492</x:v>
      </x:c>
      <x:c r="Y251" s="1"/>
      <x:c r="Z251" s="1"/>
    </x:row>
    <x:row r="252" ht="54" customHeight="1">
      <x:c r="A252" s="17" t="n">
        <x:v>172</x:v>
      </x:c>
      <x:c r="B252" s="17" t="str">
        <x:v>건축공간연구원</x:v>
      </x:c>
      <x:c r="C252" s="17" t="str">
        <x:v>건축공간연구원 위촉직 모집</x:v>
      </x:c>
      <x:c r="D252" s="17" t="str">
        <x:v>세종</x:v>
      </x:c>
      <x:c r="E252" s="17" t="str">
        <x:v>비정규직</x:v>
      </x:c>
      <x:c r="F252" s="17" t="str">
        <x:v>2026.09.01</x:v>
      </x:c>
      <x:c r="G252" s="17" t="str">
        <x:v>26.09.16 D-7</x:v>
      </x:c>
      <x:c r="H252" s="17" t="str">
        <x:v>기간제·비정규</x:v>
      </x:c>
      <x:c r="I252" s="17" t="str">
        <x:v>세부조건 확인</x:v>
      </x:c>
      <x:c r="J252" s="17" t="str">
        <x:v>제한 문구 미탐지</x:v>
      </x:c>
      <x:c r="K252" s="17" t="str">
        <x:v>상세공고 확인</x:v>
      </x:c>
      <x:c r="L252" s="17" t="str">
        <x:v>상세공고 확인</x:v>
      </x:c>
      <x:c r="M252" s="17" t="str">
        <x:v>상세공고 확인</x:v>
      </x:c>
      <x:c r="N252" s="17" t="str">
        <x:v>상세공고 확인</x:v>
      </x:c>
      <x:c r="O252" s="17" t="str">
        <x:v>상세공고 확인</x:v>
      </x:c>
      <x:c r="P252" s="17" t="str">
        <x:v>상세공고 확인</x:v>
      </x:c>
      <x:c r="Q252" s="17" t="str">
        <x:v>상세공고 확인</x:v>
      </x:c>
      <x:c r="R252" s="17" t="str">
        <x:v>상세공고 확인</x:v>
      </x:c>
      <x:c r="S252" s="17" t="str">
        <x:v>상세공고 확인</x:v>
      </x:c>
      <x:c r="T252" s="17" t="str">
        <x:v>상세공고 확인</x:v>
      </x:c>
      <x:c r="U252" s="17" t="str">
        <x:v>상세공고 확인</x:v>
      </x:c>
      <x:c r="V252" s="17" t="str">
        <x:v>목록 항목 확인</x:v>
      </x:c>
      <x:c r="W252" s="17" t="str">
        <x:v>공고 상세에서 확인</x:v>
      </x:c>
      <x:c r="X252" s="18" t="str">
        <x:v>https://job.alio.go.kr/recruitview.do?idx=304491</x:v>
      </x:c>
      <x:c r="Y252" s="1"/>
      <x:c r="Z252" s="1"/>
    </x:row>
    <x:row r="253" ht="54" customHeight="1">
      <x:c r="A253" s="17" t="n">
        <x:v>171</x:v>
      </x:c>
      <x:c r="B253" s="17" t="str">
        <x:v>한국장학재단</x:v>
      </x:c>
      <x:c r="C253" s="17" t="str">
        <x:v>한국장학재단 2026년 하반기 종합직 채용 공고(일반행정, IT 개발운영, 시설관리(경력))</x:v>
      </x:c>
      <x:c r="D253" s="17" t="str">
        <x:v>대구</x:v>
      </x:c>
      <x:c r="E253" s="17" t="str">
        <x:v>정규직</x:v>
      </x:c>
      <x:c r="F253" s="17" t="str">
        <x:v>2026.09.01</x:v>
      </x:c>
      <x:c r="G253" s="17" t="str">
        <x:v>26.09.15 D-6</x:v>
      </x:c>
      <x:c r="H253" s="17" t="str">
        <x:v>정규직(세부 확인)</x:v>
      </x:c>
      <x:c r="I253" s="17" t="str">
        <x:v>세부조건 확인</x:v>
      </x:c>
      <x:c r="J253" s="17" t="str">
        <x:v>제한 문구 미탐지</x:v>
      </x:c>
      <x:c r="K253" s="17" t="str">
        <x:v>상세공고 확인</x:v>
      </x:c>
      <x:c r="L253" s="17" t="str">
        <x:v>상세공고 확인</x:v>
      </x:c>
      <x:c r="M253" s="17" t="str">
        <x:v>상세공고 확인</x:v>
      </x:c>
      <x:c r="N253" s="17" t="str">
        <x:v>상세공고 확인</x:v>
      </x:c>
      <x:c r="O253" s="17" t="str">
        <x:v>상세공고 확인</x:v>
      </x:c>
      <x:c r="P253" s="17" t="str">
        <x:v>상세공고 확인</x:v>
      </x:c>
      <x:c r="Q253" s="17" t="str">
        <x:v>상세공고 확인</x:v>
      </x:c>
      <x:c r="R253" s="17" t="str">
        <x:v>상세공고 확인</x:v>
      </x:c>
      <x:c r="S253" s="17" t="str">
        <x:v>상세공고 확인</x:v>
      </x:c>
      <x:c r="T253" s="17" t="str">
        <x:v>상세공고 확인</x:v>
      </x:c>
      <x:c r="U253" s="17" t="str">
        <x:v>상세공고 확인</x:v>
      </x:c>
      <x:c r="V253" s="17" t="str">
        <x:v>목록 항목 확인</x:v>
      </x:c>
      <x:c r="W253" s="17" t="str">
        <x:v>공고 상세에서 확인</x:v>
      </x:c>
      <x:c r="X253" s="18" t="str">
        <x:v>https://job.alio.go.kr/recruitview.do?idx=304490</x:v>
      </x:c>
      <x:c r="Y253" s="1"/>
      <x:c r="Z253" s="1"/>
    </x:row>
    <x:row r="254" ht="54" customHeight="1">
      <x:c r="A254" s="17" t="n">
        <x:v>170</x:v>
      </x:c>
      <x:c r="B254" s="17" t="str">
        <x:v>한국가스공사</x:v>
      </x:c>
      <x:c r="C254" s="17" t="str">
        <x:v>2026년 하반기 일반직(신입, 경력), 연구직 및 별정직 채용공고</x:v>
      </x:c>
      <x:c r="D254" s="17" t="str">
        <x:v>서울 외 14</x:v>
      </x:c>
      <x:c r="E254" s="17" t="str">
        <x:v>정규직</x:v>
      </x:c>
      <x:c r="F254" s="17" t="str">
        <x:v>2026.09.01</x:v>
      </x:c>
      <x:c r="G254" s="17" t="str">
        <x:v>26.09.15 D-6</x:v>
      </x:c>
      <x:c r="H254" s="17" t="str">
        <x:v>제한경쟁·조건부</x:v>
      </x:c>
      <x:c r="I254" s="17" t="str">
        <x:v>조건 충족자만</x:v>
      </x:c>
      <x:c r="J254" s="17" t="str">
        <x:v>장애 관련 제한경쟁</x:v>
      </x:c>
      <x:c r="K254" s="17" t="str">
        <x:v>신입+경력</x:v>
      </x:c>
      <x:c r="L254" s="17" t="str">
        <x:v>학력무관,석사</x:v>
      </x:c>
      <x:c r="M254" s="17" t="str">
        <x:v>151명</x:v>
      </x:c>
      <x:c r="N254" s="17" t="str">
        <x:v>경영.회계.사무,법률.경찰.소방.교도.국방,보건.의료,건설,기계,화학,전기.전자,정보통신,환경.에너지.안전,연구</x:v>
      </x:c>
      <x:c r="O254" s="17" t="str">
        <x:v>하단 우대 내용 참조</x:v>
      </x:c>
      <x:c r="P254" s="17" t="str">
        <x:v>명시 있음</x:v>
      </x:c>
      <x:c r="Q254" s="17" t="str">
        <x:v>상세공고 확인</x:v>
      </x:c>
      <x:c r="R254" s="17" t="str">
        <x:v>&lt;일반직 신입&gt; □ 학력, 전공, 연령 제한 없음(단, 공사 임금피크제도에 따라 만 58세 미만인 자), 유효 어학성적 보유자 □ 『병역법』제76조에서 정한 병역의무 불이행 사실이 없는 자에 한함 &lt;일반직 사회형평(장애)&gt; □ 학력, 전공, 연령 제한 없음(단, 공사 임금피크제도에 따라 만 58세 미만인 자), 유효 어학성적 보유자 □ 장애인고용촉진 및 직업재활법 시행령에 따른 장애인 기준에 해당하는 자 □ 『병역법』제76조에서 정한 병역의무 불이행 사실이 없는 자에 한함 &lt;일반직 사회형평(보훈)&gt; □ 학력, 전공, 연령 제한 없음(단, 공사 임금피크제도에 따라 만 58세 미만인 자), 유효 어학성적 보유자 □ 국가유공자법에 따른 취업지원대상자 □ 『병역법』제76조에서 정한 병역의무 불이행 사실이 없는 자에 한함 &lt;일반직 경력&gt; □ 학력, 전공, 연령 제한없음(단, 공사 임금피크제도에 따라 만 58세 미만인 자), 관련 자격 및 경력 보유자(상세내역은 공고문 참조) □ 『병역법』제76조에서 정한 병역의무 불이행 사실이 없는 자에 한함 &lt;연구직&gt; □ 연령 제한없음(단, 공사 임금피크제도에 따라 만 58세 미만인 자), 유효 어학성적 보유자, 관련 학위 보유자(상세내역은 공고문 참조) □ 『병역법』제76조에서 정한 병역의무 불이행 사실이 없는 자에 한함 &lt;별정직&gt; □ 학력, 전공, 연령 제한없음(단, 공사 임금피크제도에 따라 만 58세 미만인 자), 관련 자격 및 경력 보유자(상세내역은 공고문 참조) □ 『병역법』제76조에서 정한 병역의무 불이행 사실이 없는 자에 한함 ○ 보다 자세한 사항은 첨부파일의 공고문을 참조</x:v>
      </x:c>
      <x:c r="S254" s="17" t="str">
        <x:v>어학</x:v>
      </x:c>
      <x:c r="T254" s="17" t="str">
        <x:v>&lt;일반직 신입, 사회형평(장애, 보훈)&gt; □ 서류전형 : 사무 50배수, 기술 30배수 선발 □ 필기전형 : 2~3배수 선발 / 인성검사 적합자 중 NCS직업기초능력(50%), 직무수행능력(50%) 및 가점합산 □ 면접전형 : 1배수 선발 / 직무면접(50%), 직업기초면접(50%) 및 가점합산 &lt;일반직 경력&gt; □ 서류전형 : 적격자 전원 선발 □ 필기전형 : 5배수 선발 / 인성검사 적합자 중 NCS직업기초능력 및 가점합산 □ 면접전형 : 1배수 선발 / 직무면접(50%), 직업기초면접(50%) 및 가점합산 &lt;연구직&gt; □ 서류전형 : 5배수 선발 / 지원자격 적합자 중 학위점수(60%), 연구역량기술서(40%) 및 가점합산 □ 인성검사 및 논문심사 : 3배수 선발 / 인성검사 적합자 중 논문심사(논문검토(50%) + 논문발표(50%)) 및 가점합산 □ 면접전형 : 1배수 선발 / 논문심사점수(50%), 직업기초면접(50%) 및 가점합산 &lt;별정직&gt; □ 서류전형 : 적격자 전원선발 □ 필기전형 : 3~5배수 선발 / 인성검사 적합자 중 NCS직업기초능력 및 가점합산 □ 면접전형 : 1배수 선발 / 직무면접(50%), 직업기초면접(50%) 및 가점합산 ○ 보다 자세한 사항은 첨부파일의 공고문을 참조</x:v>
      </x:c>
      <x:c r="U254" s="17" t="str">
        <x:v>&lt;일반직 신입, 사회형평(장애, 보훈)&gt; □ 서류전형 : 사무 50배수, 기술 30배수 선발 □ 필기전형 : 2~3배수 선발 / 인성검사 적합자 중 NCS직업기초능력(50%), 직무수행능력(50%) 및 가점합산 □ 면접전형 : 1배수 선발 / 직무면접(50%), 직업기초면접(50%) 및 가점합산 &lt;일반직 경력&gt; □ 서류전형 : 적격자 전원 선발 □ 필기전형 : 5배수 선발 / 인성검사 적합자 중 NCS직업기초능력 및 가점합산 □ 면접전형 : 1배수 선발 / 직무면접(50%), 직업기초면접(50%) 및 가점합산 &lt;연구직&gt; □ 서류전형 : 5배수 선발 / 지원자격 적합자 중 학위점수(60%), 연구역량기술서(40%) 및 가점합산 □ 인성검사 및 논문심사 : 3배수 선발 / 인성검사 적합자 중 논문심사(논문검토(50%) + 논문발표(50%)) 및 가점합산 □ 면접전형 : 1배수 선발 / 논문심사점수(50%), 직업기초면접(50%) 및 가점합산 &lt;별정직&gt; □ 서류전형 : 적격자 전원선발 □ 필기전형 : 3~5배수 선발 / 인성검사 적합자 중 NCS직업기초능력 및 가점합산 □ 면접전형 : 1배수 선발 / 직무면접(50%), 직업기초면접(50%) 및 가점합산 ○ 보다 자세한 사항은 첨부파일의 공고문을 참조</x:v>
      </x:c>
      <x:c r="V254" s="17" t="str">
        <x:v>상세 페이지 확인</x:v>
      </x:c>
      <x:c r="W254" s="17" t="str">
        <x:v>https://www.kogas.or.kr/</x:v>
      </x:c>
      <x:c r="X254" s="18" t="str">
        <x:v>https://job.alio.go.kr/recruitview.do?idx=304489</x:v>
      </x:c>
      <x:c r="Y254" s="1"/>
      <x:c r="Z254" s="1"/>
    </x:row>
    <x:row r="255" ht="54" customHeight="1">
      <x:c r="A255" s="17" t="n">
        <x:v>169</x:v>
      </x:c>
      <x:c r="B255" s="17" t="str">
        <x:v>국립공원공단</x:v>
      </x:c>
      <x:c r="C255" s="17" t="str">
        <x:v>국립공원공단 자원보전·AI 직무 체험형 청년인턴 채용</x:v>
      </x:c>
      <x:c r="D255" s="17" t="str">
        <x:v>대전 외 4</x:v>
      </x:c>
      <x:c r="E255" s="17" t="str">
        <x:v>청년인턴(체험형)</x:v>
      </x:c>
      <x:c r="F255" s="17" t="str">
        <x:v>2026.09.01</x:v>
      </x:c>
      <x:c r="G255" s="17" t="str">
        <x:v>26.09.10 D-1</x:v>
      </x:c>
      <x:c r="H255" s="17" t="str">
        <x:v>체험형·청년인턴</x:v>
      </x:c>
      <x:c r="I255" s="17" t="str">
        <x:v>우선검토</x:v>
      </x:c>
      <x:c r="J255" s="17" t="str">
        <x:v>제한 문구 미탐지</x:v>
      </x:c>
      <x:c r="K255" s="17" t="str">
        <x:v>상세공고 확인</x:v>
      </x:c>
      <x:c r="L255" s="17" t="str">
        <x:v>상세공고 확인</x:v>
      </x:c>
      <x:c r="M255" s="17" t="str">
        <x:v>상세공고 확인</x:v>
      </x:c>
      <x:c r="N255" s="17" t="str">
        <x:v>상세공고 확인</x:v>
      </x:c>
      <x:c r="O255" s="17" t="str">
        <x:v>상세공고 확인</x:v>
      </x:c>
      <x:c r="P255" s="17" t="str">
        <x:v>상세공고 확인</x:v>
      </x:c>
      <x:c r="Q255" s="17" t="str">
        <x:v>상세공고 확인</x:v>
      </x:c>
      <x:c r="R255" s="17" t="str">
        <x:v>상세공고 확인</x:v>
      </x:c>
      <x:c r="S255" s="17" t="str">
        <x:v>상세공고 확인</x:v>
      </x:c>
      <x:c r="T255" s="17" t="str">
        <x:v>상세공고 확인</x:v>
      </x:c>
      <x:c r="U255" s="17" t="str">
        <x:v>상세공고 확인</x:v>
      </x:c>
      <x:c r="V255" s="17" t="str">
        <x:v>목록 항목 확인</x:v>
      </x:c>
      <x:c r="W255" s="17" t="str">
        <x:v>공고 상세에서 확인</x:v>
      </x:c>
      <x:c r="X255" s="18" t="str">
        <x:v>https://job.alio.go.kr/recruitview.do?idx=304488</x:v>
      </x:c>
      <x:c r="Y255" s="1"/>
      <x:c r="Z255" s="1"/>
    </x:row>
    <x:row r="256" ht="54" customHeight="1">
      <x:c r="A256" s="17" t="n">
        <x:v>168</x:v>
      </x:c>
      <x:c r="B256" s="17" t="str">
        <x:v>한국국제협력단</x:v>
      </x:c>
      <x:c r="C256" s="17" t="str">
        <x:v>2026년 2차 KOICA 코디네이터 모집 선발 공고</x:v>
      </x:c>
      <x:c r="D256" s="17" t="str">
        <x:v>해외</x:v>
      </x:c>
      <x:c r="E256" s="17" t="str">
        <x:v>비정규직</x:v>
      </x:c>
      <x:c r="F256" s="17" t="str">
        <x:v>2026.09.01</x:v>
      </x:c>
      <x:c r="G256" s="17" t="str">
        <x:v>26.09.16 D-7</x:v>
      </x:c>
      <x:c r="H256" s="17" t="str">
        <x:v>기간제·비정규</x:v>
      </x:c>
      <x:c r="I256" s="17" t="str">
        <x:v>세부조건 확인</x:v>
      </x:c>
      <x:c r="J256" s="17" t="str">
        <x:v>제한 문구 미탐지</x:v>
      </x:c>
      <x:c r="K256" s="17" t="str">
        <x:v>상세공고 확인</x:v>
      </x:c>
      <x:c r="L256" s="17" t="str">
        <x:v>상세공고 확인</x:v>
      </x:c>
      <x:c r="M256" s="17" t="str">
        <x:v>상세공고 확인</x:v>
      </x:c>
      <x:c r="N256" s="17" t="str">
        <x:v>상세공고 확인</x:v>
      </x:c>
      <x:c r="O256" s="17" t="str">
        <x:v>상세공고 확인</x:v>
      </x:c>
      <x:c r="P256" s="17" t="str">
        <x:v>상세공고 확인</x:v>
      </x:c>
      <x:c r="Q256" s="17" t="str">
        <x:v>상세공고 확인</x:v>
      </x:c>
      <x:c r="R256" s="17" t="str">
        <x:v>상세공고 확인</x:v>
      </x:c>
      <x:c r="S256" s="17" t="str">
        <x:v>상세공고 확인</x:v>
      </x:c>
      <x:c r="T256" s="17" t="str">
        <x:v>상세공고 확인</x:v>
      </x:c>
      <x:c r="U256" s="17" t="str">
        <x:v>상세공고 확인</x:v>
      </x:c>
      <x:c r="V256" s="17" t="str">
        <x:v>목록 항목 확인</x:v>
      </x:c>
      <x:c r="W256" s="17" t="str">
        <x:v>공고 상세에서 확인</x:v>
      </x:c>
      <x:c r="X256" s="18" t="str">
        <x:v>https://job.alio.go.kr/recruitview.do?idx=304487</x:v>
      </x:c>
      <x:c r="Y256" s="1"/>
      <x:c r="Z256" s="1"/>
    </x:row>
    <x:row r="257" ht="54" customHeight="1">
      <x:c r="A257" s="17" t="n">
        <x:v>167</x:v>
      </x:c>
      <x:c r="B257" s="17" t="str">
        <x:v>한국등산·트레킹지원센터</x:v>
      </x:c>
      <x:c r="C257" s="17" t="str">
        <x:v>2026년도 한국등산트레킹지원센터 기간제근로자(보훈 제한경쟁) 채용 공고</x:v>
      </x:c>
      <x:c r="D257" s="17" t="str">
        <x:v>대전</x:v>
      </x:c>
      <x:c r="E257" s="17" t="str">
        <x:v>비정규직</x:v>
      </x:c>
      <x:c r="F257" s="17" t="str">
        <x:v>2026.09.01</x:v>
      </x:c>
      <x:c r="G257" s="17" t="str">
        <x:v>26.09.15 D-6</x:v>
      </x:c>
      <x:c r="H257" s="17" t="str">
        <x:v>제한경쟁·조건부</x:v>
      </x:c>
      <x:c r="I257" s="17" t="str">
        <x:v>조건 충족자만</x:v>
      </x:c>
      <x:c r="J257" s="17" t="str">
        <x:v>보훈 관련 제한경쟁</x:v>
      </x:c>
      <x:c r="K257" s="17" t="str">
        <x:v>상세공고 확인</x:v>
      </x:c>
      <x:c r="L257" s="17" t="str">
        <x:v>상세공고 확인</x:v>
      </x:c>
      <x:c r="M257" s="17" t="str">
        <x:v>상세공고 확인</x:v>
      </x:c>
      <x:c r="N257" s="17" t="str">
        <x:v>상세공고 확인</x:v>
      </x:c>
      <x:c r="O257" s="17" t="str">
        <x:v>상세공고 확인</x:v>
      </x:c>
      <x:c r="P257" s="17" t="str">
        <x:v>상세공고 확인</x:v>
      </x:c>
      <x:c r="Q257" s="17" t="str">
        <x:v>상세공고 확인</x:v>
      </x:c>
      <x:c r="R257" s="17" t="str">
        <x:v>상세공고 확인</x:v>
      </x:c>
      <x:c r="S257" s="17" t="str">
        <x:v>상세공고 확인</x:v>
      </x:c>
      <x:c r="T257" s="17" t="str">
        <x:v>상세공고 확인</x:v>
      </x:c>
      <x:c r="U257" s="17" t="str">
        <x:v>상세공고 확인</x:v>
      </x:c>
      <x:c r="V257" s="17" t="str">
        <x:v>목록 항목 확인</x:v>
      </x:c>
      <x:c r="W257" s="17" t="str">
        <x:v>공고 상세에서 확인</x:v>
      </x:c>
      <x:c r="X257" s="18" t="str">
        <x:v>https://job.alio.go.kr/recruitview.do?idx=304485</x:v>
      </x:c>
      <x:c r="Y257" s="1"/>
      <x:c r="Z257" s="1"/>
    </x:row>
    <x:row r="258" ht="54" customHeight="1">
      <x:c r="A258" s="17" t="n">
        <x:v>166</x:v>
      </x:c>
      <x:c r="B258" s="17" t="str">
        <x:v>한국보훈복지의료공단</x:v>
      </x:c>
      <x:c r="C258" s="17" t="str">
        <x:v>[광주보훈병원] 계약직 보건직(임상심리사) - 휴직대체 직원 채용 공고</x:v>
      </x:c>
      <x:c r="D258" s="17" t="str">
        <x:v>전남광주</x:v>
      </x:c>
      <x:c r="E258" s="17" t="str">
        <x:v>비정규직</x:v>
      </x:c>
      <x:c r="F258" s="17" t="str">
        <x:v>2026.09.01</x:v>
      </x:c>
      <x:c r="G258" s="17" t="str">
        <x:v>26.09.11 D-2</x:v>
      </x:c>
      <x:c r="H258" s="17" t="str">
        <x:v>기간제·비정규</x:v>
      </x:c>
      <x:c r="I258" s="17" t="str">
        <x:v>세부조건 확인</x:v>
      </x:c>
      <x:c r="J258" s="17" t="str">
        <x:v>제한 문구 미탐지</x:v>
      </x:c>
      <x:c r="K258" s="17" t="str">
        <x:v>상세공고 확인</x:v>
      </x:c>
      <x:c r="L258" s="17" t="str">
        <x:v>상세공고 확인</x:v>
      </x:c>
      <x:c r="M258" s="17" t="str">
        <x:v>상세공고 확인</x:v>
      </x:c>
      <x:c r="N258" s="17" t="str">
        <x:v>상세공고 확인</x:v>
      </x:c>
      <x:c r="O258" s="17" t="str">
        <x:v>상세공고 확인</x:v>
      </x:c>
      <x:c r="P258" s="17" t="str">
        <x:v>상세공고 확인</x:v>
      </x:c>
      <x:c r="Q258" s="17" t="str">
        <x:v>상세공고 확인</x:v>
      </x:c>
      <x:c r="R258" s="17" t="str">
        <x:v>상세공고 확인</x:v>
      </x:c>
      <x:c r="S258" s="17" t="str">
        <x:v>상세공고 확인</x:v>
      </x:c>
      <x:c r="T258" s="17" t="str">
        <x:v>상세공고 확인</x:v>
      </x:c>
      <x:c r="U258" s="17" t="str">
        <x:v>상세공고 확인</x:v>
      </x:c>
      <x:c r="V258" s="17" t="str">
        <x:v>목록 항목 확인</x:v>
      </x:c>
      <x:c r="W258" s="17" t="str">
        <x:v>공고 상세에서 확인</x:v>
      </x:c>
      <x:c r="X258" s="18" t="str">
        <x:v>https://job.alio.go.kr/recruitview.do?idx=304484</x:v>
      </x:c>
      <x:c r="Y258" s="1"/>
      <x:c r="Z258" s="1"/>
    </x:row>
    <x:row r="259" ht="54" customHeight="1">
      <x:c r="A259" s="17" t="n">
        <x:v>165</x:v>
      </x:c>
      <x:c r="B259" s="17" t="str">
        <x:v>한국보훈복지의료공단</x:v>
      </x:c>
      <x:c r="C259" s="17" t="str">
        <x:v>[중앙보훈병원] 업무지원직 직원 채용 공고(9월)</x:v>
      </x:c>
      <x:c r="D259" s="17" t="str">
        <x:v>서울</x:v>
      </x:c>
      <x:c r="E259" s="17" t="str">
        <x:v>무기계약직</x:v>
      </x:c>
      <x:c r="F259" s="17" t="str">
        <x:v>2026.09.01</x:v>
      </x:c>
      <x:c r="G259" s="17" t="str">
        <x:v>26.09.15 D-6</x:v>
      </x:c>
      <x:c r="H259" s="17" t="str">
        <x:v>무기계약·공무직</x:v>
      </x:c>
      <x:c r="I259" s="17" t="str">
        <x:v>세부조건 확인</x:v>
      </x:c>
      <x:c r="J259" s="17" t="str">
        <x:v>제한 문구 미탐지</x:v>
      </x:c>
      <x:c r="K259" s="17" t="str">
        <x:v>상세공고 확인</x:v>
      </x:c>
      <x:c r="L259" s="17" t="str">
        <x:v>상세공고 확인</x:v>
      </x:c>
      <x:c r="M259" s="17" t="str">
        <x:v>상세공고 확인</x:v>
      </x:c>
      <x:c r="N259" s="17" t="str">
        <x:v>상세공고 확인</x:v>
      </x:c>
      <x:c r="O259" s="17" t="str">
        <x:v>상세공고 확인</x:v>
      </x:c>
      <x:c r="P259" s="17" t="str">
        <x:v>상세공고 확인</x:v>
      </x:c>
      <x:c r="Q259" s="17" t="str">
        <x:v>상세공고 확인</x:v>
      </x:c>
      <x:c r="R259" s="17" t="str">
        <x:v>상세공고 확인</x:v>
      </x:c>
      <x:c r="S259" s="17" t="str">
        <x:v>상세공고 확인</x:v>
      </x:c>
      <x:c r="T259" s="17" t="str">
        <x:v>상세공고 확인</x:v>
      </x:c>
      <x:c r="U259" s="17" t="str">
        <x:v>상세공고 확인</x:v>
      </x:c>
      <x:c r="V259" s="17" t="str">
        <x:v>목록 항목 확인</x:v>
      </x:c>
      <x:c r="W259" s="17" t="str">
        <x:v>공고 상세에서 확인</x:v>
      </x:c>
      <x:c r="X259" s="18" t="str">
        <x:v>https://job.alio.go.kr/recruitview.do?idx=304483</x:v>
      </x:c>
      <x:c r="Y259" s="1"/>
      <x:c r="Z259" s="1"/>
    </x:row>
    <x:row r="260" ht="54" customHeight="1">
      <x:c r="A260" s="17" t="n">
        <x:v>164</x:v>
      </x:c>
      <x:c r="B260" s="17" t="str">
        <x:v>한국보훈복지의료공단</x:v>
      </x:c>
      <x:c r="C260" s="17" t="str">
        <x:v>[중앙보훈병원] 기간제 직원 채용 공고(9월)</x:v>
      </x:c>
      <x:c r="D260" s="17" t="str">
        <x:v>서울</x:v>
      </x:c>
      <x:c r="E260" s="17" t="str">
        <x:v>비정규직</x:v>
      </x:c>
      <x:c r="F260" s="17" t="str">
        <x:v>2026.09.01</x:v>
      </x:c>
      <x:c r="G260" s="17" t="str">
        <x:v>26.09.15 D-6</x:v>
      </x:c>
      <x:c r="H260" s="17" t="str">
        <x:v>기간제·비정규</x:v>
      </x:c>
      <x:c r="I260" s="17" t="str">
        <x:v>세부조건 확인</x:v>
      </x:c>
      <x:c r="J260" s="17" t="str">
        <x:v>제한 문구 미탐지</x:v>
      </x:c>
      <x:c r="K260" s="17" t="str">
        <x:v>상세공고 확인</x:v>
      </x:c>
      <x:c r="L260" s="17" t="str">
        <x:v>상세공고 확인</x:v>
      </x:c>
      <x:c r="M260" s="17" t="str">
        <x:v>상세공고 확인</x:v>
      </x:c>
      <x:c r="N260" s="17" t="str">
        <x:v>상세공고 확인</x:v>
      </x:c>
      <x:c r="O260" s="17" t="str">
        <x:v>상세공고 확인</x:v>
      </x:c>
      <x:c r="P260" s="17" t="str">
        <x:v>상세공고 확인</x:v>
      </x:c>
      <x:c r="Q260" s="17" t="str">
        <x:v>상세공고 확인</x:v>
      </x:c>
      <x:c r="R260" s="17" t="str">
        <x:v>상세공고 확인</x:v>
      </x:c>
      <x:c r="S260" s="17" t="str">
        <x:v>상세공고 확인</x:v>
      </x:c>
      <x:c r="T260" s="17" t="str">
        <x:v>상세공고 확인</x:v>
      </x:c>
      <x:c r="U260" s="17" t="str">
        <x:v>상세공고 확인</x:v>
      </x:c>
      <x:c r="V260" s="17" t="str">
        <x:v>목록 항목 확인</x:v>
      </x:c>
      <x:c r="W260" s="17" t="str">
        <x:v>공고 상세에서 확인</x:v>
      </x:c>
      <x:c r="X260" s="18" t="str">
        <x:v>https://job.alio.go.kr/recruitview.do?idx=304482</x:v>
      </x:c>
      <x:c r="Y260" s="1"/>
      <x:c r="Z260" s="1"/>
    </x:row>
    <x:row r="261" ht="54" customHeight="1">
      <x:c r="A261" s="17" t="n">
        <x:v>163</x:v>
      </x:c>
      <x:c r="B261" s="17" t="str">
        <x:v>국립중앙의료원</x:v>
      </x:c>
      <x:c r="C261" s="17" t="str">
        <x:v>계약직 주말약사(약제부) 재공고</x:v>
      </x:c>
      <x:c r="D261" s="17" t="str">
        <x:v>서울</x:v>
      </x:c>
      <x:c r="E261" s="17" t="str">
        <x:v>비정규직</x:v>
      </x:c>
      <x:c r="F261" s="17" t="str">
        <x:v>2026.09.01</x:v>
      </x:c>
      <x:c r="G261" s="17" t="str">
        <x:v>26.09.16 D-7</x:v>
      </x:c>
      <x:c r="H261" s="17" t="str">
        <x:v>경력·전문직</x:v>
      </x:c>
      <x:c r="I261" s="17" t="str">
        <x:v>경력·전문 우선</x:v>
      </x:c>
      <x:c r="J261" s="17" t="str">
        <x:v>제한 문구 미탐지</x:v>
      </x:c>
      <x:c r="K261" s="17" t="str">
        <x:v>상세공고 확인</x:v>
      </x:c>
      <x:c r="L261" s="17" t="str">
        <x:v>상세공고 확인</x:v>
      </x:c>
      <x:c r="M261" s="17" t="str">
        <x:v>상세공고 확인</x:v>
      </x:c>
      <x:c r="N261" s="17" t="str">
        <x:v>상세공고 확인</x:v>
      </x:c>
      <x:c r="O261" s="17" t="str">
        <x:v>상세공고 확인</x:v>
      </x:c>
      <x:c r="P261" s="17" t="str">
        <x:v>상세공고 확인</x:v>
      </x:c>
      <x:c r="Q261" s="17" t="str">
        <x:v>상세공고 확인</x:v>
      </x:c>
      <x:c r="R261" s="17" t="str">
        <x:v>상세공고 확인</x:v>
      </x:c>
      <x:c r="S261" s="17" t="str">
        <x:v>상세공고 확인</x:v>
      </x:c>
      <x:c r="T261" s="17" t="str">
        <x:v>상세공고 확인</x:v>
      </x:c>
      <x:c r="U261" s="17" t="str">
        <x:v>상세공고 확인</x:v>
      </x:c>
      <x:c r="V261" s="17" t="str">
        <x:v>목록 항목 확인</x:v>
      </x:c>
      <x:c r="W261" s="17" t="str">
        <x:v>공고 상세에서 확인</x:v>
      </x:c>
      <x:c r="X261" s="18" t="str">
        <x:v>https://job.alio.go.kr/recruitview.do?idx=304481</x:v>
      </x:c>
      <x:c r="Y261" s="1"/>
      <x:c r="Z261" s="1"/>
    </x:row>
    <x:row r="262" ht="54" customHeight="1">
      <x:c r="A262" s="17" t="n">
        <x:v>162</x:v>
      </x:c>
      <x:c r="B262" s="17" t="str">
        <x:v>국립중앙의료원</x:v>
      </x:c>
      <x:c r="C262" s="17" t="str">
        <x:v>계약직 단시간근로자-간호조무사(소화기내과 내시경실) 재공고</x:v>
      </x:c>
      <x:c r="D262" s="17" t="str">
        <x:v>서울</x:v>
      </x:c>
      <x:c r="E262" s="17" t="str">
        <x:v>비정규직</x:v>
      </x:c>
      <x:c r="F262" s="17" t="str">
        <x:v>2026.09.01</x:v>
      </x:c>
      <x:c r="G262" s="17" t="str">
        <x:v>26.09.16 D-7</x:v>
      </x:c>
      <x:c r="H262" s="17" t="str">
        <x:v>기간제·비정규</x:v>
      </x:c>
      <x:c r="I262" s="17" t="str">
        <x:v>세부조건 확인</x:v>
      </x:c>
      <x:c r="J262" s="17" t="str">
        <x:v>제한 문구 미탐지</x:v>
      </x:c>
      <x:c r="K262" s="17" t="str">
        <x:v>상세공고 확인</x:v>
      </x:c>
      <x:c r="L262" s="17" t="str">
        <x:v>상세공고 확인</x:v>
      </x:c>
      <x:c r="M262" s="17" t="str">
        <x:v>상세공고 확인</x:v>
      </x:c>
      <x:c r="N262" s="17" t="str">
        <x:v>상세공고 확인</x:v>
      </x:c>
      <x:c r="O262" s="17" t="str">
        <x:v>상세공고 확인</x:v>
      </x:c>
      <x:c r="P262" s="17" t="str">
        <x:v>상세공고 확인</x:v>
      </x:c>
      <x:c r="Q262" s="17" t="str">
        <x:v>상세공고 확인</x:v>
      </x:c>
      <x:c r="R262" s="17" t="str">
        <x:v>상세공고 확인</x:v>
      </x:c>
      <x:c r="S262" s="17" t="str">
        <x:v>상세공고 확인</x:v>
      </x:c>
      <x:c r="T262" s="17" t="str">
        <x:v>상세공고 확인</x:v>
      </x:c>
      <x:c r="U262" s="17" t="str">
        <x:v>상세공고 확인</x:v>
      </x:c>
      <x:c r="V262" s="17" t="str">
        <x:v>목록 항목 확인</x:v>
      </x:c>
      <x:c r="W262" s="17" t="str">
        <x:v>공고 상세에서 확인</x:v>
      </x:c>
      <x:c r="X262" s="18" t="str">
        <x:v>https://job.alio.go.kr/recruitview.do?idx=304480</x:v>
      </x:c>
      <x:c r="Y262" s="1"/>
      <x:c r="Z262" s="1"/>
    </x:row>
    <x:row r="263" ht="54" customHeight="1">
      <x:c r="A263" s="17" t="n">
        <x:v>161</x:v>
      </x:c>
      <x:c r="B263" s="17" t="str">
        <x:v>국립중앙의료원</x:v>
      </x:c>
      <x:c r="C263" s="17" t="str">
        <x:v>계약직 병동지원(간호부-순환기내과) 재공고</x:v>
      </x:c>
      <x:c r="D263" s="17" t="str">
        <x:v>서울</x:v>
      </x:c>
      <x:c r="E263" s="17" t="str">
        <x:v>비정규직</x:v>
      </x:c>
      <x:c r="F263" s="17" t="str">
        <x:v>2026.09.01</x:v>
      </x:c>
      <x:c r="G263" s="17" t="str">
        <x:v>26.09.16 D-7</x:v>
      </x:c>
      <x:c r="H263" s="17" t="str">
        <x:v>기간제·비정규</x:v>
      </x:c>
      <x:c r="I263" s="17" t="str">
        <x:v>세부조건 확인</x:v>
      </x:c>
      <x:c r="J263" s="17" t="str">
        <x:v>제한 문구 미탐지</x:v>
      </x:c>
      <x:c r="K263" s="17" t="str">
        <x:v>상세공고 확인</x:v>
      </x:c>
      <x:c r="L263" s="17" t="str">
        <x:v>상세공고 확인</x:v>
      </x:c>
      <x:c r="M263" s="17" t="str">
        <x:v>상세공고 확인</x:v>
      </x:c>
      <x:c r="N263" s="17" t="str">
        <x:v>상세공고 확인</x:v>
      </x:c>
      <x:c r="O263" s="17" t="str">
        <x:v>상세공고 확인</x:v>
      </x:c>
      <x:c r="P263" s="17" t="str">
        <x:v>상세공고 확인</x:v>
      </x:c>
      <x:c r="Q263" s="17" t="str">
        <x:v>상세공고 확인</x:v>
      </x:c>
      <x:c r="R263" s="17" t="str">
        <x:v>상세공고 확인</x:v>
      </x:c>
      <x:c r="S263" s="17" t="str">
        <x:v>상세공고 확인</x:v>
      </x:c>
      <x:c r="T263" s="17" t="str">
        <x:v>상세공고 확인</x:v>
      </x:c>
      <x:c r="U263" s="17" t="str">
        <x:v>상세공고 확인</x:v>
      </x:c>
      <x:c r="V263" s="17" t="str">
        <x:v>목록 항목 확인</x:v>
      </x:c>
      <x:c r="W263" s="17" t="str">
        <x:v>공고 상세에서 확인</x:v>
      </x:c>
      <x:c r="X263" s="18" t="str">
        <x:v>https://job.alio.go.kr/recruitview.do?idx=304479</x:v>
      </x:c>
      <x:c r="Y263" s="1"/>
      <x:c r="Z263" s="1"/>
    </x:row>
    <x:row r="264" ht="54" customHeight="1">
      <x:c r="A264" s="17" t="n">
        <x:v>160</x:v>
      </x:c>
      <x:c r="B264" s="17" t="str">
        <x:v>(재)우체국물류지원단</x:v>
      </x:c>
      <x:c r="C264" s="17" t="str">
        <x:v>우체국물류지원단 경인지사 안양,부평물류사업소 기간제(일용직_우편물구분) 채용 공고</x:v>
      </x:c>
      <x:c r="D264" s="17" t="str">
        <x:v>인천 외 1</x:v>
      </x:c>
      <x:c r="E264" s="17" t="str">
        <x:v>비정규직</x:v>
      </x:c>
      <x:c r="F264" s="17" t="str">
        <x:v>2026.09.01</x:v>
      </x:c>
      <x:c r="G264" s="17" t="str">
        <x:v>26.09.30 D-21</x:v>
      </x:c>
      <x:c r="H264" s="17" t="str">
        <x:v>기간제·비정규</x:v>
      </x:c>
      <x:c r="I264" s="17" t="str">
        <x:v>세부조건 확인</x:v>
      </x:c>
      <x:c r="J264" s="17" t="str">
        <x:v>제한 문구 미탐지</x:v>
      </x:c>
      <x:c r="K264" s="17" t="str">
        <x:v>상세공고 확인</x:v>
      </x:c>
      <x:c r="L264" s="17" t="str">
        <x:v>상세공고 확인</x:v>
      </x:c>
      <x:c r="M264" s="17" t="str">
        <x:v>상세공고 확인</x:v>
      </x:c>
      <x:c r="N264" s="17" t="str">
        <x:v>상세공고 확인</x:v>
      </x:c>
      <x:c r="O264" s="17" t="str">
        <x:v>상세공고 확인</x:v>
      </x:c>
      <x:c r="P264" s="17" t="str">
        <x:v>상세공고 확인</x:v>
      </x:c>
      <x:c r="Q264" s="17" t="str">
        <x:v>상세공고 확인</x:v>
      </x:c>
      <x:c r="R264" s="17" t="str">
        <x:v>상세공고 확인</x:v>
      </x:c>
      <x:c r="S264" s="17" t="str">
        <x:v>상세공고 확인</x:v>
      </x:c>
      <x:c r="T264" s="17" t="str">
        <x:v>상세공고 확인</x:v>
      </x:c>
      <x:c r="U264" s="17" t="str">
        <x:v>상세공고 확인</x:v>
      </x:c>
      <x:c r="V264" s="17" t="str">
        <x:v>목록 항목 확인</x:v>
      </x:c>
      <x:c r="W264" s="17" t="str">
        <x:v>공고 상세에서 확인</x:v>
      </x:c>
      <x:c r="X264" s="18" t="str">
        <x:v>https://job.alio.go.kr/recruitview.do?idx=304477</x:v>
      </x:c>
      <x:c r="Y264" s="1"/>
      <x:c r="Z264" s="1"/>
    </x:row>
    <x:row r="265" ht="54" customHeight="1">
      <x:c r="A265" s="17" t="n">
        <x:v>159</x:v>
      </x:c>
      <x:c r="B265" s="17" t="str">
        <x:v>(재)우체국물류지원단</x:v>
      </x:c>
      <x:c r="C265" s="17" t="str">
        <x:v>우체국물류지원단 서울지사 동서울물류사업소 기간제(일용직_우편물구분) 채용 공고</x:v>
      </x:c>
      <x:c r="D265" s="17" t="str">
        <x:v>서울</x:v>
      </x:c>
      <x:c r="E265" s="17" t="str">
        <x:v>비정규직</x:v>
      </x:c>
      <x:c r="F265" s="17" t="str">
        <x:v>2026.09.01</x:v>
      </x:c>
      <x:c r="G265" s="17" t="str">
        <x:v>26.09.30 D-21</x:v>
      </x:c>
      <x:c r="H265" s="17" t="str">
        <x:v>기간제·비정규</x:v>
      </x:c>
      <x:c r="I265" s="17" t="str">
        <x:v>세부조건 확인</x:v>
      </x:c>
      <x:c r="J265" s="17" t="str">
        <x:v>제한 문구 미탐지</x:v>
      </x:c>
      <x:c r="K265" s="17" t="str">
        <x:v>상세공고 확인</x:v>
      </x:c>
      <x:c r="L265" s="17" t="str">
        <x:v>상세공고 확인</x:v>
      </x:c>
      <x:c r="M265" s="17" t="str">
        <x:v>상세공고 확인</x:v>
      </x:c>
      <x:c r="N265" s="17" t="str">
        <x:v>상세공고 확인</x:v>
      </x:c>
      <x:c r="O265" s="17" t="str">
        <x:v>상세공고 확인</x:v>
      </x:c>
      <x:c r="P265" s="17" t="str">
        <x:v>상세공고 확인</x:v>
      </x:c>
      <x:c r="Q265" s="17" t="str">
        <x:v>상세공고 확인</x:v>
      </x:c>
      <x:c r="R265" s="17" t="str">
        <x:v>상세공고 확인</x:v>
      </x:c>
      <x:c r="S265" s="17" t="str">
        <x:v>상세공고 확인</x:v>
      </x:c>
      <x:c r="T265" s="17" t="str">
        <x:v>상세공고 확인</x:v>
      </x:c>
      <x:c r="U265" s="17" t="str">
        <x:v>상세공고 확인</x:v>
      </x:c>
      <x:c r="V265" s="17" t="str">
        <x:v>목록 항목 확인</x:v>
      </x:c>
      <x:c r="W265" s="17" t="str">
        <x:v>공고 상세에서 확인</x:v>
      </x:c>
      <x:c r="X265" s="18" t="str">
        <x:v>https://job.alio.go.kr/recruitview.do?idx=304475</x:v>
      </x:c>
      <x:c r="Y265" s="1"/>
      <x:c r="Z265" s="1"/>
    </x:row>
    <x:row r="266" ht="54" customHeight="1">
      <x:c r="A266" s="17" t="n">
        <x:v>158</x:v>
      </x:c>
      <x:c r="B266" s="17" t="str">
        <x:v>국립중앙의료원</x:v>
      </x:c>
      <x:c r="C266" s="17" t="str">
        <x:v>계약직 연구원(감염병사업지원팀, 모자의료지원팀, 인력지원교육팀, 책임의료기관지원팀, 치매정책기획팀) 채용 공고</x:v>
      </x:c>
      <x:c r="D266" s="17" t="str">
        <x:v>서울</x:v>
      </x:c>
      <x:c r="E266" s="17" t="str">
        <x:v>비정규직</x:v>
      </x:c>
      <x:c r="F266" s="17" t="str">
        <x:v>2026.09.01</x:v>
      </x:c>
      <x:c r="G266" s="17" t="str">
        <x:v>26.09.16 D-7</x:v>
      </x:c>
      <x:c r="H266" s="17" t="str">
        <x:v>기간제·비정규</x:v>
      </x:c>
      <x:c r="I266" s="17" t="str">
        <x:v>세부조건 확인</x:v>
      </x:c>
      <x:c r="J266" s="17" t="str">
        <x:v>제한 문구 미탐지</x:v>
      </x:c>
      <x:c r="K266" s="17" t="str">
        <x:v>상세공고 확인</x:v>
      </x:c>
      <x:c r="L266" s="17" t="str">
        <x:v>상세공고 확인</x:v>
      </x:c>
      <x:c r="M266" s="17" t="str">
        <x:v>상세공고 확인</x:v>
      </x:c>
      <x:c r="N266" s="17" t="str">
        <x:v>상세공고 확인</x:v>
      </x:c>
      <x:c r="O266" s="17" t="str">
        <x:v>상세공고 확인</x:v>
      </x:c>
      <x:c r="P266" s="17" t="str">
        <x:v>상세공고 확인</x:v>
      </x:c>
      <x:c r="Q266" s="17" t="str">
        <x:v>상세공고 확인</x:v>
      </x:c>
      <x:c r="R266" s="17" t="str">
        <x:v>상세공고 확인</x:v>
      </x:c>
      <x:c r="S266" s="17" t="str">
        <x:v>상세공고 확인</x:v>
      </x:c>
      <x:c r="T266" s="17" t="str">
        <x:v>상세공고 확인</x:v>
      </x:c>
      <x:c r="U266" s="17" t="str">
        <x:v>상세공고 확인</x:v>
      </x:c>
      <x:c r="V266" s="17" t="str">
        <x:v>목록 항목 확인</x:v>
      </x:c>
      <x:c r="W266" s="17" t="str">
        <x:v>공고 상세에서 확인</x:v>
      </x:c>
      <x:c r="X266" s="18" t="str">
        <x:v>https://job.alio.go.kr/recruitview.do?idx=304474</x:v>
      </x:c>
      <x:c r="Y266" s="1"/>
      <x:c r="Z266" s="1"/>
    </x:row>
    <x:row r="267" ht="54" customHeight="1">
      <x:c r="A267" s="17" t="n">
        <x:v>157</x:v>
      </x:c>
      <x:c r="B267" s="17" t="str">
        <x:v>국립중앙의료원</x:v>
      </x:c>
      <x:c r="C267" s="17" t="str">
        <x:v>계약직 단시간근로자-임상병리사(진단검사의학과) 채용 공고</x:v>
      </x:c>
      <x:c r="D267" s="17" t="str">
        <x:v>서울</x:v>
      </x:c>
      <x:c r="E267" s="17" t="str">
        <x:v>비정규직</x:v>
      </x:c>
      <x:c r="F267" s="17" t="str">
        <x:v>2026.09.01</x:v>
      </x:c>
      <x:c r="G267" s="17" t="str">
        <x:v>26.09.16 D-7</x:v>
      </x:c>
      <x:c r="H267" s="17" t="str">
        <x:v>기간제·비정규</x:v>
      </x:c>
      <x:c r="I267" s="17" t="str">
        <x:v>세부조건 확인</x:v>
      </x:c>
      <x:c r="J267" s="17" t="str">
        <x:v>제한 문구 미탐지</x:v>
      </x:c>
      <x:c r="K267" s="17" t="str">
        <x:v>상세공고 확인</x:v>
      </x:c>
      <x:c r="L267" s="17" t="str">
        <x:v>상세공고 확인</x:v>
      </x:c>
      <x:c r="M267" s="17" t="str">
        <x:v>상세공고 확인</x:v>
      </x:c>
      <x:c r="N267" s="17" t="str">
        <x:v>상세공고 확인</x:v>
      </x:c>
      <x:c r="O267" s="17" t="str">
        <x:v>상세공고 확인</x:v>
      </x:c>
      <x:c r="P267" s="17" t="str">
        <x:v>상세공고 확인</x:v>
      </x:c>
      <x:c r="Q267" s="17" t="str">
        <x:v>상세공고 확인</x:v>
      </x:c>
      <x:c r="R267" s="17" t="str">
        <x:v>상세공고 확인</x:v>
      </x:c>
      <x:c r="S267" s="17" t="str">
        <x:v>상세공고 확인</x:v>
      </x:c>
      <x:c r="T267" s="17" t="str">
        <x:v>상세공고 확인</x:v>
      </x:c>
      <x:c r="U267" s="17" t="str">
        <x:v>상세공고 확인</x:v>
      </x:c>
      <x:c r="V267" s="17" t="str">
        <x:v>목록 항목 확인</x:v>
      </x:c>
      <x:c r="W267" s="17" t="str">
        <x:v>공고 상세에서 확인</x:v>
      </x:c>
      <x:c r="X267" s="18" t="str">
        <x:v>https://job.alio.go.kr/recruitview.do?idx=304473</x:v>
      </x:c>
      <x:c r="Y267" s="1"/>
      <x:c r="Z267" s="1"/>
    </x:row>
    <x:row r="268" ht="54" customHeight="1">
      <x:c r="A268" s="17" t="n">
        <x:v>156</x:v>
      </x:c>
      <x:c r="B268" s="17" t="str">
        <x:v>국립중앙의료원</x:v>
      </x:c>
      <x:c r="C268" s="17" t="str">
        <x:v>계약직 보건의료정보관리사-휴직대체(의무기록팀) 채용 공고</x:v>
      </x:c>
      <x:c r="D268" s="17" t="str">
        <x:v>서울</x:v>
      </x:c>
      <x:c r="E268" s="17" t="str">
        <x:v>비정규직</x:v>
      </x:c>
      <x:c r="F268" s="17" t="str">
        <x:v>2026.09.01</x:v>
      </x:c>
      <x:c r="G268" s="17" t="str">
        <x:v>26.09.16 D-7</x:v>
      </x:c>
      <x:c r="H268" s="17" t="str">
        <x:v>기간제·비정규</x:v>
      </x:c>
      <x:c r="I268" s="17" t="str">
        <x:v>세부조건 확인</x:v>
      </x:c>
      <x:c r="J268" s="17" t="str">
        <x:v>제한 문구 미탐지</x:v>
      </x:c>
      <x:c r="K268" s="17" t="str">
        <x:v>상세공고 확인</x:v>
      </x:c>
      <x:c r="L268" s="17" t="str">
        <x:v>상세공고 확인</x:v>
      </x:c>
      <x:c r="M268" s="17" t="str">
        <x:v>상세공고 확인</x:v>
      </x:c>
      <x:c r="N268" s="17" t="str">
        <x:v>상세공고 확인</x:v>
      </x:c>
      <x:c r="O268" s="17" t="str">
        <x:v>상세공고 확인</x:v>
      </x:c>
      <x:c r="P268" s="17" t="str">
        <x:v>상세공고 확인</x:v>
      </x:c>
      <x:c r="Q268" s="17" t="str">
        <x:v>상세공고 확인</x:v>
      </x:c>
      <x:c r="R268" s="17" t="str">
        <x:v>상세공고 확인</x:v>
      </x:c>
      <x:c r="S268" s="17" t="str">
        <x:v>상세공고 확인</x:v>
      </x:c>
      <x:c r="T268" s="17" t="str">
        <x:v>상세공고 확인</x:v>
      </x:c>
      <x:c r="U268" s="17" t="str">
        <x:v>상세공고 확인</x:v>
      </x:c>
      <x:c r="V268" s="17" t="str">
        <x:v>목록 항목 확인</x:v>
      </x:c>
      <x:c r="W268" s="17" t="str">
        <x:v>공고 상세에서 확인</x:v>
      </x:c>
      <x:c r="X268" s="18" t="str">
        <x:v>https://job.alio.go.kr/recruitview.do?idx=304471</x:v>
      </x:c>
      <x:c r="Y268" s="1"/>
      <x:c r="Z268" s="1"/>
    </x:row>
    <x:row r="269" ht="54" customHeight="1">
      <x:c r="A269" s="17" t="n">
        <x:v>155</x:v>
      </x:c>
      <x:c r="B269" s="17" t="str">
        <x:v>국립중앙의료원</x:v>
      </x:c>
      <x:c r="C269" s="17" t="str">
        <x:v>계약직 전산행정-휴직대체(공공의료정보운영팀) 채용 공고</x:v>
      </x:c>
      <x:c r="D269" s="17" t="str">
        <x:v>서울</x:v>
      </x:c>
      <x:c r="E269" s="17" t="str">
        <x:v>비정규직</x:v>
      </x:c>
      <x:c r="F269" s="17" t="str">
        <x:v>2026.09.01</x:v>
      </x:c>
      <x:c r="G269" s="17" t="str">
        <x:v>26.09.16 D-7</x:v>
      </x:c>
      <x:c r="H269" s="17" t="str">
        <x:v>기간제·비정규</x:v>
      </x:c>
      <x:c r="I269" s="17" t="str">
        <x:v>세부조건 확인</x:v>
      </x:c>
      <x:c r="J269" s="17" t="str">
        <x:v>제한 문구 미탐지</x:v>
      </x:c>
      <x:c r="K269" s="17" t="str">
        <x:v>상세공고 확인</x:v>
      </x:c>
      <x:c r="L269" s="17" t="str">
        <x:v>상세공고 확인</x:v>
      </x:c>
      <x:c r="M269" s="17" t="str">
        <x:v>상세공고 확인</x:v>
      </x:c>
      <x:c r="N269" s="17" t="str">
        <x:v>상세공고 확인</x:v>
      </x:c>
      <x:c r="O269" s="17" t="str">
        <x:v>상세공고 확인</x:v>
      </x:c>
      <x:c r="P269" s="17" t="str">
        <x:v>상세공고 확인</x:v>
      </x:c>
      <x:c r="Q269" s="17" t="str">
        <x:v>상세공고 확인</x:v>
      </x:c>
      <x:c r="R269" s="17" t="str">
        <x:v>상세공고 확인</x:v>
      </x:c>
      <x:c r="S269" s="17" t="str">
        <x:v>상세공고 확인</x:v>
      </x:c>
      <x:c r="T269" s="17" t="str">
        <x:v>상세공고 확인</x:v>
      </x:c>
      <x:c r="U269" s="17" t="str">
        <x:v>상세공고 확인</x:v>
      </x:c>
      <x:c r="V269" s="17" t="str">
        <x:v>목록 항목 확인</x:v>
      </x:c>
      <x:c r="W269" s="17" t="str">
        <x:v>공고 상세에서 확인</x:v>
      </x:c>
      <x:c r="X269" s="18" t="str">
        <x:v>https://job.alio.go.kr/recruitview.do?idx=304470</x:v>
      </x:c>
      <x:c r="Y269" s="1"/>
      <x:c r="Z269" s="1"/>
    </x:row>
    <x:row r="270" ht="54" customHeight="1">
      <x:c r="A270" s="17" t="n">
        <x:v>154</x:v>
      </x:c>
      <x:c r="B270" s="17" t="str">
        <x:v>국립중앙의료원</x:v>
      </x:c>
      <x:c r="C270" s="17" t="str">
        <x:v>계약직 간호사-휴직대체(진료행정팀) 채용 공고</x:v>
      </x:c>
      <x:c r="D270" s="17" t="str">
        <x:v>서울</x:v>
      </x:c>
      <x:c r="E270" s="17" t="str">
        <x:v>비정규직</x:v>
      </x:c>
      <x:c r="F270" s="17" t="str">
        <x:v>2026.09.01</x:v>
      </x:c>
      <x:c r="G270" s="17" t="str">
        <x:v>26.09.16 D-7</x:v>
      </x:c>
      <x:c r="H270" s="17" t="str">
        <x:v>경력·전문직</x:v>
      </x:c>
      <x:c r="I270" s="17" t="str">
        <x:v>경력·전문 우선</x:v>
      </x:c>
      <x:c r="J270" s="17" t="str">
        <x:v>제한 문구 미탐지</x:v>
      </x:c>
      <x:c r="K270" s="17" t="str">
        <x:v>상세공고 확인</x:v>
      </x:c>
      <x:c r="L270" s="17" t="str">
        <x:v>상세공고 확인</x:v>
      </x:c>
      <x:c r="M270" s="17" t="str">
        <x:v>상세공고 확인</x:v>
      </x:c>
      <x:c r="N270" s="17" t="str">
        <x:v>상세공고 확인</x:v>
      </x:c>
      <x:c r="O270" s="17" t="str">
        <x:v>상세공고 확인</x:v>
      </x:c>
      <x:c r="P270" s="17" t="str">
        <x:v>상세공고 확인</x:v>
      </x:c>
      <x:c r="Q270" s="17" t="str">
        <x:v>상세공고 확인</x:v>
      </x:c>
      <x:c r="R270" s="17" t="str">
        <x:v>상세공고 확인</x:v>
      </x:c>
      <x:c r="S270" s="17" t="str">
        <x:v>상세공고 확인</x:v>
      </x:c>
      <x:c r="T270" s="17" t="str">
        <x:v>상세공고 확인</x:v>
      </x:c>
      <x:c r="U270" s="17" t="str">
        <x:v>상세공고 확인</x:v>
      </x:c>
      <x:c r="V270" s="17" t="str">
        <x:v>목록 항목 확인</x:v>
      </x:c>
      <x:c r="W270" s="17" t="str">
        <x:v>공고 상세에서 확인</x:v>
      </x:c>
      <x:c r="X270" s="18" t="str">
        <x:v>https://job.alio.go.kr/recruitview.do?idx=304469</x:v>
      </x:c>
      <x:c r="Y270" s="1"/>
      <x:c r="Z270" s="1"/>
    </x:row>
    <x:row r="271" ht="54" customHeight="1">
      <x:c r="A271" s="17" t="n">
        <x:v>153</x:v>
      </x:c>
      <x:c r="B271" s="17" t="str">
        <x:v>국립중앙의료원</x:v>
      </x:c>
      <x:c r="C271" s="17" t="str">
        <x:v>계약직 간호사(간호부, 외상센터) 채용 공고</x:v>
      </x:c>
      <x:c r="D271" s="17" t="str">
        <x:v>서울</x:v>
      </x:c>
      <x:c r="E271" s="17" t="str">
        <x:v>비정규직</x:v>
      </x:c>
      <x:c r="F271" s="17" t="str">
        <x:v>2026.09.01</x:v>
      </x:c>
      <x:c r="G271" s="17" t="str">
        <x:v>26.09.16 D-7</x:v>
      </x:c>
      <x:c r="H271" s="17" t="str">
        <x:v>경력·전문직</x:v>
      </x:c>
      <x:c r="I271" s="17" t="str">
        <x:v>경력·전문 우선</x:v>
      </x:c>
      <x:c r="J271" s="17" t="str">
        <x:v>제한 문구 미탐지</x:v>
      </x:c>
      <x:c r="K271" s="17" t="str">
        <x:v>상세공고 확인</x:v>
      </x:c>
      <x:c r="L271" s="17" t="str">
        <x:v>상세공고 확인</x:v>
      </x:c>
      <x:c r="M271" s="17" t="str">
        <x:v>상세공고 확인</x:v>
      </x:c>
      <x:c r="N271" s="17" t="str">
        <x:v>상세공고 확인</x:v>
      </x:c>
      <x:c r="O271" s="17" t="str">
        <x:v>상세공고 확인</x:v>
      </x:c>
      <x:c r="P271" s="17" t="str">
        <x:v>상세공고 확인</x:v>
      </x:c>
      <x:c r="Q271" s="17" t="str">
        <x:v>상세공고 확인</x:v>
      </x:c>
      <x:c r="R271" s="17" t="str">
        <x:v>상세공고 확인</x:v>
      </x:c>
      <x:c r="S271" s="17" t="str">
        <x:v>상세공고 확인</x:v>
      </x:c>
      <x:c r="T271" s="17" t="str">
        <x:v>상세공고 확인</x:v>
      </x:c>
      <x:c r="U271" s="17" t="str">
        <x:v>상세공고 확인</x:v>
      </x:c>
      <x:c r="V271" s="17" t="str">
        <x:v>목록 항목 확인</x:v>
      </x:c>
      <x:c r="W271" s="17" t="str">
        <x:v>공고 상세에서 확인</x:v>
      </x:c>
      <x:c r="X271" s="18" t="str">
        <x:v>https://job.alio.go.kr/recruitview.do?idx=304468</x:v>
      </x:c>
      <x:c r="Y271" s="1"/>
      <x:c r="Z271" s="1"/>
    </x:row>
    <x:row r="272" ht="54" customHeight="1">
      <x:c r="A272" s="17" t="n">
        <x:v>152</x:v>
      </x:c>
      <x:c r="B272" s="17" t="str">
        <x:v>소상공인시장진흥공단</x:v>
      </x:c>
      <x:c r="C272" s="17" t="str">
        <x:v>2026년 소상공인시장진흥공단 하반기 청년인턴(2차) 채용 공고</x:v>
      </x:c>
      <x:c r="D272" s="17" t="str">
        <x:v>대전</x:v>
      </x:c>
      <x:c r="E272" s="17" t="str">
        <x:v>청년인턴(체험형)</x:v>
      </x:c>
      <x:c r="F272" s="17" t="str">
        <x:v>2026.09.01</x:v>
      </x:c>
      <x:c r="G272" s="17" t="str">
        <x:v>26.09.15 D-6</x:v>
      </x:c>
      <x:c r="H272" s="17" t="str">
        <x:v>체험형·청년인턴</x:v>
      </x:c>
      <x:c r="I272" s="17" t="str">
        <x:v>우선검토</x:v>
      </x:c>
      <x:c r="J272" s="17" t="str">
        <x:v>제한 문구 미탐지</x:v>
      </x:c>
      <x:c r="K272" s="17" t="str">
        <x:v>상세공고 확인</x:v>
      </x:c>
      <x:c r="L272" s="17" t="str">
        <x:v>상세공고 확인</x:v>
      </x:c>
      <x:c r="M272" s="17" t="str">
        <x:v>상세공고 확인</x:v>
      </x:c>
      <x:c r="N272" s="17" t="str">
        <x:v>상세공고 확인</x:v>
      </x:c>
      <x:c r="O272" s="17" t="str">
        <x:v>상세공고 확인</x:v>
      </x:c>
      <x:c r="P272" s="17" t="str">
        <x:v>상세공고 확인</x:v>
      </x:c>
      <x:c r="Q272" s="17" t="str">
        <x:v>상세공고 확인</x:v>
      </x:c>
      <x:c r="R272" s="17" t="str">
        <x:v>상세공고 확인</x:v>
      </x:c>
      <x:c r="S272" s="17" t="str">
        <x:v>상세공고 확인</x:v>
      </x:c>
      <x:c r="T272" s="17" t="str">
        <x:v>상세공고 확인</x:v>
      </x:c>
      <x:c r="U272" s="17" t="str">
        <x:v>상세공고 확인</x:v>
      </x:c>
      <x:c r="V272" s="17" t="str">
        <x:v>목록 항목 확인</x:v>
      </x:c>
      <x:c r="W272" s="17" t="str">
        <x:v>공고 상세에서 확인</x:v>
      </x:c>
      <x:c r="X272" s="18" t="str">
        <x:v>https://job.alio.go.kr/recruitview.do?idx=304464</x:v>
      </x:c>
      <x:c r="Y272" s="1"/>
      <x:c r="Z272" s="1"/>
    </x:row>
    <x:row r="273" ht="54" customHeight="1">
      <x:c r="A273" s="17" t="n">
        <x:v>151</x:v>
      </x:c>
      <x:c r="B273" s="17" t="str">
        <x:v>한전KDN</x:v>
      </x:c>
      <x:c r="C273" s="17" t="str">
        <x:v>한전KDN(주) 서울본부 강북지사 전력통신팀 OA설비 유지보수 및 단순정비 일용근로자 모집 공고</x:v>
      </x:c>
      <x:c r="D273" s="17" t="str">
        <x:v>서울</x:v>
      </x:c>
      <x:c r="E273" s="17" t="str">
        <x:v>비정규직</x:v>
      </x:c>
      <x:c r="F273" s="17" t="str">
        <x:v>2026.09.01</x:v>
      </x:c>
      <x:c r="G273" s="17" t="str">
        <x:v>26.09.15 D-6</x:v>
      </x:c>
      <x:c r="H273" s="17" t="str">
        <x:v>기간제·비정규</x:v>
      </x:c>
      <x:c r="I273" s="17" t="str">
        <x:v>세부조건 확인</x:v>
      </x:c>
      <x:c r="J273" s="17" t="str">
        <x:v>제한 문구 미탐지</x:v>
      </x:c>
      <x:c r="K273" s="17" t="str">
        <x:v>상세공고 확인</x:v>
      </x:c>
      <x:c r="L273" s="17" t="str">
        <x:v>상세공고 확인</x:v>
      </x:c>
      <x:c r="M273" s="17" t="str">
        <x:v>상세공고 확인</x:v>
      </x:c>
      <x:c r="N273" s="17" t="str">
        <x:v>상세공고 확인</x:v>
      </x:c>
      <x:c r="O273" s="17" t="str">
        <x:v>상세공고 확인</x:v>
      </x:c>
      <x:c r="P273" s="17" t="str">
        <x:v>상세공고 확인</x:v>
      </x:c>
      <x:c r="Q273" s="17" t="str">
        <x:v>상세공고 확인</x:v>
      </x:c>
      <x:c r="R273" s="17" t="str">
        <x:v>상세공고 확인</x:v>
      </x:c>
      <x:c r="S273" s="17" t="str">
        <x:v>상세공고 확인</x:v>
      </x:c>
      <x:c r="T273" s="17" t="str">
        <x:v>상세공고 확인</x:v>
      </x:c>
      <x:c r="U273" s="17" t="str">
        <x:v>상세공고 확인</x:v>
      </x:c>
      <x:c r="V273" s="17" t="str">
        <x:v>목록 항목 확인</x:v>
      </x:c>
      <x:c r="W273" s="17" t="str">
        <x:v>공고 상세에서 확인</x:v>
      </x:c>
      <x:c r="X273" s="18" t="str">
        <x:v>https://job.alio.go.kr/recruitview.do?idx=304463</x:v>
      </x:c>
      <x:c r="Y273" s="1"/>
      <x:c r="Z273" s="1"/>
    </x:row>
    <x:row r="274" ht="54" customHeight="1">
      <x:c r="A274" s="17" t="n">
        <x:v>150</x:v>
      </x:c>
      <x:c r="B274" s="17" t="str">
        <x:v>국립공원공단</x:v>
      </x:c>
      <x:c r="C274" s="17" t="str">
        <x:v>[한려동부] 2026년 한려해상국립공원동부사무소 한시인력(수익시설) 직원 채용</x:v>
      </x:c>
      <x:c r="D274" s="17" t="str">
        <x:v>경남</x:v>
      </x:c>
      <x:c r="E274" s="17" t="str">
        <x:v>비정규직</x:v>
      </x:c>
      <x:c r="F274" s="17" t="str">
        <x:v>2026.09.01</x:v>
      </x:c>
      <x:c r="G274" s="17" t="str">
        <x:v>26.09.15 D-6</x:v>
      </x:c>
      <x:c r="H274" s="17" t="str">
        <x:v>기간제·비정규</x:v>
      </x:c>
      <x:c r="I274" s="17" t="str">
        <x:v>세부조건 확인</x:v>
      </x:c>
      <x:c r="J274" s="17" t="str">
        <x:v>제한 문구 미탐지</x:v>
      </x:c>
      <x:c r="K274" s="17" t="str">
        <x:v>상세공고 확인</x:v>
      </x:c>
      <x:c r="L274" s="17" t="str">
        <x:v>상세공고 확인</x:v>
      </x:c>
      <x:c r="M274" s="17" t="str">
        <x:v>상세공고 확인</x:v>
      </x:c>
      <x:c r="N274" s="17" t="str">
        <x:v>상세공고 확인</x:v>
      </x:c>
      <x:c r="O274" s="17" t="str">
        <x:v>상세공고 확인</x:v>
      </x:c>
      <x:c r="P274" s="17" t="str">
        <x:v>상세공고 확인</x:v>
      </x:c>
      <x:c r="Q274" s="17" t="str">
        <x:v>상세공고 확인</x:v>
      </x:c>
      <x:c r="R274" s="17" t="str">
        <x:v>상세공고 확인</x:v>
      </x:c>
      <x:c r="S274" s="17" t="str">
        <x:v>상세공고 확인</x:v>
      </x:c>
      <x:c r="T274" s="17" t="str">
        <x:v>상세공고 확인</x:v>
      </x:c>
      <x:c r="U274" s="17" t="str">
        <x:v>상세공고 확인</x:v>
      </x:c>
      <x:c r="V274" s="17" t="str">
        <x:v>목록 항목 확인</x:v>
      </x:c>
      <x:c r="W274" s="17" t="str">
        <x:v>공고 상세에서 확인</x:v>
      </x:c>
      <x:c r="X274" s="18" t="str">
        <x:v>https://job.alio.go.kr/recruitview.do?idx=304460</x:v>
      </x:c>
      <x:c r="Y274" s="1"/>
      <x:c r="Z274" s="1"/>
    </x:row>
    <x:row r="275" ht="54" customHeight="1">
      <x:c r="A275" s="17" t="n">
        <x:v>149</x:v>
      </x:c>
      <x:c r="B275" s="17" t="str">
        <x:v>국립공원공단</x:v>
      </x:c>
      <x:c r="C275" s="17" t="str">
        <x:v>[무등산] 2026년 무등산국립공원 한시인력(국립공원지킴이) 4차 채용공고</x:v>
      </x:c>
      <x:c r="D275" s="17" t="str">
        <x:v>전남광주</x:v>
      </x:c>
      <x:c r="E275" s="17" t="str">
        <x:v>비정규직</x:v>
      </x:c>
      <x:c r="F275" s="17" t="str">
        <x:v>2026.09.01</x:v>
      </x:c>
      <x:c r="G275" s="17" t="str">
        <x:v>26.09.11 D-2</x:v>
      </x:c>
      <x:c r="H275" s="17" t="str">
        <x:v>기간제·비정규</x:v>
      </x:c>
      <x:c r="I275" s="17" t="str">
        <x:v>세부조건 확인</x:v>
      </x:c>
      <x:c r="J275" s="17" t="str">
        <x:v>제한 문구 미탐지</x:v>
      </x:c>
      <x:c r="K275" s="17" t="str">
        <x:v>상세공고 확인</x:v>
      </x:c>
      <x:c r="L275" s="17" t="str">
        <x:v>상세공고 확인</x:v>
      </x:c>
      <x:c r="M275" s="17" t="str">
        <x:v>상세공고 확인</x:v>
      </x:c>
      <x:c r="N275" s="17" t="str">
        <x:v>상세공고 확인</x:v>
      </x:c>
      <x:c r="O275" s="17" t="str">
        <x:v>상세공고 확인</x:v>
      </x:c>
      <x:c r="P275" s="17" t="str">
        <x:v>상세공고 확인</x:v>
      </x:c>
      <x:c r="Q275" s="17" t="str">
        <x:v>상세공고 확인</x:v>
      </x:c>
      <x:c r="R275" s="17" t="str">
        <x:v>상세공고 확인</x:v>
      </x:c>
      <x:c r="S275" s="17" t="str">
        <x:v>상세공고 확인</x:v>
      </x:c>
      <x:c r="T275" s="17" t="str">
        <x:v>상세공고 확인</x:v>
      </x:c>
      <x:c r="U275" s="17" t="str">
        <x:v>상세공고 확인</x:v>
      </x:c>
      <x:c r="V275" s="17" t="str">
        <x:v>목록 항목 확인</x:v>
      </x:c>
      <x:c r="W275" s="17" t="str">
        <x:v>공고 상세에서 확인</x:v>
      </x:c>
      <x:c r="X275" s="18" t="str">
        <x:v>https://job.alio.go.kr/recruitview.do?idx=304457</x:v>
      </x:c>
      <x:c r="Y275" s="1"/>
      <x:c r="Z275" s="1"/>
    </x:row>
    <x:row r="276" ht="54" customHeight="1">
      <x:c r="A276" s="17" t="n">
        <x:v>148</x:v>
      </x:c>
      <x:c r="B276" s="17" t="str">
        <x:v>정보통신정책연구원</x:v>
      </x:c>
      <x:c r="C276" s="17" t="str">
        <x:v>정보통신정책연구원 정규직 직원(연구책임자) 채용 재공고</x:v>
      </x:c>
      <x:c r="D276" s="17" t="str">
        <x:v>충북</x:v>
      </x:c>
      <x:c r="E276" s="17" t="str">
        <x:v>정규직</x:v>
      </x:c>
      <x:c r="F276" s="17" t="str">
        <x:v>2026.09.01</x:v>
      </x:c>
      <x:c r="G276" s="17" t="str">
        <x:v>26.09.16 D-7</x:v>
      </x:c>
      <x:c r="H276" s="17" t="str">
        <x:v>정규직(세부 확인)</x:v>
      </x:c>
      <x:c r="I276" s="17" t="str">
        <x:v>세부조건 확인</x:v>
      </x:c>
      <x:c r="J276" s="17" t="str">
        <x:v>제한 문구 미탐지</x:v>
      </x:c>
      <x:c r="K276" s="17" t="str">
        <x:v>상세공고 확인</x:v>
      </x:c>
      <x:c r="L276" s="17" t="str">
        <x:v>상세공고 확인</x:v>
      </x:c>
      <x:c r="M276" s="17" t="str">
        <x:v>상세공고 확인</x:v>
      </x:c>
      <x:c r="N276" s="17" t="str">
        <x:v>상세공고 확인</x:v>
      </x:c>
      <x:c r="O276" s="17" t="str">
        <x:v>상세공고 확인</x:v>
      </x:c>
      <x:c r="P276" s="17" t="str">
        <x:v>상세공고 확인</x:v>
      </x:c>
      <x:c r="Q276" s="17" t="str">
        <x:v>상세공고 확인</x:v>
      </x:c>
      <x:c r="R276" s="17" t="str">
        <x:v>상세공고 확인</x:v>
      </x:c>
      <x:c r="S276" s="17" t="str">
        <x:v>상세공고 확인</x:v>
      </x:c>
      <x:c r="T276" s="17" t="str">
        <x:v>상세공고 확인</x:v>
      </x:c>
      <x:c r="U276" s="17" t="str">
        <x:v>상세공고 확인</x:v>
      </x:c>
      <x:c r="V276" s="17" t="str">
        <x:v>목록 항목 확인</x:v>
      </x:c>
      <x:c r="W276" s="17" t="str">
        <x:v>공고 상세에서 확인</x:v>
      </x:c>
      <x:c r="X276" s="18" t="str">
        <x:v>https://job.alio.go.kr/recruitview.do?idx=304456</x:v>
      </x:c>
      <x:c r="Y276" s="1"/>
      <x:c r="Z276" s="1"/>
    </x:row>
    <x:row r="277" ht="54" customHeight="1">
      <x:c r="A277" s="17" t="n">
        <x:v>147</x:v>
      </x:c>
      <x:c r="B277" s="17" t="str">
        <x:v>한국원자력의학원</x:v>
      </x:c>
      <x:c r="C277" s="17" t="str">
        <x:v>별정직 직원모집 공고(건강증진센터)_채용완료시 공고종료</x:v>
      </x:c>
      <x:c r="D277" s="17" t="str">
        <x:v>서울</x:v>
      </x:c>
      <x:c r="E277" s="17" t="str">
        <x:v>비정규직</x:v>
      </x:c>
      <x:c r="F277" s="17" t="str">
        <x:v>2026.09.01</x:v>
      </x:c>
      <x:c r="G277" s="17" t="str">
        <x:v>26.12.31 D-113</x:v>
      </x:c>
      <x:c r="H277" s="17" t="str">
        <x:v>기간제·비정규</x:v>
      </x:c>
      <x:c r="I277" s="17" t="str">
        <x:v>세부조건 확인</x:v>
      </x:c>
      <x:c r="J277" s="17" t="str">
        <x:v>제한 문구 미탐지</x:v>
      </x:c>
      <x:c r="K277" s="17" t="str">
        <x:v>상세공고 확인</x:v>
      </x:c>
      <x:c r="L277" s="17" t="str">
        <x:v>상세공고 확인</x:v>
      </x:c>
      <x:c r="M277" s="17" t="str">
        <x:v>상세공고 확인</x:v>
      </x:c>
      <x:c r="N277" s="17" t="str">
        <x:v>상세공고 확인</x:v>
      </x:c>
      <x:c r="O277" s="17" t="str">
        <x:v>상세공고 확인</x:v>
      </x:c>
      <x:c r="P277" s="17" t="str">
        <x:v>상세공고 확인</x:v>
      </x:c>
      <x:c r="Q277" s="17" t="str">
        <x:v>상세공고 확인</x:v>
      </x:c>
      <x:c r="R277" s="17" t="str">
        <x:v>상세공고 확인</x:v>
      </x:c>
      <x:c r="S277" s="17" t="str">
        <x:v>상세공고 확인</x:v>
      </x:c>
      <x:c r="T277" s="17" t="str">
        <x:v>상세공고 확인</x:v>
      </x:c>
      <x:c r="U277" s="17" t="str">
        <x:v>상세공고 확인</x:v>
      </x:c>
      <x:c r="V277" s="17" t="str">
        <x:v>목록 항목 확인</x:v>
      </x:c>
      <x:c r="W277" s="17" t="str">
        <x:v>공고 상세에서 확인</x:v>
      </x:c>
      <x:c r="X277" s="18" t="str">
        <x:v>https://job.alio.go.kr/recruitview.do?idx=304455</x:v>
      </x:c>
      <x:c r="Y277" s="1"/>
      <x:c r="Z277" s="1"/>
    </x:row>
    <x:row r="278" ht="54" customHeight="1">
      <x:c r="A278" s="17" t="n">
        <x:v>146</x:v>
      </x:c>
      <x:c r="B278" s="17" t="str">
        <x:v>한국원자력의학원</x:v>
      </x:c>
      <x:c r="C278" s="17" t="str">
        <x:v>제2026-5기 한국원자력의학원 별정직 정기공개채용</x:v>
      </x:c>
      <x:c r="D278" s="17" t="str">
        <x:v>서울</x:v>
      </x:c>
      <x:c r="E278" s="17" t="str">
        <x:v>비정규직</x:v>
      </x:c>
      <x:c r="F278" s="17" t="str">
        <x:v>2026.09.01</x:v>
      </x:c>
      <x:c r="G278" s="17" t="str">
        <x:v>26.09.16 D-7</x:v>
      </x:c>
      <x:c r="H278" s="17" t="str">
        <x:v>기간제·비정규</x:v>
      </x:c>
      <x:c r="I278" s="17" t="str">
        <x:v>세부조건 확인</x:v>
      </x:c>
      <x:c r="J278" s="17" t="str">
        <x:v>제한 문구 미탐지</x:v>
      </x:c>
      <x:c r="K278" s="17" t="str">
        <x:v>상세공고 확인</x:v>
      </x:c>
      <x:c r="L278" s="17" t="str">
        <x:v>상세공고 확인</x:v>
      </x:c>
      <x:c r="M278" s="17" t="str">
        <x:v>상세공고 확인</x:v>
      </x:c>
      <x:c r="N278" s="17" t="str">
        <x:v>상세공고 확인</x:v>
      </x:c>
      <x:c r="O278" s="17" t="str">
        <x:v>상세공고 확인</x:v>
      </x:c>
      <x:c r="P278" s="17" t="str">
        <x:v>상세공고 확인</x:v>
      </x:c>
      <x:c r="Q278" s="17" t="str">
        <x:v>상세공고 확인</x:v>
      </x:c>
      <x:c r="R278" s="17" t="str">
        <x:v>상세공고 확인</x:v>
      </x:c>
      <x:c r="S278" s="17" t="str">
        <x:v>상세공고 확인</x:v>
      </x:c>
      <x:c r="T278" s="17" t="str">
        <x:v>상세공고 확인</x:v>
      </x:c>
      <x:c r="U278" s="17" t="str">
        <x:v>상세공고 확인</x:v>
      </x:c>
      <x:c r="V278" s="17" t="str">
        <x:v>목록 항목 확인</x:v>
      </x:c>
      <x:c r="W278" s="17" t="str">
        <x:v>공고 상세에서 확인</x:v>
      </x:c>
      <x:c r="X278" s="18" t="str">
        <x:v>https://job.alio.go.kr/recruitview.do?idx=304453</x:v>
      </x:c>
      <x:c r="Y278" s="1"/>
      <x:c r="Z278" s="1"/>
    </x:row>
    <x:row r="279" ht="54" customHeight="1">
      <x:c r="A279" s="17" t="n">
        <x:v>145</x:v>
      </x:c>
      <x:c r="B279" s="17" t="str">
        <x:v>한국환경보전원</x:v>
      </x:c>
      <x:c r="C279" s="17" t="str">
        <x:v>대외환경협력처 기후변화대응팀 기간제(육아휴직 대체) 직원 채용공고</x:v>
      </x:c>
      <x:c r="D279" s="17" t="str">
        <x:v>서울</x:v>
      </x:c>
      <x:c r="E279" s="17" t="str">
        <x:v>비정규직</x:v>
      </x:c>
      <x:c r="F279" s="17" t="str">
        <x:v>2026.09.01</x:v>
      </x:c>
      <x:c r="G279" s="17" t="str">
        <x:v>26.09.16 D-7</x:v>
      </x:c>
      <x:c r="H279" s="17" t="str">
        <x:v>기간제·비정규</x:v>
      </x:c>
      <x:c r="I279" s="17" t="str">
        <x:v>세부조건 확인</x:v>
      </x:c>
      <x:c r="J279" s="17" t="str">
        <x:v>제한 문구 미탐지</x:v>
      </x:c>
      <x:c r="K279" s="17" t="str">
        <x:v>상세공고 확인</x:v>
      </x:c>
      <x:c r="L279" s="17" t="str">
        <x:v>상세공고 확인</x:v>
      </x:c>
      <x:c r="M279" s="17" t="str">
        <x:v>상세공고 확인</x:v>
      </x:c>
      <x:c r="N279" s="17" t="str">
        <x:v>상세공고 확인</x:v>
      </x:c>
      <x:c r="O279" s="17" t="str">
        <x:v>상세공고 확인</x:v>
      </x:c>
      <x:c r="P279" s="17" t="str">
        <x:v>상세공고 확인</x:v>
      </x:c>
      <x:c r="Q279" s="17" t="str">
        <x:v>상세공고 확인</x:v>
      </x:c>
      <x:c r="R279" s="17" t="str">
        <x:v>상세공고 확인</x:v>
      </x:c>
      <x:c r="S279" s="17" t="str">
        <x:v>상세공고 확인</x:v>
      </x:c>
      <x:c r="T279" s="17" t="str">
        <x:v>상세공고 확인</x:v>
      </x:c>
      <x:c r="U279" s="17" t="str">
        <x:v>상세공고 확인</x:v>
      </x:c>
      <x:c r="V279" s="17" t="str">
        <x:v>목록 항목 확인</x:v>
      </x:c>
      <x:c r="W279" s="17" t="str">
        <x:v>공고 상세에서 확인</x:v>
      </x:c>
      <x:c r="X279" s="18" t="str">
        <x:v>https://job.alio.go.kr/recruitview.do?idx=304452</x:v>
      </x:c>
      <x:c r="Y279" s="1"/>
      <x:c r="Z279" s="1"/>
    </x:row>
    <x:row r="280" ht="54" customHeight="1">
      <x:c r="A280" s="17" t="n">
        <x:v>144</x:v>
      </x:c>
      <x:c r="B280" s="17" t="str">
        <x:v>소프트웨어정책연구소</x:v>
      </x:c>
      <x:c r="C280" s="17" t="str">
        <x:v>소프트웨어정책연구소 정규직(연구직) 및 무기계약직(연구직) 채용</x:v>
      </x:c>
      <x:c r="D280" s="17" t="str">
        <x:v>경기</x:v>
      </x:c>
      <x:c r="E280" s="17" t="str">
        <x:v>무기계약직 외 1</x:v>
      </x:c>
      <x:c r="F280" s="17" t="str">
        <x:v>2026.09.01</x:v>
      </x:c>
      <x:c r="G280" s="17" t="str">
        <x:v>26.09.16 D-7</x:v>
      </x:c>
      <x:c r="H280" s="17" t="str">
        <x:v>무기계약·공무직</x:v>
      </x:c>
      <x:c r="I280" s="17" t="str">
        <x:v>세부조건 확인</x:v>
      </x:c>
      <x:c r="J280" s="17" t="str">
        <x:v>제한 문구 미탐지</x:v>
      </x:c>
      <x:c r="K280" s="17" t="str">
        <x:v>상세공고 확인</x:v>
      </x:c>
      <x:c r="L280" s="17" t="str">
        <x:v>상세공고 확인</x:v>
      </x:c>
      <x:c r="M280" s="17" t="str">
        <x:v>상세공고 확인</x:v>
      </x:c>
      <x:c r="N280" s="17" t="str">
        <x:v>상세공고 확인</x:v>
      </x:c>
      <x:c r="O280" s="17" t="str">
        <x:v>상세공고 확인</x:v>
      </x:c>
      <x:c r="P280" s="17" t="str">
        <x:v>상세공고 확인</x:v>
      </x:c>
      <x:c r="Q280" s="17" t="str">
        <x:v>상세공고 확인</x:v>
      </x:c>
      <x:c r="R280" s="17" t="str">
        <x:v>상세공고 확인</x:v>
      </x:c>
      <x:c r="S280" s="17" t="str">
        <x:v>상세공고 확인</x:v>
      </x:c>
      <x:c r="T280" s="17" t="str">
        <x:v>상세공고 확인</x:v>
      </x:c>
      <x:c r="U280" s="17" t="str">
        <x:v>상세공고 확인</x:v>
      </x:c>
      <x:c r="V280" s="17" t="str">
        <x:v>목록 항목 확인</x:v>
      </x:c>
      <x:c r="W280" s="17" t="str">
        <x:v>공고 상세에서 확인</x:v>
      </x:c>
      <x:c r="X280" s="18" t="str">
        <x:v>https://job.alio.go.kr/recruitview.do?idx=304451</x:v>
      </x:c>
      <x:c r="Y280" s="1"/>
      <x:c r="Z280" s="1"/>
    </x:row>
    <x:row r="281" ht="54" customHeight="1">
      <x:c r="A281" s="17" t="n">
        <x:v>143</x:v>
      </x:c>
      <x:c r="B281" s="17" t="str">
        <x:v>한국해양진흥공사</x:v>
      </x:c>
      <x:c r="C281" s="17" t="str">
        <x:v>한국해양진흥공사 하반기 정규직(신입사원) 채용</x:v>
      </x:c>
      <x:c r="D281" s="17" t="str">
        <x:v>부산</x:v>
      </x:c>
      <x:c r="E281" s="17" t="str">
        <x:v>정규직</x:v>
      </x:c>
      <x:c r="F281" s="17" t="str">
        <x:v>2026.09.01</x:v>
      </x:c>
      <x:c r="G281" s="17" t="str">
        <x:v>26.09.15 D-6</x:v>
      </x:c>
      <x:c r="H281" s="17" t="str">
        <x:v>제한경쟁·조건부</x:v>
      </x:c>
      <x:c r="I281" s="17" t="str">
        <x:v>조건 충족자만</x:v>
      </x:c>
      <x:c r="J281" s="17" t="str">
        <x:v>보훈 관련 제한경쟁</x:v>
      </x:c>
      <x:c r="K281" s="17" t="str">
        <x:v>신입</x:v>
      </x:c>
      <x:c r="L281" s="17" t="str">
        <x:v>학력무관</x:v>
      </x:c>
      <x:c r="M281" s="17" t="str">
        <x:v>12명</x:v>
      </x:c>
      <x:c r="N281" s="17" t="str">
        <x:v>사업관리,경영.회계.사무,금융.보험</x:v>
      </x:c>
      <x:c r="O281" s="17" t="str">
        <x:v>취업지원대상자, 등록장애인, 기초생활수급자 및 차상위계층, 북한이탈주민, 다문화가족구성원, 자립준비청년(보호종료아동), 비수도권지역인재, 경력단절여성, 전문자격증 소지자, 우수인턴</x:v>
      </x:c>
      <x:c r="P281" s="17" t="str">
        <x:v>명시 있음</x:v>
      </x:c>
      <x:c r="Q281" s="17" t="str">
        <x:v>상세공고 확인</x:v>
      </x:c>
      <x:c r="R281" s="17" t="str">
        <x:v>(공통자격) · 성별·연령별 제한 없음(단, 임용예정일 기준 공사 정년(만60세) 미만인자) · 남성의 경우 병역필 또는 면제자 · 「국가공무원법」 제33조 각 호의 어느 하나에 해당하지 않는 자 · 한국해양진흥공사 「인사규정」 제7조(결격사유)에 해당되지 않는 자 · 해외여행에 결격사유가 없으며, 채용 확정 후 즉시 업무 종사가 가능한 자 · 일정 수준의 어학능력 보유자 - TOEIC 700점 이상, NEW TEPS 340점 이상, TOEFL iBT 79점 이상, TOEIC-S IM2 이상, IELTS 5.5 이상, 오픽(영어) IM2 중 하나에 해당하는 자 (채용분야별 자격기준) 1. 일반(공통) 및 정보기술(IT) · 공통자격 기준을 모두 충족하는 자 · 경력 무관. 단, 일정 수준의 어학능력 보유자 2. 일반(보훈) · 공통자격 기준을 모두 충족하는 자 · 경력 무관. 단, 일정 수준의 어학능력 보유자 · 취업지원대상자에 해당하는 자(증명서 발급이 가능한 자)</x:v>
      </x:c>
      <x:c r="S281" s="17" t="str">
        <x:v>어학, TOEIC</x:v>
      </x:c>
      <x:c r="T281" s="17" t="str">
        <x:v>1. 1차(서류전형): 50배수 / 응시기준을 충족하는 지원자 중 평가 고득점 순으로 합격자 선발 2. 2차(필기전형): 6배수 / 직업기초능력평가, 직무수행능력평가 3. 3차(1차 면접전형): 3배수 / 온라인 인성검사 응시 후 실무면접 4. 4차(2차 면접전형): 1배수 / 심층면접 5. 5차(결격사유조회 및 신체검사): 적부 판단</x:v>
      </x:c>
      <x:c r="U281" s="17" t="str">
        <x:v>3차(1차 면접전형): 3배수 / 온라인 인성검사 응시 후 실무면접 4 / 4차(2차 면접전형): 1배수 / 심층면접 5</x:v>
      </x:c>
      <x:c r="V281" s="17" t="str">
        <x:v>상세 페이지 확인</x:v>
      </x:c>
      <x:c r="W281" s="17" t="str">
        <x:v>https://kobc.scout.co.kr/</x:v>
      </x:c>
      <x:c r="X281" s="18" t="str">
        <x:v>https://job.alio.go.kr/recruitview.do?idx=304450</x:v>
      </x:c>
      <x:c r="Y281" s="1"/>
      <x:c r="Z281" s="1"/>
    </x:row>
    <x:row r="282" ht="54" customHeight="1">
      <x:c r="A282" s="17" t="n">
        <x:v>142</x:v>
      </x:c>
      <x:c r="B282" s="17" t="str">
        <x:v>국가과학기술인력개발원</x:v>
      </x:c>
      <x:c r="C282" s="17" t="str">
        <x:v>[국가과학기술인력개발원] 2026년 제4회 정규직 및 위촉직 채용</x:v>
      </x:c>
      <x:c r="D282" s="17" t="str">
        <x:v>대전 외 1</x:v>
      </x:c>
      <x:c r="E282" s="17" t="str">
        <x:v>비정규직 외 1</x:v>
      </x:c>
      <x:c r="F282" s="17" t="str">
        <x:v>2026.09.01</x:v>
      </x:c>
      <x:c r="G282" s="17" t="str">
        <x:v>26.09.16 D-7</x:v>
      </x:c>
      <x:c r="H282" s="17" t="str">
        <x:v>기간제·비정규</x:v>
      </x:c>
      <x:c r="I282" s="17" t="str">
        <x:v>세부조건 확인</x:v>
      </x:c>
      <x:c r="J282" s="17" t="str">
        <x:v>제한 문구 미탐지</x:v>
      </x:c>
      <x:c r="K282" s="17" t="str">
        <x:v>상세공고 확인</x:v>
      </x:c>
      <x:c r="L282" s="17" t="str">
        <x:v>상세공고 확인</x:v>
      </x:c>
      <x:c r="M282" s="17" t="str">
        <x:v>상세공고 확인</x:v>
      </x:c>
      <x:c r="N282" s="17" t="str">
        <x:v>상세공고 확인</x:v>
      </x:c>
      <x:c r="O282" s="17" t="str">
        <x:v>상세공고 확인</x:v>
      </x:c>
      <x:c r="P282" s="17" t="str">
        <x:v>상세공고 확인</x:v>
      </x:c>
      <x:c r="Q282" s="17" t="str">
        <x:v>상세공고 확인</x:v>
      </x:c>
      <x:c r="R282" s="17" t="str">
        <x:v>상세공고 확인</x:v>
      </x:c>
      <x:c r="S282" s="17" t="str">
        <x:v>상세공고 확인</x:v>
      </x:c>
      <x:c r="T282" s="17" t="str">
        <x:v>상세공고 확인</x:v>
      </x:c>
      <x:c r="U282" s="17" t="str">
        <x:v>상세공고 확인</x:v>
      </x:c>
      <x:c r="V282" s="17" t="str">
        <x:v>목록 항목 확인</x:v>
      </x:c>
      <x:c r="W282" s="17" t="str">
        <x:v>공고 상세에서 확인</x:v>
      </x:c>
      <x:c r="X282" s="18" t="str">
        <x:v>https://job.alio.go.kr/recruitview.do?idx=304449</x:v>
      </x:c>
      <x:c r="Y282" s="1"/>
      <x:c r="Z282" s="1"/>
    </x:row>
    <x:row r="283" ht="54" customHeight="1">
      <x:c r="A283" s="17" t="n">
        <x:v>141</x:v>
      </x:c>
      <x:c r="B283" s="17" t="str">
        <x:v>정보통신정책연구원</x:v>
      </x:c>
      <x:c r="C283" s="17" t="str">
        <x:v>2026년 계약직연구원 공개채용(지능정보사회 정책연구)</x:v>
      </x:c>
      <x:c r="D283" s="17" t="str">
        <x:v>충북</x:v>
      </x:c>
      <x:c r="E283" s="17" t="str">
        <x:v>비정규직</x:v>
      </x:c>
      <x:c r="F283" s="17" t="str">
        <x:v>2026.09.01</x:v>
      </x:c>
      <x:c r="G283" s="17" t="str">
        <x:v>26.09.16 D-7</x:v>
      </x:c>
      <x:c r="H283" s="17" t="str">
        <x:v>기간제·비정규</x:v>
      </x:c>
      <x:c r="I283" s="17" t="str">
        <x:v>세부조건 확인</x:v>
      </x:c>
      <x:c r="J283" s="17" t="str">
        <x:v>제한 문구 미탐지</x:v>
      </x:c>
      <x:c r="K283" s="17" t="str">
        <x:v>상세공고 확인</x:v>
      </x:c>
      <x:c r="L283" s="17" t="str">
        <x:v>상세공고 확인</x:v>
      </x:c>
      <x:c r="M283" s="17" t="str">
        <x:v>상세공고 확인</x:v>
      </x:c>
      <x:c r="N283" s="17" t="str">
        <x:v>상세공고 확인</x:v>
      </x:c>
      <x:c r="O283" s="17" t="str">
        <x:v>상세공고 확인</x:v>
      </x:c>
      <x:c r="P283" s="17" t="str">
        <x:v>상세공고 확인</x:v>
      </x:c>
      <x:c r="Q283" s="17" t="str">
        <x:v>상세공고 확인</x:v>
      </x:c>
      <x:c r="R283" s="17" t="str">
        <x:v>상세공고 확인</x:v>
      </x:c>
      <x:c r="S283" s="17" t="str">
        <x:v>상세공고 확인</x:v>
      </x:c>
      <x:c r="T283" s="17" t="str">
        <x:v>상세공고 확인</x:v>
      </x:c>
      <x:c r="U283" s="17" t="str">
        <x:v>상세공고 확인</x:v>
      </x:c>
      <x:c r="V283" s="17" t="str">
        <x:v>목록 항목 확인</x:v>
      </x:c>
      <x:c r="W283" s="17" t="str">
        <x:v>공고 상세에서 확인</x:v>
      </x:c>
      <x:c r="X283" s="18" t="str">
        <x:v>https://job.alio.go.kr/recruitview.do?idx=304448</x:v>
      </x:c>
      <x:c r="Y283" s="1"/>
      <x:c r="Z283" s="1"/>
    </x:row>
    <x:row r="284" ht="54" customHeight="1">
      <x:c r="A284" s="17" t="n">
        <x:v>140</x:v>
      </x:c>
      <x:c r="B284" s="17" t="str">
        <x:v>충북대학교병원</x:v>
      </x:c>
      <x:c r="C284" s="17" t="str">
        <x:v>2026년 9월 충북대학교병원 기간제근무자 모집 공고</x:v>
      </x:c>
      <x:c r="D284" s="17" t="str">
        <x:v>충북</x:v>
      </x:c>
      <x:c r="E284" s="17" t="str">
        <x:v>비정규직</x:v>
      </x:c>
      <x:c r="F284" s="17" t="str">
        <x:v>2026.09.01</x:v>
      </x:c>
      <x:c r="G284" s="17" t="str">
        <x:v>26.09.15 D-6</x:v>
      </x:c>
      <x:c r="H284" s="17" t="str">
        <x:v>기간제·비정규</x:v>
      </x:c>
      <x:c r="I284" s="17" t="str">
        <x:v>세부조건 확인</x:v>
      </x:c>
      <x:c r="J284" s="17" t="str">
        <x:v>제한 문구 미탐지</x:v>
      </x:c>
      <x:c r="K284" s="17" t="str">
        <x:v>상세공고 확인</x:v>
      </x:c>
      <x:c r="L284" s="17" t="str">
        <x:v>상세공고 확인</x:v>
      </x:c>
      <x:c r="M284" s="17" t="str">
        <x:v>상세공고 확인</x:v>
      </x:c>
      <x:c r="N284" s="17" t="str">
        <x:v>상세공고 확인</x:v>
      </x:c>
      <x:c r="O284" s="17" t="str">
        <x:v>상세공고 확인</x:v>
      </x:c>
      <x:c r="P284" s="17" t="str">
        <x:v>상세공고 확인</x:v>
      </x:c>
      <x:c r="Q284" s="17" t="str">
        <x:v>상세공고 확인</x:v>
      </x:c>
      <x:c r="R284" s="17" t="str">
        <x:v>상세공고 확인</x:v>
      </x:c>
      <x:c r="S284" s="17" t="str">
        <x:v>상세공고 확인</x:v>
      </x:c>
      <x:c r="T284" s="17" t="str">
        <x:v>상세공고 확인</x:v>
      </x:c>
      <x:c r="U284" s="17" t="str">
        <x:v>상세공고 확인</x:v>
      </x:c>
      <x:c r="V284" s="17" t="str">
        <x:v>목록 항목 확인</x:v>
      </x:c>
      <x:c r="W284" s="17" t="str">
        <x:v>공고 상세에서 확인</x:v>
      </x:c>
      <x:c r="X284" s="18" t="str">
        <x:v>https://job.alio.go.kr/recruitview.do?idx=304445</x:v>
      </x:c>
      <x:c r="Y284" s="1"/>
      <x:c r="Z284" s="1"/>
    </x:row>
    <x:row r="285" ht="54" customHeight="1">
      <x:c r="A285" s="17" t="n">
        <x:v>139</x:v>
      </x:c>
      <x:c r="B285" s="17" t="str">
        <x:v>한국농어촌공사</x:v>
      </x:c>
      <x:c r="C285" s="17" t="str">
        <x:v>한국농어촌공사 전문계약직(건축사) 채용 공고</x:v>
      </x:c>
      <x:c r="D285" s="17" t="str">
        <x:v>전남광주</x:v>
      </x:c>
      <x:c r="E285" s="17" t="str">
        <x:v>비정규직</x:v>
      </x:c>
      <x:c r="F285" s="17" t="str">
        <x:v>2026.09.01</x:v>
      </x:c>
      <x:c r="G285" s="17" t="str">
        <x:v>26.09.16 D-7</x:v>
      </x:c>
      <x:c r="H285" s="17" t="str">
        <x:v>기간제·비정규</x:v>
      </x:c>
      <x:c r="I285" s="17" t="str">
        <x:v>세부조건 확인</x:v>
      </x:c>
      <x:c r="J285" s="17" t="str">
        <x:v>제한 문구 미탐지</x:v>
      </x:c>
      <x:c r="K285" s="17" t="str">
        <x:v>상세공고 확인</x:v>
      </x:c>
      <x:c r="L285" s="17" t="str">
        <x:v>상세공고 확인</x:v>
      </x:c>
      <x:c r="M285" s="17" t="str">
        <x:v>상세공고 확인</x:v>
      </x:c>
      <x:c r="N285" s="17" t="str">
        <x:v>상세공고 확인</x:v>
      </x:c>
      <x:c r="O285" s="17" t="str">
        <x:v>상세공고 확인</x:v>
      </x:c>
      <x:c r="P285" s="17" t="str">
        <x:v>상세공고 확인</x:v>
      </x:c>
      <x:c r="Q285" s="17" t="str">
        <x:v>상세공고 확인</x:v>
      </x:c>
      <x:c r="R285" s="17" t="str">
        <x:v>상세공고 확인</x:v>
      </x:c>
      <x:c r="S285" s="17" t="str">
        <x:v>상세공고 확인</x:v>
      </x:c>
      <x:c r="T285" s="17" t="str">
        <x:v>상세공고 확인</x:v>
      </x:c>
      <x:c r="U285" s="17" t="str">
        <x:v>상세공고 확인</x:v>
      </x:c>
      <x:c r="V285" s="17" t="str">
        <x:v>목록 항목 확인</x:v>
      </x:c>
      <x:c r="W285" s="17" t="str">
        <x:v>공고 상세에서 확인</x:v>
      </x:c>
      <x:c r="X285" s="18" t="str">
        <x:v>https://job.alio.go.kr/recruitview.do?idx=304444</x:v>
      </x:c>
      <x:c r="Y285" s="1"/>
      <x:c r="Z285" s="1"/>
    </x:row>
    <x:row r="286" ht="54" customHeight="1">
      <x:c r="A286" s="17" t="n">
        <x:v>138</x:v>
      </x:c>
      <x:c r="B286" s="17" t="str">
        <x:v>학교법인한국폴리텍</x:v>
      </x:c>
      <x:c r="C286" s="17" t="str">
        <x:v>한국폴리텍 다솜고등학교 업무직(대학운영직_조리원)채용 공고(7차)</x:v>
      </x:c>
      <x:c r="D286" s="17" t="str">
        <x:v>충북</x:v>
      </x:c>
      <x:c r="E286" s="17" t="str">
        <x:v>무기계약직</x:v>
      </x:c>
      <x:c r="F286" s="17" t="str">
        <x:v>2026.09.01</x:v>
      </x:c>
      <x:c r="G286" s="17" t="str">
        <x:v>26.09.10 D-1</x:v>
      </x:c>
      <x:c r="H286" s="17" t="str">
        <x:v>무기계약·공무직</x:v>
      </x:c>
      <x:c r="I286" s="17" t="str">
        <x:v>세부조건 확인</x:v>
      </x:c>
      <x:c r="J286" s="17" t="str">
        <x:v>제한 문구 미탐지</x:v>
      </x:c>
      <x:c r="K286" s="17" t="str">
        <x:v>상세공고 확인</x:v>
      </x:c>
      <x:c r="L286" s="17" t="str">
        <x:v>상세공고 확인</x:v>
      </x:c>
      <x:c r="M286" s="17" t="str">
        <x:v>상세공고 확인</x:v>
      </x:c>
      <x:c r="N286" s="17" t="str">
        <x:v>상세공고 확인</x:v>
      </x:c>
      <x:c r="O286" s="17" t="str">
        <x:v>상세공고 확인</x:v>
      </x:c>
      <x:c r="P286" s="17" t="str">
        <x:v>상세공고 확인</x:v>
      </x:c>
      <x:c r="Q286" s="17" t="str">
        <x:v>상세공고 확인</x:v>
      </x:c>
      <x:c r="R286" s="17" t="str">
        <x:v>상세공고 확인</x:v>
      </x:c>
      <x:c r="S286" s="17" t="str">
        <x:v>상세공고 확인</x:v>
      </x:c>
      <x:c r="T286" s="17" t="str">
        <x:v>상세공고 확인</x:v>
      </x:c>
      <x:c r="U286" s="17" t="str">
        <x:v>상세공고 확인</x:v>
      </x:c>
      <x:c r="V286" s="17" t="str">
        <x:v>목록 항목 확인</x:v>
      </x:c>
      <x:c r="W286" s="17" t="str">
        <x:v>공고 상세에서 확인</x:v>
      </x:c>
      <x:c r="X286" s="18" t="str">
        <x:v>https://job.alio.go.kr/recruitview.do?idx=304443</x:v>
      </x:c>
      <x:c r="Y286" s="1"/>
      <x:c r="Z286" s="1"/>
    </x:row>
    <x:row r="287" ht="54" customHeight="1">
      <x:c r="A287" s="17" t="n">
        <x:v>137</x:v>
      </x:c>
      <x:c r="B287" s="17" t="str">
        <x:v>국립중앙의료원</x:v>
      </x:c>
      <x:c r="C287" s="17" t="str">
        <x:v>의사직 및 계약직 전문의 채용 공고(응급의학과, 정신건강의학과)</x:v>
      </x:c>
      <x:c r="D287" s="17" t="str">
        <x:v>서울</x:v>
      </x:c>
      <x:c r="E287" s="17" t="str">
        <x:v>비정규직 외 1</x:v>
      </x:c>
      <x:c r="F287" s="17" t="str">
        <x:v>2026.09.01</x:v>
      </x:c>
      <x:c r="G287" s="17" t="str">
        <x:v>26.09.16 D-7</x:v>
      </x:c>
      <x:c r="H287" s="17" t="str">
        <x:v>경력·전문직</x:v>
      </x:c>
      <x:c r="I287" s="17" t="str">
        <x:v>경력·전문 우선</x:v>
      </x:c>
      <x:c r="J287" s="17" t="str">
        <x:v>제한 문구 미탐지</x:v>
      </x:c>
      <x:c r="K287" s="17" t="str">
        <x:v>상세공고 확인</x:v>
      </x:c>
      <x:c r="L287" s="17" t="str">
        <x:v>상세공고 확인</x:v>
      </x:c>
      <x:c r="M287" s="17" t="str">
        <x:v>상세공고 확인</x:v>
      </x:c>
      <x:c r="N287" s="17" t="str">
        <x:v>상세공고 확인</x:v>
      </x:c>
      <x:c r="O287" s="17" t="str">
        <x:v>상세공고 확인</x:v>
      </x:c>
      <x:c r="P287" s="17" t="str">
        <x:v>상세공고 확인</x:v>
      </x:c>
      <x:c r="Q287" s="17" t="str">
        <x:v>상세공고 확인</x:v>
      </x:c>
      <x:c r="R287" s="17" t="str">
        <x:v>상세공고 확인</x:v>
      </x:c>
      <x:c r="S287" s="17" t="str">
        <x:v>상세공고 확인</x:v>
      </x:c>
      <x:c r="T287" s="17" t="str">
        <x:v>상세공고 확인</x:v>
      </x:c>
      <x:c r="U287" s="17" t="str">
        <x:v>상세공고 확인</x:v>
      </x:c>
      <x:c r="V287" s="17" t="str">
        <x:v>목록 항목 확인</x:v>
      </x:c>
      <x:c r="W287" s="17" t="str">
        <x:v>공고 상세에서 확인</x:v>
      </x:c>
      <x:c r="X287" s="18" t="str">
        <x:v>https://job.alio.go.kr/recruitview.do?idx=304436</x:v>
      </x:c>
      <x:c r="Y287" s="1"/>
      <x:c r="Z287" s="1"/>
    </x:row>
    <x:row r="288" ht="54" customHeight="1">
      <x:c r="A288" s="17" t="n">
        <x:v>136</x:v>
      </x:c>
      <x:c r="B288" s="17" t="str">
        <x:v>동남권원자력의학원</x:v>
      </x:c>
      <x:c r="C288" s="17" t="str">
        <x:v>2026년 제1차 동남권원자력의학원 직원채용 공고</x:v>
      </x:c>
      <x:c r="D288" s="17" t="str">
        <x:v>부산</x:v>
      </x:c>
      <x:c r="E288" s="17" t="str">
        <x:v>비정규직</x:v>
      </x:c>
      <x:c r="F288" s="17" t="str">
        <x:v>2026.09.01</x:v>
      </x:c>
      <x:c r="G288" s="17" t="str">
        <x:v>26.09.14 D-5</x:v>
      </x:c>
      <x:c r="H288" s="17" t="str">
        <x:v>기간제·비정규</x:v>
      </x:c>
      <x:c r="I288" s="17" t="str">
        <x:v>세부조건 확인</x:v>
      </x:c>
      <x:c r="J288" s="17" t="str">
        <x:v>제한 문구 미탐지</x:v>
      </x:c>
      <x:c r="K288" s="17" t="str">
        <x:v>상세공고 확인</x:v>
      </x:c>
      <x:c r="L288" s="17" t="str">
        <x:v>상세공고 확인</x:v>
      </x:c>
      <x:c r="M288" s="17" t="str">
        <x:v>상세공고 확인</x:v>
      </x:c>
      <x:c r="N288" s="17" t="str">
        <x:v>상세공고 확인</x:v>
      </x:c>
      <x:c r="O288" s="17" t="str">
        <x:v>상세공고 확인</x:v>
      </x:c>
      <x:c r="P288" s="17" t="str">
        <x:v>상세공고 확인</x:v>
      </x:c>
      <x:c r="Q288" s="17" t="str">
        <x:v>상세공고 확인</x:v>
      </x:c>
      <x:c r="R288" s="17" t="str">
        <x:v>상세공고 확인</x:v>
      </x:c>
      <x:c r="S288" s="17" t="str">
        <x:v>상세공고 확인</x:v>
      </x:c>
      <x:c r="T288" s="17" t="str">
        <x:v>상세공고 확인</x:v>
      </x:c>
      <x:c r="U288" s="17" t="str">
        <x:v>상세공고 확인</x:v>
      </x:c>
      <x:c r="V288" s="17" t="str">
        <x:v>목록 항목 확인</x:v>
      </x:c>
      <x:c r="W288" s="17" t="str">
        <x:v>공고 상세에서 확인</x:v>
      </x:c>
      <x:c r="X288" s="18" t="str">
        <x:v>https://job.alio.go.kr/recruitview.do?idx=304435</x:v>
      </x:c>
      <x:c r="Y288" s="1"/>
      <x:c r="Z288" s="1"/>
    </x:row>
    <x:row r="289" ht="54" customHeight="1">
      <x:c r="A289" s="17" t="n">
        <x:v>135</x:v>
      </x:c>
      <x:c r="B289" s="17" t="str">
        <x:v>기초과학연구원</x:v>
      </x:c>
      <x:c r="C289" s="17" t="str">
        <x:v>2026-3 Recruitment Announce for Senior Researcher and Postdoctoral Research Associate Positions at the Center for Exotic Nuclear Studies</x:v>
      </x:c>
      <x:c r="D289" s="17" t="str">
        <x:v>대전</x:v>
      </x:c>
      <x:c r="E289" s="17" t="str">
        <x:v>비정규직</x:v>
      </x:c>
      <x:c r="F289" s="17" t="str">
        <x:v>2026.09.01</x:v>
      </x:c>
      <x:c r="G289" s="17" t="str">
        <x:v>26.09.16 D-7</x:v>
      </x:c>
      <x:c r="H289" s="17" t="str">
        <x:v>기간제·비정규</x:v>
      </x:c>
      <x:c r="I289" s="17" t="str">
        <x:v>세부조건 확인</x:v>
      </x:c>
      <x:c r="J289" s="17" t="str">
        <x:v>제한 문구 미탐지</x:v>
      </x:c>
      <x:c r="K289" s="17" t="str">
        <x:v>상세공고 확인</x:v>
      </x:c>
      <x:c r="L289" s="17" t="str">
        <x:v>상세공고 확인</x:v>
      </x:c>
      <x:c r="M289" s="17" t="str">
        <x:v>상세공고 확인</x:v>
      </x:c>
      <x:c r="N289" s="17" t="str">
        <x:v>상세공고 확인</x:v>
      </x:c>
      <x:c r="O289" s="17" t="str">
        <x:v>상세공고 확인</x:v>
      </x:c>
      <x:c r="P289" s="17" t="str">
        <x:v>상세공고 확인</x:v>
      </x:c>
      <x:c r="Q289" s="17" t="str">
        <x:v>상세공고 확인</x:v>
      </x:c>
      <x:c r="R289" s="17" t="str">
        <x:v>상세공고 확인</x:v>
      </x:c>
      <x:c r="S289" s="17" t="str">
        <x:v>상세공고 확인</x:v>
      </x:c>
      <x:c r="T289" s="17" t="str">
        <x:v>상세공고 확인</x:v>
      </x:c>
      <x:c r="U289" s="17" t="str">
        <x:v>상세공고 확인</x:v>
      </x:c>
      <x:c r="V289" s="17" t="str">
        <x:v>목록 항목 확인</x:v>
      </x:c>
      <x:c r="W289" s="17" t="str">
        <x:v>공고 상세에서 확인</x:v>
      </x:c>
      <x:c r="X289" s="18" t="str">
        <x:v>https://job.alio.go.kr/recruitview.do?idx=304418</x:v>
      </x:c>
      <x:c r="Y289" s="1"/>
      <x:c r="Z289" s="1"/>
    </x:row>
    <x:row r="290" ht="54" customHeight="1">
      <x:c r="A290" s="17" t="n">
        <x:v>134</x:v>
      </x:c>
      <x:c r="B290" s="17" t="str">
        <x:v>한전KDN</x:v>
      </x:c>
      <x:c r="C290" s="17" t="str">
        <x:v>한전KDN(주) 광주전남본부 AMI분야 비정규직 모집공고</x:v>
      </x:c>
      <x:c r="D290" s="17" t="str">
        <x:v>전남광주</x:v>
      </x:c>
      <x:c r="E290" s="17" t="str">
        <x:v>비정규직</x:v>
      </x:c>
      <x:c r="F290" s="17" t="str">
        <x:v>2026.09.01</x:v>
      </x:c>
      <x:c r="G290" s="17" t="str">
        <x:v>26.09.15 D-6</x:v>
      </x:c>
      <x:c r="H290" s="17" t="str">
        <x:v>기간제·비정규</x:v>
      </x:c>
      <x:c r="I290" s="17" t="str">
        <x:v>세부조건 확인</x:v>
      </x:c>
      <x:c r="J290" s="17" t="str">
        <x:v>제한 문구 미탐지</x:v>
      </x:c>
      <x:c r="K290" s="17" t="str">
        <x:v>상세공고 확인</x:v>
      </x:c>
      <x:c r="L290" s="17" t="str">
        <x:v>상세공고 확인</x:v>
      </x:c>
      <x:c r="M290" s="17" t="str">
        <x:v>상세공고 확인</x:v>
      </x:c>
      <x:c r="N290" s="17" t="str">
        <x:v>상세공고 확인</x:v>
      </x:c>
      <x:c r="O290" s="17" t="str">
        <x:v>상세공고 확인</x:v>
      </x:c>
      <x:c r="P290" s="17" t="str">
        <x:v>상세공고 확인</x:v>
      </x:c>
      <x:c r="Q290" s="17" t="str">
        <x:v>상세공고 확인</x:v>
      </x:c>
      <x:c r="R290" s="17" t="str">
        <x:v>상세공고 확인</x:v>
      </x:c>
      <x:c r="S290" s="17" t="str">
        <x:v>상세공고 확인</x:v>
      </x:c>
      <x:c r="T290" s="17" t="str">
        <x:v>상세공고 확인</x:v>
      </x:c>
      <x:c r="U290" s="17" t="str">
        <x:v>상세공고 확인</x:v>
      </x:c>
      <x:c r="V290" s="17" t="str">
        <x:v>목록 항목 확인</x:v>
      </x:c>
      <x:c r="W290" s="17" t="str">
        <x:v>공고 상세에서 확인</x:v>
      </x:c>
      <x:c r="X290" s="18" t="str">
        <x:v>https://job.alio.go.kr/recruitview.do?idx=304414</x:v>
      </x:c>
      <x:c r="Y290" s="1"/>
      <x:c r="Z290" s="1"/>
    </x:row>
    <x:row r="291" ht="54" customHeight="1">
      <x:c r="A291" s="17" t="n">
        <x:v>133</x:v>
      </x:c>
      <x:c r="B291" s="17" t="str">
        <x:v>한국법무보호복지공단</x:v>
      </x:c>
      <x:c r="C291" s="17" t="str">
        <x:v>2026년 한국법무보호복지공단 울산지부 심리상담직(육아휴직대체직) 경력경쟁채용시험 공고</x:v>
      </x:c>
      <x:c r="D291" s="17" t="str">
        <x:v>울산</x:v>
      </x:c>
      <x:c r="E291" s="17" t="str">
        <x:v>비정규직</x:v>
      </x:c>
      <x:c r="F291" s="17" t="str">
        <x:v>2026.09.01</x:v>
      </x:c>
      <x:c r="G291" s="17" t="str">
        <x:v>26.09.16 D-7</x:v>
      </x:c>
      <x:c r="H291" s="17" t="str">
        <x:v>제한경쟁·조건부</x:v>
      </x:c>
      <x:c r="I291" s="17" t="str">
        <x:v>조건 충족자만</x:v>
      </x:c>
      <x:c r="J291" s="17" t="str">
        <x:v>제한경쟁</x:v>
      </x:c>
      <x:c r="K291" s="17" t="str">
        <x:v>상세공고 확인</x:v>
      </x:c>
      <x:c r="L291" s="17" t="str">
        <x:v>상세공고 확인</x:v>
      </x:c>
      <x:c r="M291" s="17" t="str">
        <x:v>상세공고 확인</x:v>
      </x:c>
      <x:c r="N291" s="17" t="str">
        <x:v>상세공고 확인</x:v>
      </x:c>
      <x:c r="O291" s="17" t="str">
        <x:v>상세공고 확인</x:v>
      </x:c>
      <x:c r="P291" s="17" t="str">
        <x:v>상세공고 확인</x:v>
      </x:c>
      <x:c r="Q291" s="17" t="str">
        <x:v>상세공고 확인</x:v>
      </x:c>
      <x:c r="R291" s="17" t="str">
        <x:v>상세공고 확인</x:v>
      </x:c>
      <x:c r="S291" s="17" t="str">
        <x:v>상세공고 확인</x:v>
      </x:c>
      <x:c r="T291" s="17" t="str">
        <x:v>상세공고 확인</x:v>
      </x:c>
      <x:c r="U291" s="17" t="str">
        <x:v>상세공고 확인</x:v>
      </x:c>
      <x:c r="V291" s="17" t="str">
        <x:v>목록 항목 확인</x:v>
      </x:c>
      <x:c r="W291" s="17" t="str">
        <x:v>공고 상세에서 확인</x:v>
      </x:c>
      <x:c r="X291" s="18" t="str">
        <x:v>https://job.alio.go.kr/recruitview.do?idx=304409</x:v>
      </x:c>
      <x:c r="Y291" s="1"/>
      <x:c r="Z291" s="1"/>
    </x:row>
    <x:row r="292" ht="54" customHeight="1">
      <x:c r="A292" s="17" t="n">
        <x:v>132</x:v>
      </x:c>
      <x:c r="B292" s="17" t="str">
        <x:v>한국법무보호복지공단</x:v>
      </x:c>
      <x:c r="C292" s="17" t="str">
        <x:v>2026년 한국법무보호복지공단 광주지부 육아휴직대체직(취업지원직) 경력경쟁채용 시험 공고</x:v>
      </x:c>
      <x:c r="D292" s="17" t="str">
        <x:v>전남광주</x:v>
      </x:c>
      <x:c r="E292" s="17" t="str">
        <x:v>비정규직</x:v>
      </x:c>
      <x:c r="F292" s="17" t="str">
        <x:v>2026.09.01</x:v>
      </x:c>
      <x:c r="G292" s="17" t="str">
        <x:v>26.09.16 D-7</x:v>
      </x:c>
      <x:c r="H292" s="17" t="str">
        <x:v>제한경쟁·조건부</x:v>
      </x:c>
      <x:c r="I292" s="17" t="str">
        <x:v>조건 충족자만</x:v>
      </x:c>
      <x:c r="J292" s="17" t="str">
        <x:v>제한경쟁</x:v>
      </x:c>
      <x:c r="K292" s="17" t="str">
        <x:v>상세공고 확인</x:v>
      </x:c>
      <x:c r="L292" s="17" t="str">
        <x:v>상세공고 확인</x:v>
      </x:c>
      <x:c r="M292" s="17" t="str">
        <x:v>상세공고 확인</x:v>
      </x:c>
      <x:c r="N292" s="17" t="str">
        <x:v>상세공고 확인</x:v>
      </x:c>
      <x:c r="O292" s="17" t="str">
        <x:v>상세공고 확인</x:v>
      </x:c>
      <x:c r="P292" s="17" t="str">
        <x:v>상세공고 확인</x:v>
      </x:c>
      <x:c r="Q292" s="17" t="str">
        <x:v>상세공고 확인</x:v>
      </x:c>
      <x:c r="R292" s="17" t="str">
        <x:v>상세공고 확인</x:v>
      </x:c>
      <x:c r="S292" s="17" t="str">
        <x:v>상세공고 확인</x:v>
      </x:c>
      <x:c r="T292" s="17" t="str">
        <x:v>상세공고 확인</x:v>
      </x:c>
      <x:c r="U292" s="17" t="str">
        <x:v>상세공고 확인</x:v>
      </x:c>
      <x:c r="V292" s="17" t="str">
        <x:v>목록 항목 확인</x:v>
      </x:c>
      <x:c r="W292" s="17" t="str">
        <x:v>공고 상세에서 확인</x:v>
      </x:c>
      <x:c r="X292" s="18" t="str">
        <x:v>https://job.alio.go.kr/recruitview.do?idx=304408</x:v>
      </x:c>
      <x:c r="Y292" s="1"/>
      <x:c r="Z292" s="1"/>
    </x:row>
    <x:row r="293" ht="54" customHeight="1">
      <x:c r="A293" s="17" t="n">
        <x:v>131</x:v>
      </x:c>
      <x:c r="B293" s="17" t="str">
        <x:v>한국의료기기안전정보원</x:v>
      </x:c>
      <x:c r="C293" s="17" t="str">
        <x:v>2026년 제3차 한국의료기기안전정보원 직원(기간제 근로자) 채용공고</x:v>
      </x:c>
      <x:c r="D293" s="17" t="str">
        <x:v>서울</x:v>
      </x:c>
      <x:c r="E293" s="17" t="str">
        <x:v>비정규직</x:v>
      </x:c>
      <x:c r="F293" s="17" t="str">
        <x:v>2026.09.01</x:v>
      </x:c>
      <x:c r="G293" s="17" t="str">
        <x:v>26.09.16 D-7</x:v>
      </x:c>
      <x:c r="H293" s="17" t="str">
        <x:v>기간제·비정규</x:v>
      </x:c>
      <x:c r="I293" s="17" t="str">
        <x:v>세부조건 확인</x:v>
      </x:c>
      <x:c r="J293" s="17" t="str">
        <x:v>제한 문구 미탐지</x:v>
      </x:c>
      <x:c r="K293" s="17" t="str">
        <x:v>상세공고 확인</x:v>
      </x:c>
      <x:c r="L293" s="17" t="str">
        <x:v>상세공고 확인</x:v>
      </x:c>
      <x:c r="M293" s="17" t="str">
        <x:v>상세공고 확인</x:v>
      </x:c>
      <x:c r="N293" s="17" t="str">
        <x:v>상세공고 확인</x:v>
      </x:c>
      <x:c r="O293" s="17" t="str">
        <x:v>상세공고 확인</x:v>
      </x:c>
      <x:c r="P293" s="17" t="str">
        <x:v>상세공고 확인</x:v>
      </x:c>
      <x:c r="Q293" s="17" t="str">
        <x:v>상세공고 확인</x:v>
      </x:c>
      <x:c r="R293" s="17" t="str">
        <x:v>상세공고 확인</x:v>
      </x:c>
      <x:c r="S293" s="17" t="str">
        <x:v>상세공고 확인</x:v>
      </x:c>
      <x:c r="T293" s="17" t="str">
        <x:v>상세공고 확인</x:v>
      </x:c>
      <x:c r="U293" s="17" t="str">
        <x:v>상세공고 확인</x:v>
      </x:c>
      <x:c r="V293" s="17" t="str">
        <x:v>목록 항목 확인</x:v>
      </x:c>
      <x:c r="W293" s="17" t="str">
        <x:v>공고 상세에서 확인</x:v>
      </x:c>
      <x:c r="X293" s="18" t="str">
        <x:v>https://job.alio.go.kr/recruitview.do?idx=304387</x:v>
      </x:c>
      <x:c r="Y293" s="1"/>
      <x:c r="Z293" s="1"/>
    </x:row>
    <x:row r="294" ht="54" customHeight="1">
      <x:c r="A294" s="17" t="n">
        <x:v>130</x:v>
      </x:c>
      <x:c r="B294" s="17" t="str">
        <x:v>한국수력원자력(주)</x:v>
      </x:c>
      <x:c r="C294" s="17" t="str">
        <x:v>2026년도 무주양수발전소 기간제근로자(영양사) 채용</x:v>
      </x:c>
      <x:c r="D294" s="17" t="str">
        <x:v>전북</x:v>
      </x:c>
      <x:c r="E294" s="17" t="str">
        <x:v>비정규직</x:v>
      </x:c>
      <x:c r="F294" s="17" t="str">
        <x:v>2026.09.01</x:v>
      </x:c>
      <x:c r="G294" s="17" t="str">
        <x:v>26.09.16 D-7</x:v>
      </x:c>
      <x:c r="H294" s="17" t="str">
        <x:v>기간제·비정규</x:v>
      </x:c>
      <x:c r="I294" s="17" t="str">
        <x:v>세부조건 확인</x:v>
      </x:c>
      <x:c r="J294" s="17" t="str">
        <x:v>제한 문구 미탐지</x:v>
      </x:c>
      <x:c r="K294" s="17" t="str">
        <x:v>상세공고 확인</x:v>
      </x:c>
      <x:c r="L294" s="17" t="str">
        <x:v>상세공고 확인</x:v>
      </x:c>
      <x:c r="M294" s="17" t="str">
        <x:v>상세공고 확인</x:v>
      </x:c>
      <x:c r="N294" s="17" t="str">
        <x:v>상세공고 확인</x:v>
      </x:c>
      <x:c r="O294" s="17" t="str">
        <x:v>상세공고 확인</x:v>
      </x:c>
      <x:c r="P294" s="17" t="str">
        <x:v>상세공고 확인</x:v>
      </x:c>
      <x:c r="Q294" s="17" t="str">
        <x:v>상세공고 확인</x:v>
      </x:c>
      <x:c r="R294" s="17" t="str">
        <x:v>상세공고 확인</x:v>
      </x:c>
      <x:c r="S294" s="17" t="str">
        <x:v>상세공고 확인</x:v>
      </x:c>
      <x:c r="T294" s="17" t="str">
        <x:v>상세공고 확인</x:v>
      </x:c>
      <x:c r="U294" s="17" t="str">
        <x:v>상세공고 확인</x:v>
      </x:c>
      <x:c r="V294" s="17" t="str">
        <x:v>목록 항목 확인</x:v>
      </x:c>
      <x:c r="W294" s="17" t="str">
        <x:v>공고 상세에서 확인</x:v>
      </x:c>
      <x:c r="X294" s="18" t="str">
        <x:v>https://job.alio.go.kr/recruitview.do?idx=304358</x:v>
      </x:c>
      <x:c r="Y294" s="1"/>
      <x:c r="Z294" s="1"/>
    </x:row>
    <x:row r="295" ht="54" customHeight="1">
      <x:c r="A295" s="17" t="n">
        <x:v>129</x:v>
      </x:c>
      <x:c r="B295" s="17" t="str">
        <x:v>한국중부발전(주)</x:v>
      </x:c>
      <x:c r="C295" s="17" t="str">
        <x:v>2026년도 3차 체험형 인턴 채용공고</x:v>
      </x:c>
      <x:c r="D295" s="17" t="str">
        <x:v>서울 외 5</x:v>
      </x:c>
      <x:c r="E295" s="17" t="str">
        <x:v>청년인턴(체험형)</x:v>
      </x:c>
      <x:c r="F295" s="17" t="str">
        <x:v>2026.09.01</x:v>
      </x:c>
      <x:c r="G295" s="17" t="str">
        <x:v>26.09.16 D-7</x:v>
      </x:c>
      <x:c r="H295" s="17" t="str">
        <x:v>체험형·청년인턴</x:v>
      </x:c>
      <x:c r="I295" s="17" t="str">
        <x:v>우선검토</x:v>
      </x:c>
      <x:c r="J295" s="17" t="str">
        <x:v>제한 문구 미탐지</x:v>
      </x:c>
      <x:c r="K295" s="17" t="str">
        <x:v>상세공고 확인</x:v>
      </x:c>
      <x:c r="L295" s="17" t="str">
        <x:v>상세공고 확인</x:v>
      </x:c>
      <x:c r="M295" s="17" t="str">
        <x:v>상세공고 확인</x:v>
      </x:c>
      <x:c r="N295" s="17" t="str">
        <x:v>상세공고 확인</x:v>
      </x:c>
      <x:c r="O295" s="17" t="str">
        <x:v>상세공고 확인</x:v>
      </x:c>
      <x:c r="P295" s="17" t="str">
        <x:v>상세공고 확인</x:v>
      </x:c>
      <x:c r="Q295" s="17" t="str">
        <x:v>상세공고 확인</x:v>
      </x:c>
      <x:c r="R295" s="17" t="str">
        <x:v>상세공고 확인</x:v>
      </x:c>
      <x:c r="S295" s="17" t="str">
        <x:v>상세공고 확인</x:v>
      </x:c>
      <x:c r="T295" s="17" t="str">
        <x:v>상세공고 확인</x:v>
      </x:c>
      <x:c r="U295" s="17" t="str">
        <x:v>상세공고 확인</x:v>
      </x:c>
      <x:c r="V295" s="17" t="str">
        <x:v>목록 항목 확인</x:v>
      </x:c>
      <x:c r="W295" s="17" t="str">
        <x:v>공고 상세에서 확인</x:v>
      </x:c>
      <x:c r="X295" s="18" t="str">
        <x:v>https://job.alio.go.kr/recruitview.do?idx=304055</x:v>
      </x:c>
      <x:c r="Y295" s="1"/>
      <x:c r="Z295" s="1"/>
    </x:row>
    <x:row r="296" ht="54" customHeight="1">
      <x:c r="A296" s="17" t="n">
        <x:v>128</x:v>
      </x:c>
      <x:c r="B296" s="17" t="str">
        <x:v>(재)우체국물류지원단</x:v>
      </x:c>
      <x:c r="C296" s="17" t="str">
        <x:v>우체국물류지원단 서울지사 동서울·의정부·성남·원주·강릉 사업소 추석 특별소통 단기 기간제(운전직, 운송직) 채용 공고</x:v>
      </x:c>
      <x:c r="D296" s="17" t="str">
        <x:v>서울 외 2</x:v>
      </x:c>
      <x:c r="E296" s="17" t="str">
        <x:v>비정규직</x:v>
      </x:c>
      <x:c r="F296" s="17" t="str">
        <x:v>2026.08.31</x:v>
      </x:c>
      <x:c r="G296" s="17" t="str">
        <x:v>26.09.10 D-1</x:v>
      </x:c>
      <x:c r="H296" s="17" t="str">
        <x:v>기간제·비정규</x:v>
      </x:c>
      <x:c r="I296" s="17" t="str">
        <x:v>세부조건 확인</x:v>
      </x:c>
      <x:c r="J296" s="17" t="str">
        <x:v>제한 문구 미탐지</x:v>
      </x:c>
      <x:c r="K296" s="17" t="str">
        <x:v>상세공고 확인</x:v>
      </x:c>
      <x:c r="L296" s="17" t="str">
        <x:v>상세공고 확인</x:v>
      </x:c>
      <x:c r="M296" s="17" t="str">
        <x:v>상세공고 확인</x:v>
      </x:c>
      <x:c r="N296" s="17" t="str">
        <x:v>상세공고 확인</x:v>
      </x:c>
      <x:c r="O296" s="17" t="str">
        <x:v>상세공고 확인</x:v>
      </x:c>
      <x:c r="P296" s="17" t="str">
        <x:v>상세공고 확인</x:v>
      </x:c>
      <x:c r="Q296" s="17" t="str">
        <x:v>상세공고 확인</x:v>
      </x:c>
      <x:c r="R296" s="17" t="str">
        <x:v>상세공고 확인</x:v>
      </x:c>
      <x:c r="S296" s="17" t="str">
        <x:v>상세공고 확인</x:v>
      </x:c>
      <x:c r="T296" s="17" t="str">
        <x:v>상세공고 확인</x:v>
      </x:c>
      <x:c r="U296" s="17" t="str">
        <x:v>상세공고 확인</x:v>
      </x:c>
      <x:c r="V296" s="17" t="str">
        <x:v>목록 항목 확인</x:v>
      </x:c>
      <x:c r="W296" s="17" t="str">
        <x:v>공고 상세에서 확인</x:v>
      </x:c>
      <x:c r="X296" s="18" t="str">
        <x:v>https://job.alio.go.kr/recruitview.do?idx=304442</x:v>
      </x:c>
      <x:c r="Y296" s="1"/>
      <x:c r="Z296" s="1"/>
    </x:row>
    <x:row r="297" ht="54" customHeight="1">
      <x:c r="A297" s="17" t="n">
        <x:v>127</x:v>
      </x:c>
      <x:c r="B297" s="17" t="str">
        <x:v>한국로봇산업진흥원</x:v>
      </x:c>
      <x:c r="C297" s="17" t="str">
        <x:v>2026년 제2차 한국로봇산업진흥원 신규직원 채용</x:v>
      </x:c>
      <x:c r="D297" s="17" t="str">
        <x:v>대구</x:v>
      </x:c>
      <x:c r="E297" s="17" t="str">
        <x:v>무기계약직 외 3</x:v>
      </x:c>
      <x:c r="F297" s="17" t="str">
        <x:v>2026.08.31</x:v>
      </x:c>
      <x:c r="G297" s="17" t="str">
        <x:v>26.09.15 D-6</x:v>
      </x:c>
      <x:c r="H297" s="17" t="str">
        <x:v>무기계약·공무직</x:v>
      </x:c>
      <x:c r="I297" s="17" t="str">
        <x:v>검토</x:v>
      </x:c>
      <x:c r="J297" s="17" t="str">
        <x:v>제한 문구 미탐지</x:v>
      </x:c>
      <x:c r="K297" s="17" t="str">
        <x:v>신입</x:v>
      </x:c>
      <x:c r="L297" s="17" t="str">
        <x:v>학력무관</x:v>
      </x:c>
      <x:c r="M297" s="17" t="str">
        <x:v>10명</x:v>
      </x:c>
      <x:c r="N297" s="17" t="str">
        <x:v>사업관리,경영.회계.사무,경비.청소,건설,전기.전자,연구</x:v>
      </x:c>
      <x:c r="O297" s="17" t="str">
        <x:v>장애인, 취업지원대상자, 저소득층, 다문화가족, 북한이탈주민, 경력단절여성, 비수도권 지역인재 등</x:v>
      </x:c>
      <x:c r="P297" s="17" t="str">
        <x:v>명시 있음</x:v>
      </x:c>
      <x:c r="Q297" s="17" t="str">
        <x:v>상세공고 확인</x:v>
      </x:c>
      <x:c r="R297" s="17" t="str">
        <x:v>ㅇ 학력 : 무관 ㅇ 전공 : 무관 ㅇ 경력 : 무관 ㅇ 연령 : 진흥원의 정년에 의거 만 60세 미만인 자 - 상근계약직(공무직) 경비의 경우 만 65세 미만인 자 ㅇ 병역 : 군필 또는 면제자(현역의 경우 최종합격자 발표일 이전에 전역 가능한 자)</x:v>
      </x:c>
      <x:c r="S297" s="17" t="str">
        <x:v>어학</x:v>
      </x:c>
      <x:c r="T297" s="17" t="str">
        <x:v>ㅇ일반직/무기계약직 - 서류심사 : 적/부 - 필기평가 : NCS + 온라인 인성검사(적/부) - 면접시험 : 1차 직무 역량 면접, 2차 심층 역량 면접 ㅇ 계약직 - 서류심사 : 경험/경력 기술서 및 자기소개서(100점) - 필기평가 : 온라인 인성검사(적/부) - 면접시험 : 심층 역량 면접</x:v>
      </x:c>
      <x:c r="U297" s="17" t="str">
        <x:v>ㅇ일반직/무기계약직 - 서류심사 : 적/부 - 필기평가 : NCS + 온라인 인성검사(적/부) - 면접시험 : 1차 직무 역량 면접, 2차 심층 역량 면접 ㅇ 계약직 - 서류심사 : 경험/경력 기술서 및 자기소개서(100점) - 필기평가 : 온라인 인성검사(적/부) - 면접시험 : 심층 역량 면접</x:v>
      </x:c>
      <x:c r="V297" s="17" t="str">
        <x:v>상세 페이지 확인</x:v>
      </x:c>
      <x:c r="W297" s="17" t="str">
        <x:v>https://dware.intojob.co.kr/main/kiria.jsp</x:v>
      </x:c>
      <x:c r="X297" s="18" t="str">
        <x:v>https://job.alio.go.kr/recruitview.do?idx=304439</x:v>
      </x:c>
      <x:c r="Y297" s="1"/>
      <x:c r="Z297" s="1"/>
    </x:row>
    <x:row r="298" ht="54" customHeight="1">
      <x:c r="A298" s="17" t="n">
        <x:v>126</x:v>
      </x:c>
      <x:c r="B298" s="17" t="str">
        <x:v>한국교육과정평가원</x:v>
      </x:c>
      <x:c r="C298" s="17" t="str">
        <x:v>2026년 10월 한국교육과정평가원 비정규직원 모집 공고</x:v>
      </x:c>
      <x:c r="D298" s="17" t="str">
        <x:v>충북</x:v>
      </x:c>
      <x:c r="E298" s="17" t="str">
        <x:v>비정규직</x:v>
      </x:c>
      <x:c r="F298" s="17" t="str">
        <x:v>2026.08.31</x:v>
      </x:c>
      <x:c r="G298" s="17" t="str">
        <x:v>26.09.10 D-1</x:v>
      </x:c>
      <x:c r="H298" s="17" t="str">
        <x:v>기간제·비정규</x:v>
      </x:c>
      <x:c r="I298" s="17" t="str">
        <x:v>세부조건 확인</x:v>
      </x:c>
      <x:c r="J298" s="17" t="str">
        <x:v>제한 문구 미탐지</x:v>
      </x:c>
      <x:c r="K298" s="17" t="str">
        <x:v>상세공고 확인</x:v>
      </x:c>
      <x:c r="L298" s="17" t="str">
        <x:v>상세공고 확인</x:v>
      </x:c>
      <x:c r="M298" s="17" t="str">
        <x:v>상세공고 확인</x:v>
      </x:c>
      <x:c r="N298" s="17" t="str">
        <x:v>상세공고 확인</x:v>
      </x:c>
      <x:c r="O298" s="17" t="str">
        <x:v>상세공고 확인</x:v>
      </x:c>
      <x:c r="P298" s="17" t="str">
        <x:v>상세공고 확인</x:v>
      </x:c>
      <x:c r="Q298" s="17" t="str">
        <x:v>상세공고 확인</x:v>
      </x:c>
      <x:c r="R298" s="17" t="str">
        <x:v>상세공고 확인</x:v>
      </x:c>
      <x:c r="S298" s="17" t="str">
        <x:v>상세공고 확인</x:v>
      </x:c>
      <x:c r="T298" s="17" t="str">
        <x:v>상세공고 확인</x:v>
      </x:c>
      <x:c r="U298" s="17" t="str">
        <x:v>상세공고 확인</x:v>
      </x:c>
      <x:c r="V298" s="17" t="str">
        <x:v>목록 항목 확인</x:v>
      </x:c>
      <x:c r="W298" s="17" t="str">
        <x:v>공고 상세에서 확인</x:v>
      </x:c>
      <x:c r="X298" s="18" t="str">
        <x:v>https://job.alio.go.kr/recruitview.do?idx=304434</x:v>
      </x:c>
      <x:c r="Y298" s="1"/>
      <x:c r="Z298" s="1"/>
    </x:row>
    <x:row r="299" ht="54" customHeight="1">
      <x:c r="A299" s="17" t="n">
        <x:v>125</x:v>
      </x:c>
      <x:c r="B299" s="17" t="str">
        <x:v>한국소방산업기술원</x:v>
      </x:c>
      <x:c r="C299" s="17" t="str">
        <x:v>2026년 제2차 한국소방산업기술원 체험형 청년인턴 채용</x:v>
      </x:c>
      <x:c r="D299" s="17" t="str">
        <x:v>경기 외 1</x:v>
      </x:c>
      <x:c r="E299" s="17" t="str">
        <x:v>청년인턴(체험형)</x:v>
      </x:c>
      <x:c r="F299" s="17" t="str">
        <x:v>2026.08.31</x:v>
      </x:c>
      <x:c r="G299" s="17" t="str">
        <x:v>26.09.14 D-5</x:v>
      </x:c>
      <x:c r="H299" s="17" t="str">
        <x:v>체험형·청년인턴</x:v>
      </x:c>
      <x:c r="I299" s="17" t="str">
        <x:v>우선검토</x:v>
      </x:c>
      <x:c r="J299" s="17" t="str">
        <x:v>제한 문구 미탐지</x:v>
      </x:c>
      <x:c r="K299" s="17" t="str">
        <x:v>상세공고 확인</x:v>
      </x:c>
      <x:c r="L299" s="17" t="str">
        <x:v>상세공고 확인</x:v>
      </x:c>
      <x:c r="M299" s="17" t="str">
        <x:v>상세공고 확인</x:v>
      </x:c>
      <x:c r="N299" s="17" t="str">
        <x:v>상세공고 확인</x:v>
      </x:c>
      <x:c r="O299" s="17" t="str">
        <x:v>상세공고 확인</x:v>
      </x:c>
      <x:c r="P299" s="17" t="str">
        <x:v>상세공고 확인</x:v>
      </x:c>
      <x:c r="Q299" s="17" t="str">
        <x:v>상세공고 확인</x:v>
      </x:c>
      <x:c r="R299" s="17" t="str">
        <x:v>상세공고 확인</x:v>
      </x:c>
      <x:c r="S299" s="17" t="str">
        <x:v>상세공고 확인</x:v>
      </x:c>
      <x:c r="T299" s="17" t="str">
        <x:v>상세공고 확인</x:v>
      </x:c>
      <x:c r="U299" s="17" t="str">
        <x:v>상세공고 확인</x:v>
      </x:c>
      <x:c r="V299" s="17" t="str">
        <x:v>목록 항목 확인</x:v>
      </x:c>
      <x:c r="W299" s="17" t="str">
        <x:v>공고 상세에서 확인</x:v>
      </x:c>
      <x:c r="X299" s="18" t="str">
        <x:v>https://job.alio.go.kr/recruitview.do?idx=304433</x:v>
      </x:c>
      <x:c r="Y299" s="1"/>
      <x:c r="Z299" s="1"/>
    </x:row>
    <x:row r="300" ht="54" customHeight="1">
      <x:c r="A300" s="17" t="n">
        <x:v>124</x:v>
      </x:c>
      <x:c r="B300" s="17" t="str">
        <x:v>근로복지공단</x:v>
      </x:c>
      <x:c r="C300" s="17" t="str">
        <x:v>[태백병원] 의료직(약사) 4급 채용 공고</x:v>
      </x:c>
      <x:c r="D300" s="17" t="str">
        <x:v>강원</x:v>
      </x:c>
      <x:c r="E300" s="17" t="str">
        <x:v>정규직</x:v>
      </x:c>
      <x:c r="F300" s="17" t="str">
        <x:v>2026.08.31</x:v>
      </x:c>
      <x:c r="G300" s="17" t="str">
        <x:v>26.09.10 D-1</x:v>
      </x:c>
      <x:c r="H300" s="17" t="str">
        <x:v>경력·전문직</x:v>
      </x:c>
      <x:c r="I300" s="17" t="str">
        <x:v>경력·전문 우선</x:v>
      </x:c>
      <x:c r="J300" s="17" t="str">
        <x:v>제한 문구 미탐지</x:v>
      </x:c>
      <x:c r="K300" s="17" t="str">
        <x:v>상세공고 확인</x:v>
      </x:c>
      <x:c r="L300" s="17" t="str">
        <x:v>상세공고 확인</x:v>
      </x:c>
      <x:c r="M300" s="17" t="str">
        <x:v>상세공고 확인</x:v>
      </x:c>
      <x:c r="N300" s="17" t="str">
        <x:v>상세공고 확인</x:v>
      </x:c>
      <x:c r="O300" s="17" t="str">
        <x:v>상세공고 확인</x:v>
      </x:c>
      <x:c r="P300" s="17" t="str">
        <x:v>상세공고 확인</x:v>
      </x:c>
      <x:c r="Q300" s="17" t="str">
        <x:v>상세공고 확인</x:v>
      </x:c>
      <x:c r="R300" s="17" t="str">
        <x:v>상세공고 확인</x:v>
      </x:c>
      <x:c r="S300" s="17" t="str">
        <x:v>상세공고 확인</x:v>
      </x:c>
      <x:c r="T300" s="17" t="str">
        <x:v>상세공고 확인</x:v>
      </x:c>
      <x:c r="U300" s="17" t="str">
        <x:v>상세공고 확인</x:v>
      </x:c>
      <x:c r="V300" s="17" t="str">
        <x:v>목록 항목 확인</x:v>
      </x:c>
      <x:c r="W300" s="17" t="str">
        <x:v>공고 상세에서 확인</x:v>
      </x:c>
      <x:c r="X300" s="18" t="str">
        <x:v>https://job.alio.go.kr/recruitview.do?idx=304430</x:v>
      </x:c>
      <x:c r="Y300" s="1"/>
      <x:c r="Z300" s="1"/>
    </x:row>
    <x:row r="301" ht="54" customHeight="1">
      <x:c r="A301" s="17" t="n">
        <x:v>123</x:v>
      </x:c>
      <x:c r="B301" s="17" t="str">
        <x:v>한국전력공사</x:v>
      </x:c>
      <x:c r="C301" s="17" t="str">
        <x:v>2026년도 1차 연구직 채용공고</x:v>
      </x:c>
      <x:c r="D301" s="17" t="str">
        <x:v>대전 외 1</x:v>
      </x:c>
      <x:c r="E301" s="17" t="str">
        <x:v>정규직</x:v>
      </x:c>
      <x:c r="F301" s="17" t="str">
        <x:v>2026.08.31</x:v>
      </x:c>
      <x:c r="G301" s="17" t="str">
        <x:v>26.09.14 D-5</x:v>
      </x:c>
      <x:c r="H301" s="17" t="str">
        <x:v>정규직(세부 확인)</x:v>
      </x:c>
      <x:c r="I301" s="17" t="str">
        <x:v>세부조건 확인</x:v>
      </x:c>
      <x:c r="J301" s="17" t="str">
        <x:v>제한 문구 미탐지</x:v>
      </x:c>
      <x:c r="K301" s="17" t="str">
        <x:v>상세공고 확인</x:v>
      </x:c>
      <x:c r="L301" s="17" t="str">
        <x:v>상세공고 확인</x:v>
      </x:c>
      <x:c r="M301" s="17" t="str">
        <x:v>상세공고 확인</x:v>
      </x:c>
      <x:c r="N301" s="17" t="str">
        <x:v>상세공고 확인</x:v>
      </x:c>
      <x:c r="O301" s="17" t="str">
        <x:v>상세공고 확인</x:v>
      </x:c>
      <x:c r="P301" s="17" t="str">
        <x:v>상세공고 확인</x:v>
      </x:c>
      <x:c r="Q301" s="17" t="str">
        <x:v>상세공고 확인</x:v>
      </x:c>
      <x:c r="R301" s="17" t="str">
        <x:v>상세공고 확인</x:v>
      </x:c>
      <x:c r="S301" s="17" t="str">
        <x:v>상세공고 확인</x:v>
      </x:c>
      <x:c r="T301" s="17" t="str">
        <x:v>상세공고 확인</x:v>
      </x:c>
      <x:c r="U301" s="17" t="str">
        <x:v>상세공고 확인</x:v>
      </x:c>
      <x:c r="V301" s="17" t="str">
        <x:v>목록 항목 확인</x:v>
      </x:c>
      <x:c r="W301" s="17" t="str">
        <x:v>공고 상세에서 확인</x:v>
      </x:c>
      <x:c r="X301" s="18" t="str">
        <x:v>https://job.alio.go.kr/recruitview.do?idx=304429</x:v>
      </x:c>
      <x:c r="Y301" s="1"/>
      <x:c r="Z301" s="1"/>
    </x:row>
    <x:row r="302" ht="54" customHeight="1">
      <x:c r="A302" s="17" t="n">
        <x:v>122</x:v>
      </x:c>
      <x:c r="B302" s="17" t="str">
        <x:v>한국체육산업개발(주)</x:v>
      </x:c>
      <x:c r="C302" s="17" t="str">
        <x:v>한국체육산업개발(주) 지원직 채용공고</x:v>
      </x:c>
      <x:c r="D302" s="17" t="str">
        <x:v>서울 외 4</x:v>
      </x:c>
      <x:c r="E302" s="17" t="str">
        <x:v>무기계약직</x:v>
      </x:c>
      <x:c r="F302" s="17" t="str">
        <x:v>2026.08.31</x:v>
      </x:c>
      <x:c r="G302" s="17" t="str">
        <x:v>26.09.14 D-5</x:v>
      </x:c>
      <x:c r="H302" s="17" t="str">
        <x:v>무기계약·공무직</x:v>
      </x:c>
      <x:c r="I302" s="17" t="str">
        <x:v>세부조건 확인</x:v>
      </x:c>
      <x:c r="J302" s="17" t="str">
        <x:v>제한 문구 미탐지</x:v>
      </x:c>
      <x:c r="K302" s="17" t="str">
        <x:v>상세공고 확인</x:v>
      </x:c>
      <x:c r="L302" s="17" t="str">
        <x:v>상세공고 확인</x:v>
      </x:c>
      <x:c r="M302" s="17" t="str">
        <x:v>상세공고 확인</x:v>
      </x:c>
      <x:c r="N302" s="17" t="str">
        <x:v>상세공고 확인</x:v>
      </x:c>
      <x:c r="O302" s="17" t="str">
        <x:v>상세공고 확인</x:v>
      </x:c>
      <x:c r="P302" s="17" t="str">
        <x:v>상세공고 확인</x:v>
      </x:c>
      <x:c r="Q302" s="17" t="str">
        <x:v>상세공고 확인</x:v>
      </x:c>
      <x:c r="R302" s="17" t="str">
        <x:v>상세공고 확인</x:v>
      </x:c>
      <x:c r="S302" s="17" t="str">
        <x:v>상세공고 확인</x:v>
      </x:c>
      <x:c r="T302" s="17" t="str">
        <x:v>상세공고 확인</x:v>
      </x:c>
      <x:c r="U302" s="17" t="str">
        <x:v>상세공고 확인</x:v>
      </x:c>
      <x:c r="V302" s="17" t="str">
        <x:v>목록 항목 확인</x:v>
      </x:c>
      <x:c r="W302" s="17" t="str">
        <x:v>공고 상세에서 확인</x:v>
      </x:c>
      <x:c r="X302" s="18" t="str">
        <x:v>https://job.alio.go.kr/recruitview.do?idx=304428</x:v>
      </x:c>
      <x:c r="Y302" s="1"/>
      <x:c r="Z302" s="1"/>
    </x:row>
    <x:row r="303" ht="54" customHeight="1">
      <x:c r="A303" s="17" t="n">
        <x:v>121</x:v>
      </x:c>
      <x:c r="B303" s="17" t="str">
        <x:v>한국체육산업개발(주)</x:v>
      </x:c>
      <x:c r="C303" s="17" t="str">
        <x:v>한국체육산업개발(주) 전임직 채용공고</x:v>
      </x:c>
      <x:c r="D303" s="17" t="str">
        <x:v>서울 외 1</x:v>
      </x:c>
      <x:c r="E303" s="17" t="str">
        <x:v>무기계약직</x:v>
      </x:c>
      <x:c r="F303" s="17" t="str">
        <x:v>2026.08.31</x:v>
      </x:c>
      <x:c r="G303" s="17" t="str">
        <x:v>26.09.14 D-5</x:v>
      </x:c>
      <x:c r="H303" s="17" t="str">
        <x:v>무기계약·공무직</x:v>
      </x:c>
      <x:c r="I303" s="17" t="str">
        <x:v>세부조건 확인</x:v>
      </x:c>
      <x:c r="J303" s="17" t="str">
        <x:v>제한 문구 미탐지</x:v>
      </x:c>
      <x:c r="K303" s="17" t="str">
        <x:v>상세공고 확인</x:v>
      </x:c>
      <x:c r="L303" s="17" t="str">
        <x:v>상세공고 확인</x:v>
      </x:c>
      <x:c r="M303" s="17" t="str">
        <x:v>상세공고 확인</x:v>
      </x:c>
      <x:c r="N303" s="17" t="str">
        <x:v>상세공고 확인</x:v>
      </x:c>
      <x:c r="O303" s="17" t="str">
        <x:v>상세공고 확인</x:v>
      </x:c>
      <x:c r="P303" s="17" t="str">
        <x:v>상세공고 확인</x:v>
      </x:c>
      <x:c r="Q303" s="17" t="str">
        <x:v>상세공고 확인</x:v>
      </x:c>
      <x:c r="R303" s="17" t="str">
        <x:v>상세공고 확인</x:v>
      </x:c>
      <x:c r="S303" s="17" t="str">
        <x:v>상세공고 확인</x:v>
      </x:c>
      <x:c r="T303" s="17" t="str">
        <x:v>상세공고 확인</x:v>
      </x:c>
      <x:c r="U303" s="17" t="str">
        <x:v>상세공고 확인</x:v>
      </x:c>
      <x:c r="V303" s="17" t="str">
        <x:v>목록 항목 확인</x:v>
      </x:c>
      <x:c r="W303" s="17" t="str">
        <x:v>공고 상세에서 확인</x:v>
      </x:c>
      <x:c r="X303" s="18" t="str">
        <x:v>https://job.alio.go.kr/recruitview.do?idx=304426</x:v>
      </x:c>
      <x:c r="Y303" s="1"/>
      <x:c r="Z303" s="1"/>
    </x:row>
    <x:row r="304" ht="54" customHeight="1">
      <x:c r="A304" s="17" t="n">
        <x:v>120</x:v>
      </x:c>
      <x:c r="B304" s="17" t="str">
        <x:v>한전KDN</x:v>
      </x:c>
      <x:c r="C304" s="17" t="str">
        <x:v>한전KDN(주) 보안관제 프로젝트 계약근로자 채용공고</x:v>
      </x:c>
      <x:c r="D304" s="17" t="str">
        <x:v>충남</x:v>
      </x:c>
      <x:c r="E304" s="17" t="str">
        <x:v>비정규직</x:v>
      </x:c>
      <x:c r="F304" s="17" t="str">
        <x:v>2026.08.31</x:v>
      </x:c>
      <x:c r="G304" s="17" t="str">
        <x:v>26.09.15 D-6</x:v>
      </x:c>
      <x:c r="H304" s="17" t="str">
        <x:v>기간제·비정규</x:v>
      </x:c>
      <x:c r="I304" s="17" t="str">
        <x:v>세부조건 확인</x:v>
      </x:c>
      <x:c r="J304" s="17" t="str">
        <x:v>제한 문구 미탐지</x:v>
      </x:c>
      <x:c r="K304" s="17" t="str">
        <x:v>상세공고 확인</x:v>
      </x:c>
      <x:c r="L304" s="17" t="str">
        <x:v>상세공고 확인</x:v>
      </x:c>
      <x:c r="M304" s="17" t="str">
        <x:v>상세공고 확인</x:v>
      </x:c>
      <x:c r="N304" s="17" t="str">
        <x:v>상세공고 확인</x:v>
      </x:c>
      <x:c r="O304" s="17" t="str">
        <x:v>상세공고 확인</x:v>
      </x:c>
      <x:c r="P304" s="17" t="str">
        <x:v>상세공고 확인</x:v>
      </x:c>
      <x:c r="Q304" s="17" t="str">
        <x:v>상세공고 확인</x:v>
      </x:c>
      <x:c r="R304" s="17" t="str">
        <x:v>상세공고 확인</x:v>
      </x:c>
      <x:c r="S304" s="17" t="str">
        <x:v>상세공고 확인</x:v>
      </x:c>
      <x:c r="T304" s="17" t="str">
        <x:v>상세공고 확인</x:v>
      </x:c>
      <x:c r="U304" s="17" t="str">
        <x:v>상세공고 확인</x:v>
      </x:c>
      <x:c r="V304" s="17" t="str">
        <x:v>목록 항목 확인</x:v>
      </x:c>
      <x:c r="W304" s="17" t="str">
        <x:v>공고 상세에서 확인</x:v>
      </x:c>
      <x:c r="X304" s="18" t="str">
        <x:v>https://job.alio.go.kr/recruitview.do?idx=304425</x:v>
      </x:c>
      <x:c r="Y304" s="1"/>
      <x:c r="Z304" s="1"/>
    </x:row>
    <x:row r="305" ht="54" customHeight="1">
      <x:c r="A305" s="17" t="n">
        <x:v>119</x:v>
      </x:c>
      <x:c r="B305" s="17" t="str">
        <x:v>한국해양과학기술원</x:v>
      </x:c>
      <x:c r="C305" s="17" t="str">
        <x:v>[제26-03-06호]한국해양과학기술원 2026년 3차 직원(육아휴직 대체인력) 공개채용</x:v>
      </x:c>
      <x:c r="D305" s="17" t="str">
        <x:v>경남 외 1</x:v>
      </x:c>
      <x:c r="E305" s="17" t="str">
        <x:v>비정규직</x:v>
      </x:c>
      <x:c r="F305" s="17" t="str">
        <x:v>2026.08.31</x:v>
      </x:c>
      <x:c r="G305" s="17" t="str">
        <x:v>26.09.15 D-6</x:v>
      </x:c>
      <x:c r="H305" s="17" t="str">
        <x:v>기간제·비정규</x:v>
      </x:c>
      <x:c r="I305" s="17" t="str">
        <x:v>세부조건 확인</x:v>
      </x:c>
      <x:c r="J305" s="17" t="str">
        <x:v>제한 문구 미탐지</x:v>
      </x:c>
      <x:c r="K305" s="17" t="str">
        <x:v>상세공고 확인</x:v>
      </x:c>
      <x:c r="L305" s="17" t="str">
        <x:v>상세공고 확인</x:v>
      </x:c>
      <x:c r="M305" s="17" t="str">
        <x:v>상세공고 확인</x:v>
      </x:c>
      <x:c r="N305" s="17" t="str">
        <x:v>상세공고 확인</x:v>
      </x:c>
      <x:c r="O305" s="17" t="str">
        <x:v>상세공고 확인</x:v>
      </x:c>
      <x:c r="P305" s="17" t="str">
        <x:v>상세공고 확인</x:v>
      </x:c>
      <x:c r="Q305" s="17" t="str">
        <x:v>상세공고 확인</x:v>
      </x:c>
      <x:c r="R305" s="17" t="str">
        <x:v>상세공고 확인</x:v>
      </x:c>
      <x:c r="S305" s="17" t="str">
        <x:v>상세공고 확인</x:v>
      </x:c>
      <x:c r="T305" s="17" t="str">
        <x:v>상세공고 확인</x:v>
      </x:c>
      <x:c r="U305" s="17" t="str">
        <x:v>상세공고 확인</x:v>
      </x:c>
      <x:c r="V305" s="17" t="str">
        <x:v>목록 항목 확인</x:v>
      </x:c>
      <x:c r="W305" s="17" t="str">
        <x:v>공고 상세에서 확인</x:v>
      </x:c>
      <x:c r="X305" s="18" t="str">
        <x:v>https://job.alio.go.kr/recruitview.do?idx=304424</x:v>
      </x:c>
      <x:c r="Y305" s="1"/>
      <x:c r="Z305" s="1"/>
    </x:row>
    <x:row r="306" ht="54" customHeight="1">
      <x:c r="A306" s="17" t="n">
        <x:v>118</x:v>
      </x:c>
      <x:c r="B306" s="17" t="str">
        <x:v>(재)우체국물류지원단</x:v>
      </x:c>
      <x:c r="C306" s="17" t="str">
        <x:v>우체국물류지원단 경인지사 부천,고양,안양,수원사업소 추석 특별소통 단기 기간제(운전직, 운송직) 채용 공고</x:v>
      </x:c>
      <x:c r="D306" s="17" t="str">
        <x:v>경기</x:v>
      </x:c>
      <x:c r="E306" s="17" t="str">
        <x:v>비정규직</x:v>
      </x:c>
      <x:c r="F306" s="17" t="str">
        <x:v>2026.08.31</x:v>
      </x:c>
      <x:c r="G306" s="17" t="str">
        <x:v>26.09.10 D-1</x:v>
      </x:c>
      <x:c r="H306" s="17" t="str">
        <x:v>기간제·비정규</x:v>
      </x:c>
      <x:c r="I306" s="17" t="str">
        <x:v>세부조건 확인</x:v>
      </x:c>
      <x:c r="J306" s="17" t="str">
        <x:v>제한 문구 미탐지</x:v>
      </x:c>
      <x:c r="K306" s="17" t="str">
        <x:v>상세공고 확인</x:v>
      </x:c>
      <x:c r="L306" s="17" t="str">
        <x:v>상세공고 확인</x:v>
      </x:c>
      <x:c r="M306" s="17" t="str">
        <x:v>상세공고 확인</x:v>
      </x:c>
      <x:c r="N306" s="17" t="str">
        <x:v>상세공고 확인</x:v>
      </x:c>
      <x:c r="O306" s="17" t="str">
        <x:v>상세공고 확인</x:v>
      </x:c>
      <x:c r="P306" s="17" t="str">
        <x:v>상세공고 확인</x:v>
      </x:c>
      <x:c r="Q306" s="17" t="str">
        <x:v>상세공고 확인</x:v>
      </x:c>
      <x:c r="R306" s="17" t="str">
        <x:v>상세공고 확인</x:v>
      </x:c>
      <x:c r="S306" s="17" t="str">
        <x:v>상세공고 확인</x:v>
      </x:c>
      <x:c r="T306" s="17" t="str">
        <x:v>상세공고 확인</x:v>
      </x:c>
      <x:c r="U306" s="17" t="str">
        <x:v>상세공고 확인</x:v>
      </x:c>
      <x:c r="V306" s="17" t="str">
        <x:v>목록 항목 확인</x:v>
      </x:c>
      <x:c r="W306" s="17" t="str">
        <x:v>공고 상세에서 확인</x:v>
      </x:c>
      <x:c r="X306" s="18" t="str">
        <x:v>https://job.alio.go.kr/recruitview.do?idx=304423</x:v>
      </x:c>
      <x:c r="Y306" s="1"/>
      <x:c r="Z306" s="1"/>
    </x:row>
    <x:row r="307" ht="54" customHeight="1">
      <x:c r="A307" s="17" t="n">
        <x:v>117</x:v>
      </x:c>
      <x:c r="B307" s="17" t="str">
        <x:v>경북대학교병원</x:v>
      </x:c>
      <x:c r="C307" s="17" t="str">
        <x:v>2026년 제5차 단기 결원 대체인력풀(POOL) 모집 공고</x:v>
      </x:c>
      <x:c r="D307" s="17" t="str">
        <x:v>대구</x:v>
      </x:c>
      <x:c r="E307" s="17" t="str">
        <x:v>비정규직</x:v>
      </x:c>
      <x:c r="F307" s="17" t="str">
        <x:v>2026.08.31</x:v>
      </x:c>
      <x:c r="G307" s="17" t="str">
        <x:v>26.09.15 D-6</x:v>
      </x:c>
      <x:c r="H307" s="17" t="str">
        <x:v>기간제·비정규</x:v>
      </x:c>
      <x:c r="I307" s="17" t="str">
        <x:v>세부조건 확인</x:v>
      </x:c>
      <x:c r="J307" s="17" t="str">
        <x:v>제한 문구 미탐지</x:v>
      </x:c>
      <x:c r="K307" s="17" t="str">
        <x:v>상세공고 확인</x:v>
      </x:c>
      <x:c r="L307" s="17" t="str">
        <x:v>상세공고 확인</x:v>
      </x:c>
      <x:c r="M307" s="17" t="str">
        <x:v>상세공고 확인</x:v>
      </x:c>
      <x:c r="N307" s="17" t="str">
        <x:v>상세공고 확인</x:v>
      </x:c>
      <x:c r="O307" s="17" t="str">
        <x:v>상세공고 확인</x:v>
      </x:c>
      <x:c r="P307" s="17" t="str">
        <x:v>상세공고 확인</x:v>
      </x:c>
      <x:c r="Q307" s="17" t="str">
        <x:v>상세공고 확인</x:v>
      </x:c>
      <x:c r="R307" s="17" t="str">
        <x:v>상세공고 확인</x:v>
      </x:c>
      <x:c r="S307" s="17" t="str">
        <x:v>상세공고 확인</x:v>
      </x:c>
      <x:c r="T307" s="17" t="str">
        <x:v>상세공고 확인</x:v>
      </x:c>
      <x:c r="U307" s="17" t="str">
        <x:v>상세공고 확인</x:v>
      </x:c>
      <x:c r="V307" s="17" t="str">
        <x:v>목록 항목 확인</x:v>
      </x:c>
      <x:c r="W307" s="17" t="str">
        <x:v>공고 상세에서 확인</x:v>
      </x:c>
      <x:c r="X307" s="18" t="str">
        <x:v>https://job.alio.go.kr/recruitview.do?idx=304422</x:v>
      </x:c>
      <x:c r="Y307" s="1"/>
      <x:c r="Z307" s="1"/>
    </x:row>
    <x:row r="308" ht="54" customHeight="1">
      <x:c r="A308" s="17" t="n">
        <x:v>116</x:v>
      </x:c>
      <x:c r="B308" s="17" t="str">
        <x:v>국립공원공단</x:v>
      </x:c>
      <x:c r="C308" s="17" t="str">
        <x:v>[북한산] 북한산국립공원사무소 기간제(환경관리) 직원 채용 공고</x:v>
      </x:c>
      <x:c r="D308" s="17" t="str">
        <x:v>서울 외 1</x:v>
      </x:c>
      <x:c r="E308" s="17" t="str">
        <x:v>비정규직</x:v>
      </x:c>
      <x:c r="F308" s="17" t="str">
        <x:v>2026.08.31</x:v>
      </x:c>
      <x:c r="G308" s="17" t="str">
        <x:v>26.09.14 D-5</x:v>
      </x:c>
      <x:c r="H308" s="17" t="str">
        <x:v>기간제·비정규</x:v>
      </x:c>
      <x:c r="I308" s="17" t="str">
        <x:v>세부조건 확인</x:v>
      </x:c>
      <x:c r="J308" s="17" t="str">
        <x:v>제한 문구 미탐지</x:v>
      </x:c>
      <x:c r="K308" s="17" t="str">
        <x:v>상세공고 확인</x:v>
      </x:c>
      <x:c r="L308" s="17" t="str">
        <x:v>상세공고 확인</x:v>
      </x:c>
      <x:c r="M308" s="17" t="str">
        <x:v>상세공고 확인</x:v>
      </x:c>
      <x:c r="N308" s="17" t="str">
        <x:v>상세공고 확인</x:v>
      </x:c>
      <x:c r="O308" s="17" t="str">
        <x:v>상세공고 확인</x:v>
      </x:c>
      <x:c r="P308" s="17" t="str">
        <x:v>상세공고 확인</x:v>
      </x:c>
      <x:c r="Q308" s="17" t="str">
        <x:v>상세공고 확인</x:v>
      </x:c>
      <x:c r="R308" s="17" t="str">
        <x:v>상세공고 확인</x:v>
      </x:c>
      <x:c r="S308" s="17" t="str">
        <x:v>상세공고 확인</x:v>
      </x:c>
      <x:c r="T308" s="17" t="str">
        <x:v>상세공고 확인</x:v>
      </x:c>
      <x:c r="U308" s="17" t="str">
        <x:v>상세공고 확인</x:v>
      </x:c>
      <x:c r="V308" s="17" t="str">
        <x:v>목록 항목 확인</x:v>
      </x:c>
      <x:c r="W308" s="17" t="str">
        <x:v>공고 상세에서 확인</x:v>
      </x:c>
      <x:c r="X308" s="18" t="str">
        <x:v>https://job.alio.go.kr/recruitview.do?idx=304421</x:v>
      </x:c>
      <x:c r="Y308" s="1"/>
      <x:c r="Z308" s="1"/>
    </x:row>
    <x:row r="309" ht="54" customHeight="1">
      <x:c r="A309" s="17" t="n">
        <x:v>115</x:v>
      </x:c>
      <x:c r="B309" s="17" t="str">
        <x:v>국립공원공단</x:v>
      </x:c>
      <x:c r="C309" s="17" t="str">
        <x:v>[경주] 경주국립공원사무소 2026년 국립공원지킴이 3차(한시인력) 채용 공고</x:v>
      </x:c>
      <x:c r="D309" s="17" t="str">
        <x:v>경북</x:v>
      </x:c>
      <x:c r="E309" s="17" t="str">
        <x:v>비정규직</x:v>
      </x:c>
      <x:c r="F309" s="17" t="str">
        <x:v>2026.08.31</x:v>
      </x:c>
      <x:c r="G309" s="17" t="str">
        <x:v>26.09.10 D-1</x:v>
      </x:c>
      <x:c r="H309" s="17" t="str">
        <x:v>기간제·비정규</x:v>
      </x:c>
      <x:c r="I309" s="17" t="str">
        <x:v>세부조건 확인</x:v>
      </x:c>
      <x:c r="J309" s="17" t="str">
        <x:v>제한 문구 미탐지</x:v>
      </x:c>
      <x:c r="K309" s="17" t="str">
        <x:v>상세공고 확인</x:v>
      </x:c>
      <x:c r="L309" s="17" t="str">
        <x:v>상세공고 확인</x:v>
      </x:c>
      <x:c r="M309" s="17" t="str">
        <x:v>상세공고 확인</x:v>
      </x:c>
      <x:c r="N309" s="17" t="str">
        <x:v>상세공고 확인</x:v>
      </x:c>
      <x:c r="O309" s="17" t="str">
        <x:v>상세공고 확인</x:v>
      </x:c>
      <x:c r="P309" s="17" t="str">
        <x:v>상세공고 확인</x:v>
      </x:c>
      <x:c r="Q309" s="17" t="str">
        <x:v>상세공고 확인</x:v>
      </x:c>
      <x:c r="R309" s="17" t="str">
        <x:v>상세공고 확인</x:v>
      </x:c>
      <x:c r="S309" s="17" t="str">
        <x:v>상세공고 확인</x:v>
      </x:c>
      <x:c r="T309" s="17" t="str">
        <x:v>상세공고 확인</x:v>
      </x:c>
      <x:c r="U309" s="17" t="str">
        <x:v>상세공고 확인</x:v>
      </x:c>
      <x:c r="V309" s="17" t="str">
        <x:v>목록 항목 확인</x:v>
      </x:c>
      <x:c r="W309" s="17" t="str">
        <x:v>공고 상세에서 확인</x:v>
      </x:c>
      <x:c r="X309" s="18" t="str">
        <x:v>https://job.alio.go.kr/recruitview.do?idx=304419</x:v>
      </x:c>
      <x:c r="Y309" s="1"/>
      <x:c r="Z309" s="1"/>
    </x:row>
    <x:row r="310" ht="54" customHeight="1">
      <x:c r="A310" s="17" t="n">
        <x:v>114</x:v>
      </x:c>
      <x:c r="B310" s="17" t="str">
        <x:v>한국조세재정연구원</x:v>
      </x:c>
      <x:c r="C310" s="17" t="str">
        <x:v>[한국조세재정연구원] 연구위원급(Research Fellow) 채용</x:v>
      </x:c>
      <x:c r="D310" s="17" t="str">
        <x:v>세종</x:v>
      </x:c>
      <x:c r="E310" s="17" t="str">
        <x:v>정규직</x:v>
      </x:c>
      <x:c r="F310" s="17" t="str">
        <x:v>2026.08.31</x:v>
      </x:c>
      <x:c r="G310" s="17" t="str">
        <x:v>26.09.16 D-7</x:v>
      </x:c>
      <x:c r="H310" s="17" t="str">
        <x:v>경력·전문직</x:v>
      </x:c>
      <x:c r="I310" s="17" t="str">
        <x:v>경력·전문 우선</x:v>
      </x:c>
      <x:c r="J310" s="17" t="str">
        <x:v>제한 문구 미탐지</x:v>
      </x:c>
      <x:c r="K310" s="17" t="str">
        <x:v>상세공고 확인</x:v>
      </x:c>
      <x:c r="L310" s="17" t="str">
        <x:v>상세공고 확인</x:v>
      </x:c>
      <x:c r="M310" s="17" t="str">
        <x:v>상세공고 확인</x:v>
      </x:c>
      <x:c r="N310" s="17" t="str">
        <x:v>상세공고 확인</x:v>
      </x:c>
      <x:c r="O310" s="17" t="str">
        <x:v>상세공고 확인</x:v>
      </x:c>
      <x:c r="P310" s="17" t="str">
        <x:v>상세공고 확인</x:v>
      </x:c>
      <x:c r="Q310" s="17" t="str">
        <x:v>상세공고 확인</x:v>
      </x:c>
      <x:c r="R310" s="17" t="str">
        <x:v>상세공고 확인</x:v>
      </x:c>
      <x:c r="S310" s="17" t="str">
        <x:v>상세공고 확인</x:v>
      </x:c>
      <x:c r="T310" s="17" t="str">
        <x:v>상세공고 확인</x:v>
      </x:c>
      <x:c r="U310" s="17" t="str">
        <x:v>상세공고 확인</x:v>
      </x:c>
      <x:c r="V310" s="17" t="str">
        <x:v>목록 항목 확인</x:v>
      </x:c>
      <x:c r="W310" s="17" t="str">
        <x:v>공고 상세에서 확인</x:v>
      </x:c>
      <x:c r="X310" s="18" t="str">
        <x:v>https://job.alio.go.kr/recruitview.do?idx=304417</x:v>
      </x:c>
      <x:c r="Y310" s="1"/>
      <x:c r="Z310" s="1"/>
    </x:row>
    <x:row r="311" ht="54" customHeight="1">
      <x:c r="A311" s="17" t="n">
        <x:v>113</x:v>
      </x:c>
      <x:c r="B311" s="17" t="str">
        <x:v>한국전력기술주식회사</x:v>
      </x:c>
      <x:c r="C311" s="17" t="str">
        <x:v>2026년도 장애인 별도직무(DDCC 문서관리) 기간제 근로자 채용공고</x:v>
      </x:c>
      <x:c r="D311" s="17" t="str">
        <x:v>경북</x:v>
      </x:c>
      <x:c r="E311" s="17" t="str">
        <x:v>비정규직</x:v>
      </x:c>
      <x:c r="F311" s="17" t="str">
        <x:v>2026.08.31</x:v>
      </x:c>
      <x:c r="G311" s="17" t="str">
        <x:v>26.09.15 D-6</x:v>
      </x:c>
      <x:c r="H311" s="17" t="str">
        <x:v>기간제·비정규</x:v>
      </x:c>
      <x:c r="I311" s="17" t="str">
        <x:v>세부조건 확인</x:v>
      </x:c>
      <x:c r="J311" s="17" t="str">
        <x:v>제한 문구 미탐지</x:v>
      </x:c>
      <x:c r="K311" s="17" t="str">
        <x:v>상세공고 확인</x:v>
      </x:c>
      <x:c r="L311" s="17" t="str">
        <x:v>상세공고 확인</x:v>
      </x:c>
      <x:c r="M311" s="17" t="str">
        <x:v>상세공고 확인</x:v>
      </x:c>
      <x:c r="N311" s="17" t="str">
        <x:v>상세공고 확인</x:v>
      </x:c>
      <x:c r="O311" s="17" t="str">
        <x:v>상세공고 확인</x:v>
      </x:c>
      <x:c r="P311" s="17" t="str">
        <x:v>상세공고 확인</x:v>
      </x:c>
      <x:c r="Q311" s="17" t="str">
        <x:v>상세공고 확인</x:v>
      </x:c>
      <x:c r="R311" s="17" t="str">
        <x:v>상세공고 확인</x:v>
      </x:c>
      <x:c r="S311" s="17" t="str">
        <x:v>상세공고 확인</x:v>
      </x:c>
      <x:c r="T311" s="17" t="str">
        <x:v>상세공고 확인</x:v>
      </x:c>
      <x:c r="U311" s="17" t="str">
        <x:v>상세공고 확인</x:v>
      </x:c>
      <x:c r="V311" s="17" t="str">
        <x:v>목록 항목 확인</x:v>
      </x:c>
      <x:c r="W311" s="17" t="str">
        <x:v>공고 상세에서 확인</x:v>
      </x:c>
      <x:c r="X311" s="18" t="str">
        <x:v>https://job.alio.go.kr/recruitview.do?idx=304416</x:v>
      </x:c>
      <x:c r="Y311" s="1"/>
      <x:c r="Z311" s="1"/>
    </x:row>
    <x:row r="312" ht="54" customHeight="1">
      <x:c r="A312" s="17" t="n">
        <x:v>112</x:v>
      </x:c>
      <x:c r="B312" s="17" t="str">
        <x:v>국토연구원</x:v>
      </x:c>
      <x:c r="C312" s="17" t="str">
        <x:v>국토연구원 2026년 제3차 청년인턴 공개채용(장애인제한경쟁, 일반경쟁)</x:v>
      </x:c>
      <x:c r="D312" s="17" t="str">
        <x:v>세종</x:v>
      </x:c>
      <x:c r="E312" s="17" t="str">
        <x:v>청년인턴(체험형)</x:v>
      </x:c>
      <x:c r="F312" s="17" t="str">
        <x:v>2026.08.31</x:v>
      </x:c>
      <x:c r="G312" s="17" t="str">
        <x:v>26.09.14 D-5</x:v>
      </x:c>
      <x:c r="H312" s="17" t="str">
        <x:v>제한경쟁·조건부</x:v>
      </x:c>
      <x:c r="I312" s="17" t="str">
        <x:v>조건 충족자만</x:v>
      </x:c>
      <x:c r="J312" s="17" t="str">
        <x:v>장애 관련 제한경쟁</x:v>
      </x:c>
      <x:c r="K312" s="17" t="str">
        <x:v>상세공고 확인</x:v>
      </x:c>
      <x:c r="L312" s="17" t="str">
        <x:v>상세공고 확인</x:v>
      </x:c>
      <x:c r="M312" s="17" t="str">
        <x:v>상세공고 확인</x:v>
      </x:c>
      <x:c r="N312" s="17" t="str">
        <x:v>상세공고 확인</x:v>
      </x:c>
      <x:c r="O312" s="17" t="str">
        <x:v>상세공고 확인</x:v>
      </x:c>
      <x:c r="P312" s="17" t="str">
        <x:v>상세공고 확인</x:v>
      </x:c>
      <x:c r="Q312" s="17" t="str">
        <x:v>상세공고 확인</x:v>
      </x:c>
      <x:c r="R312" s="17" t="str">
        <x:v>상세공고 확인</x:v>
      </x:c>
      <x:c r="S312" s="17" t="str">
        <x:v>상세공고 확인</x:v>
      </x:c>
      <x:c r="T312" s="17" t="str">
        <x:v>상세공고 확인</x:v>
      </x:c>
      <x:c r="U312" s="17" t="str">
        <x:v>상세공고 확인</x:v>
      </x:c>
      <x:c r="V312" s="17" t="str">
        <x:v>목록 항목 확인</x:v>
      </x:c>
      <x:c r="W312" s="17" t="str">
        <x:v>공고 상세에서 확인</x:v>
      </x:c>
      <x:c r="X312" s="18" t="str">
        <x:v>https://job.alio.go.kr/recruitview.do?idx=304413</x:v>
      </x:c>
      <x:c r="Y312" s="1"/>
      <x:c r="Z312" s="1"/>
    </x:row>
    <x:row r="313" ht="54" customHeight="1">
      <x:c r="A313" s="17" t="n">
        <x:v>111</x:v>
      </x:c>
      <x:c r="B313" s="17" t="str">
        <x:v>서울대학교치과병원</x:v>
      </x:c>
      <x:c r="C313" s="17" t="str">
        <x:v>서울대학교치과병원 단시간근무자(장애인 제한경쟁) 채용 공고</x:v>
      </x:c>
      <x:c r="D313" s="17" t="str">
        <x:v>서울</x:v>
      </x:c>
      <x:c r="E313" s="17" t="str">
        <x:v>비정규직</x:v>
      </x:c>
      <x:c r="F313" s="17" t="str">
        <x:v>2026.08.31</x:v>
      </x:c>
      <x:c r="G313" s="17" t="str">
        <x:v>26.09.14 D-5</x:v>
      </x:c>
      <x:c r="H313" s="17" t="str">
        <x:v>제한경쟁·조건부</x:v>
      </x:c>
      <x:c r="I313" s="17" t="str">
        <x:v>조건 충족자만</x:v>
      </x:c>
      <x:c r="J313" s="17" t="str">
        <x:v>장애 관련 제한경쟁</x:v>
      </x:c>
      <x:c r="K313" s="17" t="str">
        <x:v>상세공고 확인</x:v>
      </x:c>
      <x:c r="L313" s="17" t="str">
        <x:v>상세공고 확인</x:v>
      </x:c>
      <x:c r="M313" s="17" t="str">
        <x:v>상세공고 확인</x:v>
      </x:c>
      <x:c r="N313" s="17" t="str">
        <x:v>상세공고 확인</x:v>
      </x:c>
      <x:c r="O313" s="17" t="str">
        <x:v>상세공고 확인</x:v>
      </x:c>
      <x:c r="P313" s="17" t="str">
        <x:v>상세공고 확인</x:v>
      </x:c>
      <x:c r="Q313" s="17" t="str">
        <x:v>상세공고 확인</x:v>
      </x:c>
      <x:c r="R313" s="17" t="str">
        <x:v>상세공고 확인</x:v>
      </x:c>
      <x:c r="S313" s="17" t="str">
        <x:v>상세공고 확인</x:v>
      </x:c>
      <x:c r="T313" s="17" t="str">
        <x:v>상세공고 확인</x:v>
      </x:c>
      <x:c r="U313" s="17" t="str">
        <x:v>상세공고 확인</x:v>
      </x:c>
      <x:c r="V313" s="17" t="str">
        <x:v>목록 항목 확인</x:v>
      </x:c>
      <x:c r="W313" s="17" t="str">
        <x:v>공고 상세에서 확인</x:v>
      </x:c>
      <x:c r="X313" s="18" t="str">
        <x:v>https://job.alio.go.kr/recruitview.do?idx=304412</x:v>
      </x:c>
      <x:c r="Y313" s="1"/>
      <x:c r="Z313" s="1"/>
    </x:row>
    <x:row r="314" ht="54" customHeight="1">
      <x:c r="A314" s="17" t="n">
        <x:v>110</x:v>
      </x:c>
      <x:c r="B314" s="17" t="str">
        <x:v>서울대학교치과병원</x:v>
      </x:c>
      <x:c r="C314" s="17" t="str">
        <x:v>서울대학교치과병원 단시간근무자(간호조무사) 채용 공고</x:v>
      </x:c>
      <x:c r="D314" s="17" t="str">
        <x:v>서울</x:v>
      </x:c>
      <x:c r="E314" s="17" t="str">
        <x:v>비정규직</x:v>
      </x:c>
      <x:c r="F314" s="17" t="str">
        <x:v>2026.08.31</x:v>
      </x:c>
      <x:c r="G314" s="17" t="str">
        <x:v>26.09.14 D-5</x:v>
      </x:c>
      <x:c r="H314" s="17" t="str">
        <x:v>기간제·비정규</x:v>
      </x:c>
      <x:c r="I314" s="17" t="str">
        <x:v>세부조건 확인</x:v>
      </x:c>
      <x:c r="J314" s="17" t="str">
        <x:v>제한 문구 미탐지</x:v>
      </x:c>
      <x:c r="K314" s="17" t="str">
        <x:v>상세공고 확인</x:v>
      </x:c>
      <x:c r="L314" s="17" t="str">
        <x:v>상세공고 확인</x:v>
      </x:c>
      <x:c r="M314" s="17" t="str">
        <x:v>상세공고 확인</x:v>
      </x:c>
      <x:c r="N314" s="17" t="str">
        <x:v>상세공고 확인</x:v>
      </x:c>
      <x:c r="O314" s="17" t="str">
        <x:v>상세공고 확인</x:v>
      </x:c>
      <x:c r="P314" s="17" t="str">
        <x:v>상세공고 확인</x:v>
      </x:c>
      <x:c r="Q314" s="17" t="str">
        <x:v>상세공고 확인</x:v>
      </x:c>
      <x:c r="R314" s="17" t="str">
        <x:v>상세공고 확인</x:v>
      </x:c>
      <x:c r="S314" s="17" t="str">
        <x:v>상세공고 확인</x:v>
      </x:c>
      <x:c r="T314" s="17" t="str">
        <x:v>상세공고 확인</x:v>
      </x:c>
      <x:c r="U314" s="17" t="str">
        <x:v>상세공고 확인</x:v>
      </x:c>
      <x:c r="V314" s="17" t="str">
        <x:v>목록 항목 확인</x:v>
      </x:c>
      <x:c r="W314" s="17" t="str">
        <x:v>공고 상세에서 확인</x:v>
      </x:c>
      <x:c r="X314" s="18" t="str">
        <x:v>https://job.alio.go.kr/recruitview.do?idx=304411</x:v>
      </x:c>
      <x:c r="Y314" s="1"/>
      <x:c r="Z314" s="1"/>
    </x:row>
    <x:row r="315" ht="54" customHeight="1">
      <x:c r="A315" s="17" t="n">
        <x:v>109</x:v>
      </x:c>
      <x:c r="B315" s="17" t="str">
        <x:v>서울대학교치과병원</x:v>
      </x:c>
      <x:c r="C315" s="17" t="str">
        <x:v>서울대학교치과병원 단시간근무자(치과위생사) 채용 공고</x:v>
      </x:c>
      <x:c r="D315" s="17" t="str">
        <x:v>서울</x:v>
      </x:c>
      <x:c r="E315" s="17" t="str">
        <x:v>비정규직</x:v>
      </x:c>
      <x:c r="F315" s="17" t="str">
        <x:v>2026.08.31</x:v>
      </x:c>
      <x:c r="G315" s="17" t="str">
        <x:v>26.09.14 D-5</x:v>
      </x:c>
      <x:c r="H315" s="17" t="str">
        <x:v>기간제·비정규</x:v>
      </x:c>
      <x:c r="I315" s="17" t="str">
        <x:v>세부조건 확인</x:v>
      </x:c>
      <x:c r="J315" s="17" t="str">
        <x:v>제한 문구 미탐지</x:v>
      </x:c>
      <x:c r="K315" s="17" t="str">
        <x:v>상세공고 확인</x:v>
      </x:c>
      <x:c r="L315" s="17" t="str">
        <x:v>상세공고 확인</x:v>
      </x:c>
      <x:c r="M315" s="17" t="str">
        <x:v>상세공고 확인</x:v>
      </x:c>
      <x:c r="N315" s="17" t="str">
        <x:v>상세공고 확인</x:v>
      </x:c>
      <x:c r="O315" s="17" t="str">
        <x:v>상세공고 확인</x:v>
      </x:c>
      <x:c r="P315" s="17" t="str">
        <x:v>상세공고 확인</x:v>
      </x:c>
      <x:c r="Q315" s="17" t="str">
        <x:v>상세공고 확인</x:v>
      </x:c>
      <x:c r="R315" s="17" t="str">
        <x:v>상세공고 확인</x:v>
      </x:c>
      <x:c r="S315" s="17" t="str">
        <x:v>상세공고 확인</x:v>
      </x:c>
      <x:c r="T315" s="17" t="str">
        <x:v>상세공고 확인</x:v>
      </x:c>
      <x:c r="U315" s="17" t="str">
        <x:v>상세공고 확인</x:v>
      </x:c>
      <x:c r="V315" s="17" t="str">
        <x:v>목록 항목 확인</x:v>
      </x:c>
      <x:c r="W315" s="17" t="str">
        <x:v>공고 상세에서 확인</x:v>
      </x:c>
      <x:c r="X315" s="18" t="str">
        <x:v>https://job.alio.go.kr/recruitview.do?idx=304410</x:v>
      </x:c>
      <x:c r="Y315" s="1"/>
      <x:c r="Z315" s="1"/>
    </x:row>
    <x:row r="316" ht="54" customHeight="1">
      <x:c r="A316" s="17" t="n">
        <x:v>108</x:v>
      </x:c>
      <x:c r="B316" s="17" t="str">
        <x:v>한국수자원공사</x:v>
      </x:c>
      <x:c r="C316" s="17" t="str">
        <x:v>[한국수자원공사] (2차 재공고) 한강경영처 사회형평적 인재 단기계약근로자(시설관리) 채용 공고(장애인 제한채용)</x:v>
      </x:c>
      <x:c r="D316" s="17" t="str">
        <x:v>경기</x:v>
      </x:c>
      <x:c r="E316" s="17" t="str">
        <x:v>비정규직</x:v>
      </x:c>
      <x:c r="F316" s="17" t="str">
        <x:v>2026.08.31</x:v>
      </x:c>
      <x:c r="G316" s="17" t="str">
        <x:v>26.09.14 D-5</x:v>
      </x:c>
      <x:c r="H316" s="17" t="str">
        <x:v>제한경쟁·조건부</x:v>
      </x:c>
      <x:c r="I316" s="17" t="str">
        <x:v>조건 충족자만</x:v>
      </x:c>
      <x:c r="J316" s="17" t="str">
        <x:v>장애 관련 제한경쟁</x:v>
      </x:c>
      <x:c r="K316" s="17" t="str">
        <x:v>상세공고 확인</x:v>
      </x:c>
      <x:c r="L316" s="17" t="str">
        <x:v>상세공고 확인</x:v>
      </x:c>
      <x:c r="M316" s="17" t="str">
        <x:v>상세공고 확인</x:v>
      </x:c>
      <x:c r="N316" s="17" t="str">
        <x:v>상세공고 확인</x:v>
      </x:c>
      <x:c r="O316" s="17" t="str">
        <x:v>상세공고 확인</x:v>
      </x:c>
      <x:c r="P316" s="17" t="str">
        <x:v>상세공고 확인</x:v>
      </x:c>
      <x:c r="Q316" s="17" t="str">
        <x:v>상세공고 확인</x:v>
      </x:c>
      <x:c r="R316" s="17" t="str">
        <x:v>상세공고 확인</x:v>
      </x:c>
      <x:c r="S316" s="17" t="str">
        <x:v>상세공고 확인</x:v>
      </x:c>
      <x:c r="T316" s="17" t="str">
        <x:v>상세공고 확인</x:v>
      </x:c>
      <x:c r="U316" s="17" t="str">
        <x:v>상세공고 확인</x:v>
      </x:c>
      <x:c r="V316" s="17" t="str">
        <x:v>목록 항목 확인</x:v>
      </x:c>
      <x:c r="W316" s="17" t="str">
        <x:v>공고 상세에서 확인</x:v>
      </x:c>
      <x:c r="X316" s="18" t="str">
        <x:v>https://job.alio.go.kr/recruitview.do?idx=304406</x:v>
      </x:c>
      <x:c r="Y316" s="1"/>
      <x:c r="Z316" s="1"/>
    </x:row>
    <x:row r="317" ht="54" customHeight="1">
      <x:c r="A317" s="17" t="n">
        <x:v>107</x:v>
      </x:c>
      <x:c r="B317" s="17" t="str">
        <x:v>한국지능정보사회진흥원</x:v>
      </x:c>
      <x:c r="C317" s="17" t="str">
        <x:v>2026년 한국지능정보사회진흥원 하반기 정규직 및 무기계약직(일반직) 채용공고</x:v>
      </x:c>
      <x:c r="D317" s="17" t="str">
        <x:v>대구 외 1</x:v>
      </x:c>
      <x:c r="E317" s="17" t="str">
        <x:v>무기계약직 외 1</x:v>
      </x:c>
      <x:c r="F317" s="17" t="str">
        <x:v>2026.08.31</x:v>
      </x:c>
      <x:c r="G317" s="17" t="str">
        <x:v>26.09.14 D-5</x:v>
      </x:c>
      <x:c r="H317" s="17" t="str">
        <x:v>무기계약·공무직</x:v>
      </x:c>
      <x:c r="I317" s="17" t="str">
        <x:v>검토</x:v>
      </x:c>
      <x:c r="J317" s="17" t="str">
        <x:v>제한 문구 미탐지</x:v>
      </x:c>
      <x:c r="K317" s="17" t="str">
        <x:v>신입+경력</x:v>
      </x:c>
      <x:c r="L317" s="17" t="str">
        <x:v>학력무관</x:v>
      </x:c>
      <x:c r="M317" s="17" t="str">
        <x:v>20명</x:v>
      </x:c>
      <x:c r="N317" s="17" t="str">
        <x:v>사업관리,경영.회계.사무,전기.전자,정보통신</x:v>
      </x:c>
      <x:c r="O317" s="17" t="str">
        <x:v>법정취업지원가점(국가유공자 등 취업지원대상자, 등록장애인) 및 공고 참조</x:v>
      </x:c>
      <x:c r="P317" s="17" t="str">
        <x:v>미탐지(원문 재확인)</x:v>
      </x:c>
      <x:c r="Q317" s="17" t="str">
        <x:v>상세공고 확인</x:v>
      </x:c>
      <x:c r="R317" s="17" t="str">
        <x:v>- 블라인드 채용에 따른 학력, 전공, 성별, 어학성적 등 제한없음(단, 지원분야별 조건 상이) [NIA의 일반직 정년(만 60세)을 초과한 자는 지원 불가] - 해외여행에 결격사유가 없는 자 - 채용 즉시 근무가 가능한 자, 전일근무 가능자 - 한국지능정보사회진흥원 인사규정 제6조(결격사유)에 해당하지 않는 자 분야별 자격요건 관련 자세한 내용은 첨부파일의 채용공고문을 참조바람.</x:v>
      </x:c>
      <x:c r="S317" s="17" t="str">
        <x:v>어학</x:v>
      </x:c>
      <x:c r="T317" s="17" t="str">
        <x:v>모집분야별 전형절차 및 방법은 첨부파일의 채용공고문을 참조</x:v>
      </x:c>
      <x:c r="U317" s="17" t="str">
        <x:v>상세공고 확인</x:v>
      </x:c>
      <x:c r="V317" s="17" t="str">
        <x:v>상세 페이지 확인</x:v>
      </x:c>
      <x:c r="W317" s="17" t="str">
        <x:v>https://nia.recruiter.co.kr/</x:v>
      </x:c>
      <x:c r="X317" s="18" t="str">
        <x:v>https://job.alio.go.kr/recruitview.do?idx=304405</x:v>
      </x:c>
      <x:c r="Y317" s="1"/>
      <x:c r="Z317" s="1"/>
    </x:row>
    <x:row r="318" ht="54" customHeight="1">
      <x:c r="A318" s="17" t="n">
        <x:v>106</x:v>
      </x:c>
      <x:c r="B318" s="17" t="str">
        <x:v>한국마사회</x:v>
      </x:c>
      <x:c r="C318" s="17" t="str">
        <x:v>2026년도 한국마사회 위촉직(비서) 채용공고</x:v>
      </x:c>
      <x:c r="D318" s="17" t="str">
        <x:v>부산 외 1</x:v>
      </x:c>
      <x:c r="E318" s="17" t="str">
        <x:v>비정규직</x:v>
      </x:c>
      <x:c r="F318" s="17" t="str">
        <x:v>2026.08.31</x:v>
      </x:c>
      <x:c r="G318" s="17" t="str">
        <x:v>26.09.14 D-5</x:v>
      </x:c>
      <x:c r="H318" s="17" t="str">
        <x:v>기간제·비정규</x:v>
      </x:c>
      <x:c r="I318" s="17" t="str">
        <x:v>세부조건 확인</x:v>
      </x:c>
      <x:c r="J318" s="17" t="str">
        <x:v>제한 문구 미탐지</x:v>
      </x:c>
      <x:c r="K318" s="17" t="str">
        <x:v>상세공고 확인</x:v>
      </x:c>
      <x:c r="L318" s="17" t="str">
        <x:v>상세공고 확인</x:v>
      </x:c>
      <x:c r="M318" s="17" t="str">
        <x:v>상세공고 확인</x:v>
      </x:c>
      <x:c r="N318" s="17" t="str">
        <x:v>상세공고 확인</x:v>
      </x:c>
      <x:c r="O318" s="17" t="str">
        <x:v>상세공고 확인</x:v>
      </x:c>
      <x:c r="P318" s="17" t="str">
        <x:v>상세공고 확인</x:v>
      </x:c>
      <x:c r="Q318" s="17" t="str">
        <x:v>상세공고 확인</x:v>
      </x:c>
      <x:c r="R318" s="17" t="str">
        <x:v>상세공고 확인</x:v>
      </x:c>
      <x:c r="S318" s="17" t="str">
        <x:v>상세공고 확인</x:v>
      </x:c>
      <x:c r="T318" s="17" t="str">
        <x:v>상세공고 확인</x:v>
      </x:c>
      <x:c r="U318" s="17" t="str">
        <x:v>상세공고 확인</x:v>
      </x:c>
      <x:c r="V318" s="17" t="str">
        <x:v>목록 항목 확인</x:v>
      </x:c>
      <x:c r="W318" s="17" t="str">
        <x:v>공고 상세에서 확인</x:v>
      </x:c>
      <x:c r="X318" s="18" t="str">
        <x:v>https://job.alio.go.kr/recruitview.do?idx=304404</x:v>
      </x:c>
      <x:c r="Y318" s="1"/>
      <x:c r="Z318" s="1"/>
    </x:row>
    <x:row r="319" ht="54" customHeight="1">
      <x:c r="A319" s="17" t="n">
        <x:v>105</x:v>
      </x:c>
      <x:c r="B319" s="17" t="str">
        <x:v>한국산업은행</x:v>
      </x:c>
      <x:c r="C319" s="17" t="str">
        <x:v>한국산업은행 2027년 5급 신입행원(변호사) 채용공고</x:v>
      </x:c>
      <x:c r="D319" s="17" t="str">
        <x:v>서울 외 15</x:v>
      </x:c>
      <x:c r="E319" s="17" t="str">
        <x:v>정규직</x:v>
      </x:c>
      <x:c r="F319" s="17" t="str">
        <x:v>2026.08.31</x:v>
      </x:c>
      <x:c r="G319" s="17" t="str">
        <x:v>26.09.14 D-5</x:v>
      </x:c>
      <x:c r="H319" s="17" t="str">
        <x:v>경력·전문직</x:v>
      </x:c>
      <x:c r="I319" s="17" t="str">
        <x:v>경력·전문 우선</x:v>
      </x:c>
      <x:c r="J319" s="17" t="str">
        <x:v>제한 문구 미탐지</x:v>
      </x:c>
      <x:c r="K319" s="17" t="str">
        <x:v>상세공고 확인</x:v>
      </x:c>
      <x:c r="L319" s="17" t="str">
        <x:v>상세공고 확인</x:v>
      </x:c>
      <x:c r="M319" s="17" t="str">
        <x:v>상세공고 확인</x:v>
      </x:c>
      <x:c r="N319" s="17" t="str">
        <x:v>상세공고 확인</x:v>
      </x:c>
      <x:c r="O319" s="17" t="str">
        <x:v>상세공고 확인</x:v>
      </x:c>
      <x:c r="P319" s="17" t="str">
        <x:v>상세공고 확인</x:v>
      </x:c>
      <x:c r="Q319" s="17" t="str">
        <x:v>상세공고 확인</x:v>
      </x:c>
      <x:c r="R319" s="17" t="str">
        <x:v>상세공고 확인</x:v>
      </x:c>
      <x:c r="S319" s="17" t="str">
        <x:v>상세공고 확인</x:v>
      </x:c>
      <x:c r="T319" s="17" t="str">
        <x:v>상세공고 확인</x:v>
      </x:c>
      <x:c r="U319" s="17" t="str">
        <x:v>상세공고 확인</x:v>
      </x:c>
      <x:c r="V319" s="17" t="str">
        <x:v>목록 항목 확인</x:v>
      </x:c>
      <x:c r="W319" s="17" t="str">
        <x:v>공고 상세에서 확인</x:v>
      </x:c>
      <x:c r="X319" s="18" t="str">
        <x:v>https://job.alio.go.kr/recruitview.do?idx=304399</x:v>
      </x:c>
      <x:c r="Y319" s="1"/>
      <x:c r="Z319" s="1"/>
    </x:row>
    <x:row r="320" ht="54" customHeight="1">
      <x:c r="A320" s="17" t="n">
        <x:v>104</x:v>
      </x:c>
      <x:c r="B320" s="17" t="str">
        <x:v>한국산업은행</x:v>
      </x:c>
      <x:c r="C320" s="17" t="str">
        <x:v>한국산업은행 2027년 5급 신입행원(일반) 채용공고</x:v>
      </x:c>
      <x:c r="D320" s="17" t="str">
        <x:v>서울 외 15</x:v>
      </x:c>
      <x:c r="E320" s="17" t="str">
        <x:v>정규직</x:v>
      </x:c>
      <x:c r="F320" s="17" t="str">
        <x:v>2026.08.31</x:v>
      </x:c>
      <x:c r="G320" s="17" t="str">
        <x:v>26.09.14 D-5</x:v>
      </x:c>
      <x:c r="H320" s="17" t="str">
        <x:v>신입·정규직</x:v>
      </x:c>
      <x:c r="I320" s="17" t="str">
        <x:v>우선검토</x:v>
      </x:c>
      <x:c r="J320" s="17" t="str">
        <x:v>제한 문구 미탐지</x:v>
      </x:c>
      <x:c r="K320" s="17" t="str">
        <x:v>신입</x:v>
      </x:c>
      <x:c r="L320" s="17" t="str">
        <x:v>학력무관</x:v>
      </x:c>
      <x:c r="M320" s="17" t="str">
        <x:v>90명</x:v>
      </x:c>
      <x:c r="N320" s="17" t="str">
        <x:v>금융.보험</x:v>
      </x:c>
      <x:c r="O320" s="17" t="str">
        <x:v>하단 우대내용 참고</x:v>
      </x:c>
      <x:c r="P320" s="17" t="str">
        <x:v>미탐지(원문 재확인)</x:v>
      </x:c>
      <x:c r="Q320" s="17" t="str">
        <x:v>상세공고 확인</x:v>
      </x:c>
      <x:c r="R320" s="17" t="str">
        <x:v>○ 연령, 학력 및 전공 : 제한없음 * 단, 접수마감일 기준 만 60세 이상인 자 제외 ○ 병역의무를 필한 자 또는 면제받은 자 * 2026. 11. 30. 까지 전역 가능한 자 포함 ○ 채용확정(12월말 예정) 후 전일 근무 가능한 자 * 졸업, 재학, 이직절차, 군 전역 등의 사유로 입행 유예 불가 ○ 은행 인사내규상 결격사유에 해당되지 않는 자 ○「부패방지 및 국민권익위원회의 설치와 운영에 관한 법률」제82조 “비위면직자 등”에 해당되지 않는 자 ○ 접수기간중 공고되는 산업은행의 모든 채용공고 및 채용분야에 중복지원 불가 * 단,「2026년 3차 청년인턴 채용공고」와 중복지원 가능</x:v>
      </x:c>
      <x:c r="S320" s="17" t="str">
        <x:v>한국사, 어학, TOEIC, 의사</x:v>
      </x:c>
      <x:c r="T320" s="17" t="str">
        <x:v>[서류심사] ○ 선발인원 ① (경영, 경제, IT, AI) 채용예정인원의 15배수 내외 ② (로봇·기계, 토목·건축, 바이오) 채용예정인원의 20배수 내외 * 동점자 처리기준에 의거 추가선발하거나, 적격자가 없는 경우 선발규모를 축소할 수 있음 ○ 지원동기 및 입행후 계획, 역량개발노력, 자기소개 등 ○ 어학성적 : 어학성적 충족여부 평가 - 지원서 작성시 기준점수 충족여부만 입력 - 기준점수 : TOEIC 750, NEW TEPS 358, TOEFL(iBT) 72, HSK 5급, JPT 800 (기타 어학성적 불인정) * 기준점수를 충족하지 못하는 경우에도 “미충족” 선택하여 지원 가능 ** ’26.1.21자 TOEFL(iBT) 점수체계 개정 기준 4점 ○ 합격자 발표 : 2026.9.29.(화) &lt; 어학성적 유효기간 (① 또는 ②) &gt; ① 국가공무원 채용시스템(gongmuwon.gosi.kr)에 사전등록하지 않은 어학성적 - `25. 1. 1자 이후 응시하여 지원서 접수마감일 기준 유효한 성적에 한하여 인정 ② 국가공무원 채용시스템(gongmuwon.gosi.kr)에 사전등록한 어학성적 - ‘21. 1. 1자 이후 응시하여 지원서 접수마감일까지 점수(등급)가 발표된 시험으로, 해당시험 유효기간 만료 전 국가공무원 채용 시스템을 통해 사전등록을 한 경우에 한하여 인정 ※ 사유불문하고 진위여부 검증이 되지 않을 경우 합격(채용)이 취소될 수 있음 [필기시험] ○ 선발인원 ① (경영, 경제, IT, AI) 채용예정인원의 3배수 내외 ② (로봇·기계, 토목·건축, 바이오) 채용예정인원의 4배수 내외 * 동점자 처리기준에 의거 추가선발하거나, 적격자가 없는 경우 선발규모를 축소할 수 있음 ○ 채용분야별 응시과목 ① (경영, 경제) 직무지식시험(경영학, 경제학 중 택1), 일반시사논술, NCS직업공통능력평가(의사소통, 수리, 문제해결, 디지털) ② (IT, AI, 로봇·기계, 토목·건축, 바이오) 직무지식시험(IT, AI(인공지능공학), 로봇·기계공학, 토목·건축공학, 생명공학 중 1과목 선택), NCS직업공통능력평가(의사소통, 수리, 문제해결, 디지털) ○ 필기시험 합격자 대상 온라인 방식으로 인성검사 실시하여 면접 참고자료로 활용 ○ 시험일자 : 2026.10.24.(토) ○ 합격자 발표 : 2026.10.30.(금) [1차면접] ○ 선발인원 ① (경영, 경제, IT, AI) 채용예정인원의 1.5배수 내외 ② (로봇·기계, 토목·건축, 바이오) 채용예정인원의 2배수 내외 * 동점자 처리기준에 의거 추가선발하거나, 적격자가 없는 경우 선발규모를 축소할 수 있음 ○ 면접유형 - (경영, 경제, 로봇·기계, 토목·건축, 바이오) 직무능력면접, P/T면접, 심층과제면접 - (IT) 직무능력면접, P/T면접, 코딩역량평가 - (AI) 직무능력면접, P/T면접, AI역량평가…</x:v>
      </x:c>
      <x:c r="U320" s="17" t="str">
        <x:v>1자 이후 응시하여 지원서 접수마감일까지 점수(등급)가 발표된 시험으로, 해당시험 유효기간 만료 전 국가공무원 채용 시스템을 통해 사전등록을 한 경우에 한하여 인정 ※ 사유불문하고 진위여부 검증이 되지 않을 경우 합격(채용)이 취소될 수 있음 [필기시험] ○ 선발인원 ① (경영, 경제, IT, AI) 채용예정인원의 3배수 내외 ② (로봇·기계, 토목·건축, 바이오) 채용예정인원의 4배수 내외 * 동점자 처리기준에 의거 추가선발하거나, 적격자가 없는 경우 선발규모를 축소할 수 있음 ○ 채용분야별 응시과목 ① (경영, 경제) 직무지식시험(경영학, 경제학 중 택1), 일반시사논술, NCS직업공통능력평가(의사소통, 수리, 문제해결, 디지털) ② (IT, AI, 로봇·기계, 토목·건축, 바이오) 직무지식시험(IT, AI(인공지능공학), 로봇·기계공학, 토목·건축공학, 생명공학 중 1과목 선택), NCS직업공통능력평가(의사소통, 수리, 문제해결, 디지털) ○ 필기시험 합격자 대상 온라인 방식으로 인성검사 실시하여 면접 참고자료로 활용 ○ 시험일자 : 2026 / (금) [1차면접] ○ 선발인원 ① (경영, 경제, IT, AI) 채용예정인원의 1 / 5배수 내외 ② (로봇·기계, 토목·건축, 바이오) 채용예정인원의 2배수 내외 * 동점자 처리기준에 의거 추가선발하거나, 적격자가 없는 경우 선발규모를 축소할 수 있음 ○ 면접유형 - (경영, 경제, 로봇·기계, 토목·건축, 바이오) 직무능력면접, P/T면접, 심층과제면접 - (IT) 직무능력면접, P/T면접, 코딩역량평가 - (AI) 직무능력면접, P/T면접, AI역량평가…</x:v>
      </x:c>
      <x:c r="V320" s="17" t="str">
        <x:v>상세 페이지 확인</x:v>
      </x:c>
      <x:c r="W320" s="17" t="str">
        <x:v>https://kdb.incruit.com/hire/viewhire.asp?projectid=126</x:v>
      </x:c>
      <x:c r="X320" s="18" t="str">
        <x:v>https://job.alio.go.kr/recruitview.do?idx=304398</x:v>
      </x:c>
      <x:c r="Y320" s="1"/>
      <x:c r="Z320" s="1"/>
    </x:row>
    <x:row r="321" ht="54" customHeight="1">
      <x:c r="A321" s="17" t="n">
        <x:v>103</x:v>
      </x:c>
      <x:c r="B321" s="17" t="str">
        <x:v>한국산업은행</x:v>
      </x:c>
      <x:c r="C321" s="17" t="str">
        <x:v>한국산업은행 장애인 전문직원(사무관리) 채용공고</x:v>
      </x:c>
      <x:c r="D321" s="17" t="str">
        <x:v>서울 외 15</x:v>
      </x:c>
      <x:c r="E321" s="17" t="str">
        <x:v>무기계약직</x:v>
      </x:c>
      <x:c r="F321" s="17" t="str">
        <x:v>2026.08.31</x:v>
      </x:c>
      <x:c r="G321" s="17" t="str">
        <x:v>26.09.14 D-5</x:v>
      </x:c>
      <x:c r="H321" s="17" t="str">
        <x:v>경력·전문직</x:v>
      </x:c>
      <x:c r="I321" s="17" t="str">
        <x:v>경력·전문 우선</x:v>
      </x:c>
      <x:c r="J321" s="17" t="str">
        <x:v>제한 문구 미탐지</x:v>
      </x:c>
      <x:c r="K321" s="17" t="str">
        <x:v>상세공고 확인</x:v>
      </x:c>
      <x:c r="L321" s="17" t="str">
        <x:v>상세공고 확인</x:v>
      </x:c>
      <x:c r="M321" s="17" t="str">
        <x:v>상세공고 확인</x:v>
      </x:c>
      <x:c r="N321" s="17" t="str">
        <x:v>상세공고 확인</x:v>
      </x:c>
      <x:c r="O321" s="17" t="str">
        <x:v>상세공고 확인</x:v>
      </x:c>
      <x:c r="P321" s="17" t="str">
        <x:v>상세공고 확인</x:v>
      </x:c>
      <x:c r="Q321" s="17" t="str">
        <x:v>상세공고 확인</x:v>
      </x:c>
      <x:c r="R321" s="17" t="str">
        <x:v>상세공고 확인</x:v>
      </x:c>
      <x:c r="S321" s="17" t="str">
        <x:v>상세공고 확인</x:v>
      </x:c>
      <x:c r="T321" s="17" t="str">
        <x:v>상세공고 확인</x:v>
      </x:c>
      <x:c r="U321" s="17" t="str">
        <x:v>상세공고 확인</x:v>
      </x:c>
      <x:c r="V321" s="17" t="str">
        <x:v>목록 항목 확인</x:v>
      </x:c>
      <x:c r="W321" s="17" t="str">
        <x:v>공고 상세에서 확인</x:v>
      </x:c>
      <x:c r="X321" s="18" t="str">
        <x:v>https://job.alio.go.kr/recruitview.do?idx=304369</x:v>
      </x:c>
      <x:c r="Y321" s="1"/>
      <x:c r="Z321" s="1"/>
    </x:row>
    <x:row r="322" ht="54" customHeight="1">
      <x:c r="A322" s="17" t="n">
        <x:v>102</x:v>
      </x:c>
      <x:c r="B322" s="17" t="str">
        <x:v>한전KDN</x:v>
      </x:c>
      <x:c r="C322" s="17" t="str">
        <x:v>한전KDN(주) 강원사업처 강릉지사 AMI분야 비정규직(장애인) 모집공고</x:v>
      </x:c>
      <x:c r="D322" s="17" t="str">
        <x:v>강원</x:v>
      </x:c>
      <x:c r="E322" s="17" t="str">
        <x:v>비정규직</x:v>
      </x:c>
      <x:c r="F322" s="17" t="str">
        <x:v>2026.08.31</x:v>
      </x:c>
      <x:c r="G322" s="17" t="str">
        <x:v>26.09.14 D-5</x:v>
      </x:c>
      <x:c r="H322" s="17" t="str">
        <x:v>기간제·비정규</x:v>
      </x:c>
      <x:c r="I322" s="17" t="str">
        <x:v>세부조건 확인</x:v>
      </x:c>
      <x:c r="J322" s="17" t="str">
        <x:v>제한 문구 미탐지</x:v>
      </x:c>
      <x:c r="K322" s="17" t="str">
        <x:v>상세공고 확인</x:v>
      </x:c>
      <x:c r="L322" s="17" t="str">
        <x:v>상세공고 확인</x:v>
      </x:c>
      <x:c r="M322" s="17" t="str">
        <x:v>상세공고 확인</x:v>
      </x:c>
      <x:c r="N322" s="17" t="str">
        <x:v>상세공고 확인</x:v>
      </x:c>
      <x:c r="O322" s="17" t="str">
        <x:v>상세공고 확인</x:v>
      </x:c>
      <x:c r="P322" s="17" t="str">
        <x:v>상세공고 확인</x:v>
      </x:c>
      <x:c r="Q322" s="17" t="str">
        <x:v>상세공고 확인</x:v>
      </x:c>
      <x:c r="R322" s="17" t="str">
        <x:v>상세공고 확인</x:v>
      </x:c>
      <x:c r="S322" s="17" t="str">
        <x:v>상세공고 확인</x:v>
      </x:c>
      <x:c r="T322" s="17" t="str">
        <x:v>상세공고 확인</x:v>
      </x:c>
      <x:c r="U322" s="17" t="str">
        <x:v>상세공고 확인</x:v>
      </x:c>
      <x:c r="V322" s="17" t="str">
        <x:v>목록 항목 확인</x:v>
      </x:c>
      <x:c r="W322" s="17" t="str">
        <x:v>공고 상세에서 확인</x:v>
      </x:c>
      <x:c r="X322" s="18" t="str">
        <x:v>https://job.alio.go.kr/recruitview.do?idx=304361</x:v>
      </x:c>
      <x:c r="Y322" s="1"/>
      <x:c r="Z322" s="1"/>
    </x:row>
    <x:row r="323" ht="54" customHeight="1">
      <x:c r="A323" s="17" t="n">
        <x:v>101</x:v>
      </x:c>
      <x:c r="B323" s="17" t="str">
        <x:v>기초과학연구원</x:v>
      </x:c>
      <x:c r="C323" s="17" t="str">
        <x:v>2026-5회 광과학 연구클러스터 연구직 채용 공고</x:v>
      </x:c>
      <x:c r="D323" s="17" t="str">
        <x:v>전남광주</x:v>
      </x:c>
      <x:c r="E323" s="17" t="str">
        <x:v>비정규직</x:v>
      </x:c>
      <x:c r="F323" s="17" t="str">
        <x:v>2026.08.31</x:v>
      </x:c>
      <x:c r="G323" s="17" t="str">
        <x:v>26.09.15 D-6</x:v>
      </x:c>
      <x:c r="H323" s="17" t="str">
        <x:v>기간제·비정규</x:v>
      </x:c>
      <x:c r="I323" s="17" t="str">
        <x:v>세부조건 확인</x:v>
      </x:c>
      <x:c r="J323" s="17" t="str">
        <x:v>제한 문구 미탐지</x:v>
      </x:c>
      <x:c r="K323" s="17" t="str">
        <x:v>상세공고 확인</x:v>
      </x:c>
      <x:c r="L323" s="17" t="str">
        <x:v>상세공고 확인</x:v>
      </x:c>
      <x:c r="M323" s="17" t="str">
        <x:v>상세공고 확인</x:v>
      </x:c>
      <x:c r="N323" s="17" t="str">
        <x:v>상세공고 확인</x:v>
      </x:c>
      <x:c r="O323" s="17" t="str">
        <x:v>상세공고 확인</x:v>
      </x:c>
      <x:c r="P323" s="17" t="str">
        <x:v>상세공고 확인</x:v>
      </x:c>
      <x:c r="Q323" s="17" t="str">
        <x:v>상세공고 확인</x:v>
      </x:c>
      <x:c r="R323" s="17" t="str">
        <x:v>상세공고 확인</x:v>
      </x:c>
      <x:c r="S323" s="17" t="str">
        <x:v>상세공고 확인</x:v>
      </x:c>
      <x:c r="T323" s="17" t="str">
        <x:v>상세공고 확인</x:v>
      </x:c>
      <x:c r="U323" s="17" t="str">
        <x:v>상세공고 확인</x:v>
      </x:c>
      <x:c r="V323" s="17" t="str">
        <x:v>목록 항목 확인</x:v>
      </x:c>
      <x:c r="W323" s="17" t="str">
        <x:v>공고 상세에서 확인</x:v>
      </x:c>
      <x:c r="X323" s="18" t="str">
        <x:v>https://job.alio.go.kr/recruitview.do?idx=304356</x:v>
      </x:c>
      <x:c r="Y323" s="1"/>
      <x:c r="Z323" s="1"/>
    </x:row>
    <x:row r="324" ht="54" customHeight="1">
      <x:c r="A324" s="17" t="n">
        <x:v>100</x:v>
      </x:c>
      <x:c r="B324" s="17" t="str">
        <x:v>기초과학연구원</x:v>
      </x:c>
      <x:c r="C324" s="17" t="str">
        <x:v>제2026-6회 기초과학연구원 원자제어 저차원 전자계 연구단 박사후연구원 채용 공고</x:v>
      </x:c>
      <x:c r="D324" s="17" t="str">
        <x:v>경북</x:v>
      </x:c>
      <x:c r="E324" s="17" t="str">
        <x:v>비정규직</x:v>
      </x:c>
      <x:c r="F324" s="17" t="str">
        <x:v>2026.08.31</x:v>
      </x:c>
      <x:c r="G324" s="17" t="str">
        <x:v>26.09.15 D-6</x:v>
      </x:c>
      <x:c r="H324" s="17" t="str">
        <x:v>경력·전문직</x:v>
      </x:c>
      <x:c r="I324" s="17" t="str">
        <x:v>경력·전문 우선</x:v>
      </x:c>
      <x:c r="J324" s="17" t="str">
        <x:v>제한 문구 미탐지</x:v>
      </x:c>
      <x:c r="K324" s="17" t="str">
        <x:v>상세공고 확인</x:v>
      </x:c>
      <x:c r="L324" s="17" t="str">
        <x:v>상세공고 확인</x:v>
      </x:c>
      <x:c r="M324" s="17" t="str">
        <x:v>상세공고 확인</x:v>
      </x:c>
      <x:c r="N324" s="17" t="str">
        <x:v>상세공고 확인</x:v>
      </x:c>
      <x:c r="O324" s="17" t="str">
        <x:v>상세공고 확인</x:v>
      </x:c>
      <x:c r="P324" s="17" t="str">
        <x:v>상세공고 확인</x:v>
      </x:c>
      <x:c r="Q324" s="17" t="str">
        <x:v>상세공고 확인</x:v>
      </x:c>
      <x:c r="R324" s="17" t="str">
        <x:v>상세공고 확인</x:v>
      </x:c>
      <x:c r="S324" s="17" t="str">
        <x:v>상세공고 확인</x:v>
      </x:c>
      <x:c r="T324" s="17" t="str">
        <x:v>상세공고 확인</x:v>
      </x:c>
      <x:c r="U324" s="17" t="str">
        <x:v>상세공고 확인</x:v>
      </x:c>
      <x:c r="V324" s="17" t="str">
        <x:v>목록 항목 확인</x:v>
      </x:c>
      <x:c r="W324" s="17" t="str">
        <x:v>공고 상세에서 확인</x:v>
      </x:c>
      <x:c r="X324" s="18" t="str">
        <x:v>https://job.alio.go.kr/recruitview.do?idx=304355</x:v>
      </x:c>
      <x:c r="Y324" s="1"/>
      <x:c r="Z324" s="1"/>
    </x:row>
    <x:row r="325" ht="54" customHeight="1">
      <x:c r="A325" s="17" t="n">
        <x:v>99</x:v>
      </x:c>
      <x:c r="B325" s="17" t="str">
        <x:v>(주)강원랜드</x:v>
      </x:c>
      <x:c r="C325" s="17" t="str">
        <x:v>㈜강원랜드 2026년 1차 촉탁직(임원운전기사) 채용 공고</x:v>
      </x:c>
      <x:c r="D325" s="17" t="str">
        <x:v>강원</x:v>
      </x:c>
      <x:c r="E325" s="17" t="str">
        <x:v>비정규직</x:v>
      </x:c>
      <x:c r="F325" s="17" t="str">
        <x:v>2026.08.31</x:v>
      </x:c>
      <x:c r="G325" s="17" t="str">
        <x:v>26.09.14 D-5</x:v>
      </x:c>
      <x:c r="H325" s="17" t="str">
        <x:v>경력·전문직</x:v>
      </x:c>
      <x:c r="I325" s="17" t="str">
        <x:v>경력·전문 우선</x:v>
      </x:c>
      <x:c r="J325" s="17" t="str">
        <x:v>제한 문구 미탐지</x:v>
      </x:c>
      <x:c r="K325" s="17" t="str">
        <x:v>상세공고 확인</x:v>
      </x:c>
      <x:c r="L325" s="17" t="str">
        <x:v>상세공고 확인</x:v>
      </x:c>
      <x:c r="M325" s="17" t="str">
        <x:v>상세공고 확인</x:v>
      </x:c>
      <x:c r="N325" s="17" t="str">
        <x:v>상세공고 확인</x:v>
      </x:c>
      <x:c r="O325" s="17" t="str">
        <x:v>상세공고 확인</x:v>
      </x:c>
      <x:c r="P325" s="17" t="str">
        <x:v>상세공고 확인</x:v>
      </x:c>
      <x:c r="Q325" s="17" t="str">
        <x:v>상세공고 확인</x:v>
      </x:c>
      <x:c r="R325" s="17" t="str">
        <x:v>상세공고 확인</x:v>
      </x:c>
      <x:c r="S325" s="17" t="str">
        <x:v>상세공고 확인</x:v>
      </x:c>
      <x:c r="T325" s="17" t="str">
        <x:v>상세공고 확인</x:v>
      </x:c>
      <x:c r="U325" s="17" t="str">
        <x:v>상세공고 확인</x:v>
      </x:c>
      <x:c r="V325" s="17" t="str">
        <x:v>목록 항목 확인</x:v>
      </x:c>
      <x:c r="W325" s="17" t="str">
        <x:v>공고 상세에서 확인</x:v>
      </x:c>
      <x:c r="X325" s="18" t="str">
        <x:v>https://job.alio.go.kr/recruitview.do?idx=304336</x:v>
      </x:c>
      <x:c r="Y325" s="1"/>
      <x:c r="Z325" s="1"/>
    </x:row>
    <x:row r="326" ht="54" customHeight="1">
      <x:c r="A326" s="17" t="n">
        <x:v>98</x:v>
      </x:c>
      <x:c r="B326" s="17" t="str">
        <x:v>한전KDN</x:v>
      </x:c>
      <x:c r="C326" s="17" t="str">
        <x:v>한전KDN(주) 대전충남본부 천안지사 AMI분야 작업원 모집공고</x:v>
      </x:c>
      <x:c r="D326" s="17" t="str">
        <x:v>충남</x:v>
      </x:c>
      <x:c r="E326" s="17" t="str">
        <x:v>비정규직</x:v>
      </x:c>
      <x:c r="F326" s="17" t="str">
        <x:v>2026.08.31</x:v>
      </x:c>
      <x:c r="G326" s="17" t="str">
        <x:v>26.09.14 D-5</x:v>
      </x:c>
      <x:c r="H326" s="17" t="str">
        <x:v>기간제·비정규</x:v>
      </x:c>
      <x:c r="I326" s="17" t="str">
        <x:v>세부조건 확인</x:v>
      </x:c>
      <x:c r="J326" s="17" t="str">
        <x:v>제한 문구 미탐지</x:v>
      </x:c>
      <x:c r="K326" s="17" t="str">
        <x:v>상세공고 확인</x:v>
      </x:c>
      <x:c r="L326" s="17" t="str">
        <x:v>상세공고 확인</x:v>
      </x:c>
      <x:c r="M326" s="17" t="str">
        <x:v>상세공고 확인</x:v>
      </x:c>
      <x:c r="N326" s="17" t="str">
        <x:v>상세공고 확인</x:v>
      </x:c>
      <x:c r="O326" s="17" t="str">
        <x:v>상세공고 확인</x:v>
      </x:c>
      <x:c r="P326" s="17" t="str">
        <x:v>상세공고 확인</x:v>
      </x:c>
      <x:c r="Q326" s="17" t="str">
        <x:v>상세공고 확인</x:v>
      </x:c>
      <x:c r="R326" s="17" t="str">
        <x:v>상세공고 확인</x:v>
      </x:c>
      <x:c r="S326" s="17" t="str">
        <x:v>상세공고 확인</x:v>
      </x:c>
      <x:c r="T326" s="17" t="str">
        <x:v>상세공고 확인</x:v>
      </x:c>
      <x:c r="U326" s="17" t="str">
        <x:v>상세공고 확인</x:v>
      </x:c>
      <x:c r="V326" s="17" t="str">
        <x:v>목록 항목 확인</x:v>
      </x:c>
      <x:c r="W326" s="17" t="str">
        <x:v>공고 상세에서 확인</x:v>
      </x:c>
      <x:c r="X326" s="18" t="str">
        <x:v>https://job.alio.go.kr/recruitview.do?idx=304326</x:v>
      </x:c>
      <x:c r="Y326" s="1"/>
      <x:c r="Z326" s="1"/>
    </x:row>
    <x:row r="327" ht="54" customHeight="1">
      <x:c r="A327" s="17" t="n">
        <x:v>97</x:v>
      </x:c>
      <x:c r="B327" s="17" t="str">
        <x:v>한국수산자원공단</x:v>
      </x:c>
      <x:c r="C327" s="17" t="str">
        <x:v>한국수산자원공단 2026년 개방직위(어업혁신본부장) 공개 모집(재공고)</x:v>
      </x:c>
      <x:c r="D327" s="17" t="str">
        <x:v>부산</x:v>
      </x:c>
      <x:c r="E327" s="17" t="str">
        <x:v>비정규직</x:v>
      </x:c>
      <x:c r="F327" s="17" t="str">
        <x:v>2026.08.28</x:v>
      </x:c>
      <x:c r="G327" s="17" t="str">
        <x:v>26.09.14 D-5</x:v>
      </x:c>
      <x:c r="H327" s="17" t="str">
        <x:v>기간제·비정규</x:v>
      </x:c>
      <x:c r="I327" s="17" t="str">
        <x:v>세부조건 확인</x:v>
      </x:c>
      <x:c r="J327" s="17" t="str">
        <x:v>제한 문구 미탐지</x:v>
      </x:c>
      <x:c r="K327" s="17" t="str">
        <x:v>상세공고 확인</x:v>
      </x:c>
      <x:c r="L327" s="17" t="str">
        <x:v>상세공고 확인</x:v>
      </x:c>
      <x:c r="M327" s="17" t="str">
        <x:v>상세공고 확인</x:v>
      </x:c>
      <x:c r="N327" s="17" t="str">
        <x:v>상세공고 확인</x:v>
      </x:c>
      <x:c r="O327" s="17" t="str">
        <x:v>상세공고 확인</x:v>
      </x:c>
      <x:c r="P327" s="17" t="str">
        <x:v>상세공고 확인</x:v>
      </x:c>
      <x:c r="Q327" s="17" t="str">
        <x:v>상세공고 확인</x:v>
      </x:c>
      <x:c r="R327" s="17" t="str">
        <x:v>상세공고 확인</x:v>
      </x:c>
      <x:c r="S327" s="17" t="str">
        <x:v>상세공고 확인</x:v>
      </x:c>
      <x:c r="T327" s="17" t="str">
        <x:v>상세공고 확인</x:v>
      </x:c>
      <x:c r="U327" s="17" t="str">
        <x:v>상세공고 확인</x:v>
      </x:c>
      <x:c r="V327" s="17" t="str">
        <x:v>목록 항목 확인</x:v>
      </x:c>
      <x:c r="W327" s="17" t="str">
        <x:v>공고 상세에서 확인</x:v>
      </x:c>
      <x:c r="X327" s="18" t="str">
        <x:v>https://job.alio.go.kr/recruitview.do?idx=304402</x:v>
      </x:c>
      <x:c r="Y327" s="1"/>
      <x:c r="Z327" s="1"/>
    </x:row>
    <x:row r="328" ht="54" customHeight="1">
      <x:c r="A328" s="17" t="n">
        <x:v>96</x:v>
      </x:c>
      <x:c r="B328" s="17" t="str">
        <x:v>예금보험공사</x:v>
      </x:c>
      <x:c r="C328" s="17" t="str">
        <x:v>2026년도 예금보험공사 신입직원 채용안내</x:v>
      </x:c>
      <x:c r="D328" s="17" t="str">
        <x:v>서울</x:v>
      </x:c>
      <x:c r="E328" s="17" t="str">
        <x:v>정규직</x:v>
      </x:c>
      <x:c r="F328" s="17" t="str">
        <x:v>2026.08.28</x:v>
      </x:c>
      <x:c r="G328" s="17" t="str">
        <x:v>26.09.11 D-2</x:v>
      </x:c>
      <x:c r="H328" s="17" t="str">
        <x:v>신입·정규직</x:v>
      </x:c>
      <x:c r="I328" s="17" t="str">
        <x:v>우선검토</x:v>
      </x:c>
      <x:c r="J328" s="17" t="str">
        <x:v>제한 문구 미탐지</x:v>
      </x:c>
      <x:c r="K328" s="17" t="str">
        <x:v>신입</x:v>
      </x:c>
      <x:c r="L328" s="17" t="str">
        <x:v>학력무관,고졸</x:v>
      </x:c>
      <x:c r="M328" s="17" t="str">
        <x:v>35명</x:v>
      </x:c>
      <x:c r="N328" s="17" t="str">
        <x:v>경영.회계.사무,금융.보험,영업판매,정보통신</x:v>
      </x:c>
      <x:c r="O328" s="17" t="str">
        <x:v>장애인, 보훈 관련 법률에 따른 취업지원 대상자, 수급자, 한부모가족 지원대상자, 의사상자 등, 북한이탈주민, 다문화가족 구성원, 자립준비청년, 자격증 보유자, 예금보험공사 (우수)인턴 수료자, 비수도권 지역인재</x:v>
      </x:c>
      <x:c r="P328" s="17" t="str">
        <x:v>명시 있음</x:v>
      </x:c>
      <x:c r="Q328" s="17" t="str">
        <x:v>상세공고 확인</x:v>
      </x:c>
      <x:c r="R328" s="17" t="str">
        <x:v>&lt;공통&gt; ① 학력, 연령, 전공 제한 없음 ※ 단 ,입사예정일(’26.12.28.)기준 공사 정년(만 60세) 미만인 자 ② 군필자(’26.12.27일 이전 전역이 가능한 자) 또는 면제자 - 고졸(일반행정) 분야의 경우 해당하지 않음 ③ 공사 내규상 채용 결격사유에 해당하지 않는 자 ④ 채용 확정 후 즉시 근무 가능한 자 ⑤ 채용 분야별 중복지원은 불가 &lt;고졸&gt; ㅇ 다음 조건을 모두 충족하는 자 ① 2027년초 특성화고(마이스터고 등도 포함*) 졸업예정자 * 특성화고·마이스터고 포털 사이트(www.hifive.go.kr)에 등록된 학교 기준 ② 학교장의 추천을 받은 자(학교별 1명*) * 학교별 1명만 추천 가능하며, 2명 이상 추천 시 해당 학교 지원자 모두 불합격 처리</x:v>
      </x:c>
      <x:c r="S328" s="17" t="str">
        <x:v>의사</x:v>
      </x:c>
      <x:c r="T328" s="17" t="str">
        <x:v>ㅇ 전형절차 : 지원서접수 → 서류전형 → 필기전형 → 1차 면접전형 → 2차 면접전형 → 신체검사 및 신원조사 ㅇ 평가방법(금융일반, 디지털) - 1차(서류전형) : 25배수, 직무관련 교육·자격(100),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3배수, NCS 직업기초능력평가(45), 직무수행능력평가(255) - 3차(1차 면접전형) : 1.5배수, 1차 면접전형 결과(75), 필기전형 결과(25) - 4차(2차 면접전형) : 1배수, 2차 면접전형 결과(100) - 최종(신체검사, 신원조사) : 채용결격사유 확인(적·부) ㅇ 평가방법(고졸(일반행정) 분야) - 1차(서류전형) :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4배수, NCS 직업기초능력평가(100) - 3차(1차 면접전형) : 2배수, 1차 면접전형 결과(75), 필기전형 결과(25) - 4차(2차 면접전형) : 1배수, 2차 면접전형 결과(100) - 최종(신체검사, 신원조사) : 채용결격사유 확인(적·부) ※ 보다 자세한 사항은 첨부파일의 채용공고문 참조</x:v>
      </x:c>
      <x:c r="U328" s="17" t="str">
        <x:v>ㅇ 전형절차 : 지원서접수 → 서류전형 → 필기전형 → 1차 면접전형 → 2차 면접전형 → 신체검사 및 신원조사 ㅇ 평가방법(금융일반, 디지털) - 1차(서류전형) : 25배수, 직무관련 교육·자격(100),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3배수, NCS 직업기초능력평가(45), 직무수행능력평가(255) - 3차(1차 면접전형) : 1 / 5배수, 1차 면접전형 결과(75), 필기전형 결과(25) - 4차(2차 면접전형) : 1배수, 2차 면접전형 결과(100) - 최종(신체검사, 신원조사) : 채용결격사유 확인(적·부) ㅇ 평가방법(고졸(일반행정) 분야) - 1차(서류전형) :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4배수, NCS 직업기초능력평가(100) - 3차(1차 면접전형) : 2배수, 1차 면접전형 결과(75), 필기전형 결과(25) - 4차(2차 면접전형) : 1배수, 2차 면접전형 결과(100) - 최종(신체검사, 신원조사) : 채용결격사유 확인(적·부) ※ 보다 자세한 사항은 첨부파일의 채용공고문 참조</x:v>
      </x:c>
      <x:c r="V328" s="17" t="str">
        <x:v>상세 페이지 확인</x:v>
      </x:c>
      <x:c r="W328" s="17" t="str">
        <x:v>https://www.kdic.or.kr/</x:v>
      </x:c>
      <x:c r="X328" s="18" t="str">
        <x:v>https://job.alio.go.kr/recruitview.do?idx=304400</x:v>
      </x:c>
      <x:c r="Y328" s="1"/>
      <x:c r="Z328" s="1"/>
    </x:row>
    <x:row r="329" ht="54" customHeight="1">
      <x:c r="A329" s="17" t="n">
        <x:v>95</x:v>
      </x:c>
      <x:c r="B329" s="17" t="str">
        <x:v>한국환경연구원</x:v>
      </x:c>
      <x:c r="C329" s="17" t="str">
        <x:v>[한국환경연구원] 임시직(기후위기 적응) 채용 공고(0828)</x:v>
      </x:c>
      <x:c r="D329" s="17" t="str">
        <x:v>세종</x:v>
      </x:c>
      <x:c r="E329" s="17" t="str">
        <x:v>비정규직</x:v>
      </x:c>
      <x:c r="F329" s="17" t="str">
        <x:v>2026.08.28</x:v>
      </x:c>
      <x:c r="G329" s="17" t="str">
        <x:v>26.09.14 D-5</x:v>
      </x:c>
      <x:c r="H329" s="17" t="str">
        <x:v>기간제·비정규</x:v>
      </x:c>
      <x:c r="I329" s="17" t="str">
        <x:v>세부조건 확인</x:v>
      </x:c>
      <x:c r="J329" s="17" t="str">
        <x:v>제한 문구 미탐지</x:v>
      </x:c>
      <x:c r="K329" s="17" t="str">
        <x:v>상세공고 확인</x:v>
      </x:c>
      <x:c r="L329" s="17" t="str">
        <x:v>상세공고 확인</x:v>
      </x:c>
      <x:c r="M329" s="17" t="str">
        <x:v>상세공고 확인</x:v>
      </x:c>
      <x:c r="N329" s="17" t="str">
        <x:v>상세공고 확인</x:v>
      </x:c>
      <x:c r="O329" s="17" t="str">
        <x:v>상세공고 확인</x:v>
      </x:c>
      <x:c r="P329" s="17" t="str">
        <x:v>상세공고 확인</x:v>
      </x:c>
      <x:c r="Q329" s="17" t="str">
        <x:v>상세공고 확인</x:v>
      </x:c>
      <x:c r="R329" s="17" t="str">
        <x:v>상세공고 확인</x:v>
      </x:c>
      <x:c r="S329" s="17" t="str">
        <x:v>상세공고 확인</x:v>
      </x:c>
      <x:c r="T329" s="17" t="str">
        <x:v>상세공고 확인</x:v>
      </x:c>
      <x:c r="U329" s="17" t="str">
        <x:v>상세공고 확인</x:v>
      </x:c>
      <x:c r="V329" s="17" t="str">
        <x:v>목록 항목 확인</x:v>
      </x:c>
      <x:c r="W329" s="17" t="str">
        <x:v>공고 상세에서 확인</x:v>
      </x:c>
      <x:c r="X329" s="18" t="str">
        <x:v>https://job.alio.go.kr/recruitview.do?idx=304397</x:v>
      </x:c>
      <x:c r="Y329" s="1"/>
      <x:c r="Z329" s="1"/>
    </x:row>
    <x:row r="330" ht="54" customHeight="1">
      <x:c r="A330" s="17" t="n">
        <x:v>94</x:v>
      </x:c>
      <x:c r="B330" s="17" t="str">
        <x:v>한국환경연구원</x:v>
      </x:c>
      <x:c r="C330" s="17" t="str">
        <x:v>[한국환경연구원] 임시직(공공기관 적응대책) 채용공고(0828)</x:v>
      </x:c>
      <x:c r="D330" s="17" t="str">
        <x:v>세종</x:v>
      </x:c>
      <x:c r="E330" s="17" t="str">
        <x:v>비정규직</x:v>
      </x:c>
      <x:c r="F330" s="17" t="str">
        <x:v>2026.08.28</x:v>
      </x:c>
      <x:c r="G330" s="17" t="str">
        <x:v>26.09.14 D-5</x:v>
      </x:c>
      <x:c r="H330" s="17" t="str">
        <x:v>기간제·비정규</x:v>
      </x:c>
      <x:c r="I330" s="17" t="str">
        <x:v>세부조건 확인</x:v>
      </x:c>
      <x:c r="J330" s="17" t="str">
        <x:v>제한 문구 미탐지</x:v>
      </x:c>
      <x:c r="K330" s="17" t="str">
        <x:v>상세공고 확인</x:v>
      </x:c>
      <x:c r="L330" s="17" t="str">
        <x:v>상세공고 확인</x:v>
      </x:c>
      <x:c r="M330" s="17" t="str">
        <x:v>상세공고 확인</x:v>
      </x:c>
      <x:c r="N330" s="17" t="str">
        <x:v>상세공고 확인</x:v>
      </x:c>
      <x:c r="O330" s="17" t="str">
        <x:v>상세공고 확인</x:v>
      </x:c>
      <x:c r="P330" s="17" t="str">
        <x:v>상세공고 확인</x:v>
      </x:c>
      <x:c r="Q330" s="17" t="str">
        <x:v>상세공고 확인</x:v>
      </x:c>
      <x:c r="R330" s="17" t="str">
        <x:v>상세공고 확인</x:v>
      </x:c>
      <x:c r="S330" s="17" t="str">
        <x:v>상세공고 확인</x:v>
      </x:c>
      <x:c r="T330" s="17" t="str">
        <x:v>상세공고 확인</x:v>
      </x:c>
      <x:c r="U330" s="17" t="str">
        <x:v>상세공고 확인</x:v>
      </x:c>
      <x:c r="V330" s="17" t="str">
        <x:v>목록 항목 확인</x:v>
      </x:c>
      <x:c r="W330" s="17" t="str">
        <x:v>공고 상세에서 확인</x:v>
      </x:c>
      <x:c r="X330" s="18" t="str">
        <x:v>https://job.alio.go.kr/recruitview.do?idx=304396</x:v>
      </x:c>
      <x:c r="Y330" s="1"/>
      <x:c r="Z330" s="1"/>
    </x:row>
    <x:row r="331" ht="54" customHeight="1">
      <x:c r="A331" s="17" t="n">
        <x:v>93</x:v>
      </x:c>
      <x:c r="B331" s="17" t="str">
        <x:v>국립중앙의료원</x:v>
      </x:c>
      <x:c r="C331" s="17" t="str">
        <x:v>계약직 전문의 채용 공고(외과)</x:v>
      </x:c>
      <x:c r="D331" s="17" t="str">
        <x:v>서울</x:v>
      </x:c>
      <x:c r="E331" s="17" t="str">
        <x:v>비정규직</x:v>
      </x:c>
      <x:c r="F331" s="17" t="str">
        <x:v>2026.08.28</x:v>
      </x:c>
      <x:c r="G331" s="17" t="str">
        <x:v>26.09.14 D-5</x:v>
      </x:c>
      <x:c r="H331" s="17" t="str">
        <x:v>경력·전문직</x:v>
      </x:c>
      <x:c r="I331" s="17" t="str">
        <x:v>경력·전문 우선</x:v>
      </x:c>
      <x:c r="J331" s="17" t="str">
        <x:v>제한 문구 미탐지</x:v>
      </x:c>
      <x:c r="K331" s="17" t="str">
        <x:v>상세공고 확인</x:v>
      </x:c>
      <x:c r="L331" s="17" t="str">
        <x:v>상세공고 확인</x:v>
      </x:c>
      <x:c r="M331" s="17" t="str">
        <x:v>상세공고 확인</x:v>
      </x:c>
      <x:c r="N331" s="17" t="str">
        <x:v>상세공고 확인</x:v>
      </x:c>
      <x:c r="O331" s="17" t="str">
        <x:v>상세공고 확인</x:v>
      </x:c>
      <x:c r="P331" s="17" t="str">
        <x:v>상세공고 확인</x:v>
      </x:c>
      <x:c r="Q331" s="17" t="str">
        <x:v>상세공고 확인</x:v>
      </x:c>
      <x:c r="R331" s="17" t="str">
        <x:v>상세공고 확인</x:v>
      </x:c>
      <x:c r="S331" s="17" t="str">
        <x:v>상세공고 확인</x:v>
      </x:c>
      <x:c r="T331" s="17" t="str">
        <x:v>상세공고 확인</x:v>
      </x:c>
      <x:c r="U331" s="17" t="str">
        <x:v>상세공고 확인</x:v>
      </x:c>
      <x:c r="V331" s="17" t="str">
        <x:v>목록 항목 확인</x:v>
      </x:c>
      <x:c r="W331" s="17" t="str">
        <x:v>공고 상세에서 확인</x:v>
      </x:c>
      <x:c r="X331" s="18" t="str">
        <x:v>https://job.alio.go.kr/recruitview.do?idx=304393</x:v>
      </x:c>
      <x:c r="Y331" s="1"/>
      <x:c r="Z331" s="1"/>
    </x:row>
    <x:row r="332" ht="54" customHeight="1">
      <x:c r="A332" s="17" t="n">
        <x:v>92</x:v>
      </x:c>
      <x:c r="B332" s="17" t="str">
        <x:v>한국해양수산연수원</x:v>
      </x:c>
      <x:c r="C332" s="17" t="str">
        <x:v>한국해양수산연수원 2026년도 개방형계약직(감사실장) 채용 공고</x:v>
      </x:c>
      <x:c r="D332" s="17" t="str">
        <x:v>부산</x:v>
      </x:c>
      <x:c r="E332" s="17" t="str">
        <x:v>비정규직</x:v>
      </x:c>
      <x:c r="F332" s="17" t="str">
        <x:v>2026.08.28</x:v>
      </x:c>
      <x:c r="G332" s="17" t="str">
        <x:v>26.09.11 D-2</x:v>
      </x:c>
      <x:c r="H332" s="17" t="str">
        <x:v>기간제·비정규</x:v>
      </x:c>
      <x:c r="I332" s="17" t="str">
        <x:v>세부조건 확인</x:v>
      </x:c>
      <x:c r="J332" s="17" t="str">
        <x:v>제한 문구 미탐지</x:v>
      </x:c>
      <x:c r="K332" s="17" t="str">
        <x:v>상세공고 확인</x:v>
      </x:c>
      <x:c r="L332" s="17" t="str">
        <x:v>상세공고 확인</x:v>
      </x:c>
      <x:c r="M332" s="17" t="str">
        <x:v>상세공고 확인</x:v>
      </x:c>
      <x:c r="N332" s="17" t="str">
        <x:v>상세공고 확인</x:v>
      </x:c>
      <x:c r="O332" s="17" t="str">
        <x:v>상세공고 확인</x:v>
      </x:c>
      <x:c r="P332" s="17" t="str">
        <x:v>상세공고 확인</x:v>
      </x:c>
      <x:c r="Q332" s="17" t="str">
        <x:v>상세공고 확인</x:v>
      </x:c>
      <x:c r="R332" s="17" t="str">
        <x:v>상세공고 확인</x:v>
      </x:c>
      <x:c r="S332" s="17" t="str">
        <x:v>상세공고 확인</x:v>
      </x:c>
      <x:c r="T332" s="17" t="str">
        <x:v>상세공고 확인</x:v>
      </x:c>
      <x:c r="U332" s="17" t="str">
        <x:v>상세공고 확인</x:v>
      </x:c>
      <x:c r="V332" s="17" t="str">
        <x:v>목록 항목 확인</x:v>
      </x:c>
      <x:c r="W332" s="17" t="str">
        <x:v>공고 상세에서 확인</x:v>
      </x:c>
      <x:c r="X332" s="18" t="str">
        <x:v>https://job.alio.go.kr/recruitview.do?idx=304391</x:v>
      </x:c>
      <x:c r="Y332" s="1"/>
      <x:c r="Z332" s="1"/>
    </x:row>
    <x:row r="333" ht="54" customHeight="1">
      <x:c r="A333" s="17" t="n">
        <x:v>91</x:v>
      </x:c>
      <x:c r="B333" s="17" t="str">
        <x:v>분당서울대학교병원</x:v>
      </x:c>
      <x:c r="C333" s="17" t="str">
        <x:v>2026년도 분당서울대학교병원 임상강사(Fellow) 4차 추가초빙</x:v>
      </x:c>
      <x:c r="D333" s="17" t="str">
        <x:v>경기</x:v>
      </x:c>
      <x:c r="E333" s="17" t="str">
        <x:v>정규직</x:v>
      </x:c>
      <x:c r="F333" s="17" t="str">
        <x:v>2026.08.28</x:v>
      </x:c>
      <x:c r="G333" s="17" t="str">
        <x:v>26.09.10 D-1</x:v>
      </x:c>
      <x:c r="H333" s="17" t="str">
        <x:v>정규직(세부 확인)</x:v>
      </x:c>
      <x:c r="I333" s="17" t="str">
        <x:v>세부조건 확인</x:v>
      </x:c>
      <x:c r="J333" s="17" t="str">
        <x:v>제한 문구 미탐지</x:v>
      </x:c>
      <x:c r="K333" s="17" t="str">
        <x:v>상세공고 확인</x:v>
      </x:c>
      <x:c r="L333" s="17" t="str">
        <x:v>상세공고 확인</x:v>
      </x:c>
      <x:c r="M333" s="17" t="str">
        <x:v>상세공고 확인</x:v>
      </x:c>
      <x:c r="N333" s="17" t="str">
        <x:v>상세공고 확인</x:v>
      </x:c>
      <x:c r="O333" s="17" t="str">
        <x:v>상세공고 확인</x:v>
      </x:c>
      <x:c r="P333" s="17" t="str">
        <x:v>상세공고 확인</x:v>
      </x:c>
      <x:c r="Q333" s="17" t="str">
        <x:v>상세공고 확인</x:v>
      </x:c>
      <x:c r="R333" s="17" t="str">
        <x:v>상세공고 확인</x:v>
      </x:c>
      <x:c r="S333" s="17" t="str">
        <x:v>상세공고 확인</x:v>
      </x:c>
      <x:c r="T333" s="17" t="str">
        <x:v>상세공고 확인</x:v>
      </x:c>
      <x:c r="U333" s="17" t="str">
        <x:v>상세공고 확인</x:v>
      </x:c>
      <x:c r="V333" s="17" t="str">
        <x:v>목록 항목 확인</x:v>
      </x:c>
      <x:c r="W333" s="17" t="str">
        <x:v>공고 상세에서 확인</x:v>
      </x:c>
      <x:c r="X333" s="18" t="str">
        <x:v>https://job.alio.go.kr/recruitview.do?idx=304386</x:v>
      </x:c>
      <x:c r="Y333" s="1"/>
      <x:c r="Z333" s="1"/>
    </x:row>
    <x:row r="334" ht="54" customHeight="1">
      <x:c r="A334" s="17" t="n">
        <x:v>90</x:v>
      </x:c>
      <x:c r="B334" s="17" t="str">
        <x:v>대한적십자사</x:v>
      </x:c>
      <x:c r="C334" s="17" t="str">
        <x:v>[영주적십자병원] 정규직(보험심사, 조리사), 계약직(취사원(고령), 간호사(상근직), 간호조무사(상근직), 사무보조원(장애)), 육아휴직대체 사무보조원 공개채용 공고</x:v>
      </x:c>
      <x:c r="D334" s="17" t="str">
        <x:v>경북</x:v>
      </x:c>
      <x:c r="E334" s="17" t="str">
        <x:v>비정규직 외 1</x:v>
      </x:c>
      <x:c r="F334" s="17" t="str">
        <x:v>2026.08.28</x:v>
      </x:c>
      <x:c r="G334" s="17" t="str">
        <x:v>26.09.13 D-4</x:v>
      </x:c>
      <x:c r="H334" s="17" t="str">
        <x:v>제한경쟁·조건부</x:v>
      </x:c>
      <x:c r="I334" s="17" t="str">
        <x:v>조건 충족자만</x:v>
      </x:c>
      <x:c r="J334" s="17" t="str">
        <x:v>장애 관련 제한경쟁</x:v>
      </x:c>
      <x:c r="K334" s="17" t="str">
        <x:v>상세공고 확인</x:v>
      </x:c>
      <x:c r="L334" s="17" t="str">
        <x:v>상세공고 확인</x:v>
      </x:c>
      <x:c r="M334" s="17" t="str">
        <x:v>상세공고 확인</x:v>
      </x:c>
      <x:c r="N334" s="17" t="str">
        <x:v>상세공고 확인</x:v>
      </x:c>
      <x:c r="O334" s="17" t="str">
        <x:v>상세공고 확인</x:v>
      </x:c>
      <x:c r="P334" s="17" t="str">
        <x:v>상세공고 확인</x:v>
      </x:c>
      <x:c r="Q334" s="17" t="str">
        <x:v>상세공고 확인</x:v>
      </x:c>
      <x:c r="R334" s="17" t="str">
        <x:v>상세공고 확인</x:v>
      </x:c>
      <x:c r="S334" s="17" t="str">
        <x:v>상세공고 확인</x:v>
      </x:c>
      <x:c r="T334" s="17" t="str">
        <x:v>상세공고 확인</x:v>
      </x:c>
      <x:c r="U334" s="17" t="str">
        <x:v>상세공고 확인</x:v>
      </x:c>
      <x:c r="V334" s="17" t="str">
        <x:v>목록 항목 확인</x:v>
      </x:c>
      <x:c r="W334" s="17" t="str">
        <x:v>공고 상세에서 확인</x:v>
      </x:c>
      <x:c r="X334" s="18" t="str">
        <x:v>https://job.alio.go.kr/recruitview.do?idx=304383</x:v>
      </x:c>
      <x:c r="Y334" s="1"/>
      <x:c r="Z334" s="1"/>
    </x:row>
    <x:row r="335" ht="54" customHeight="1">
      <x:c r="A335" s="17" t="n">
        <x:v>89</x:v>
      </x:c>
      <x:c r="B335" s="17" t="str">
        <x:v>경상국립대학교병원</x:v>
      </x:c>
      <x:c r="C335" s="17" t="str">
        <x:v>2026년 전문직1등급(촉탁의) 채용 공고</x:v>
      </x:c>
      <x:c r="D335" s="17" t="str">
        <x:v>경남</x:v>
      </x:c>
      <x:c r="E335" s="17" t="str">
        <x:v>비정규직</x:v>
      </x:c>
      <x:c r="F335" s="17" t="str">
        <x:v>2026.08.28</x:v>
      </x:c>
      <x:c r="G335" s="17" t="str">
        <x:v>26.12.31 D-113</x:v>
      </x:c>
      <x:c r="H335" s="17" t="str">
        <x:v>기간제·비정규</x:v>
      </x:c>
      <x:c r="I335" s="17" t="str">
        <x:v>세부조건 확인</x:v>
      </x:c>
      <x:c r="J335" s="17" t="str">
        <x:v>제한 문구 미탐지</x:v>
      </x:c>
      <x:c r="K335" s="17" t="str">
        <x:v>상세공고 확인</x:v>
      </x:c>
      <x:c r="L335" s="17" t="str">
        <x:v>상세공고 확인</x:v>
      </x:c>
      <x:c r="M335" s="17" t="str">
        <x:v>상세공고 확인</x:v>
      </x:c>
      <x:c r="N335" s="17" t="str">
        <x:v>상세공고 확인</x:v>
      </x:c>
      <x:c r="O335" s="17" t="str">
        <x:v>상세공고 확인</x:v>
      </x:c>
      <x:c r="P335" s="17" t="str">
        <x:v>상세공고 확인</x:v>
      </x:c>
      <x:c r="Q335" s="17" t="str">
        <x:v>상세공고 확인</x:v>
      </x:c>
      <x:c r="R335" s="17" t="str">
        <x:v>상세공고 확인</x:v>
      </x:c>
      <x:c r="S335" s="17" t="str">
        <x:v>상세공고 확인</x:v>
      </x:c>
      <x:c r="T335" s="17" t="str">
        <x:v>상세공고 확인</x:v>
      </x:c>
      <x:c r="U335" s="17" t="str">
        <x:v>상세공고 확인</x:v>
      </x:c>
      <x:c r="V335" s="17" t="str">
        <x:v>목록 항목 확인</x:v>
      </x:c>
      <x:c r="W335" s="17" t="str">
        <x:v>공고 상세에서 확인</x:v>
      </x:c>
      <x:c r="X335" s="18" t="str">
        <x:v>https://job.alio.go.kr/recruitview.do?idx=304382</x:v>
      </x:c>
      <x:c r="Y335" s="1"/>
      <x:c r="Z335" s="1"/>
    </x:row>
    <x:row r="336" ht="54" customHeight="1">
      <x:c r="A336" s="17" t="n">
        <x:v>88</x:v>
      </x:c>
      <x:c r="B336" s="17" t="str">
        <x:v>경상국립대학교병원</x:v>
      </x:c>
      <x:c r="C336" s="17" t="str">
        <x:v>2026년 전문직1등급(촉탁의, 영상의학과) 채용 공고</x:v>
      </x:c>
      <x:c r="D336" s="17" t="str">
        <x:v>경남</x:v>
      </x:c>
      <x:c r="E336" s="17" t="str">
        <x:v>비정규직</x:v>
      </x:c>
      <x:c r="F336" s="17" t="str">
        <x:v>2026.08.28</x:v>
      </x:c>
      <x:c r="G336" s="17" t="str">
        <x:v>26.12.31 D-113</x:v>
      </x:c>
      <x:c r="H336" s="17" t="str">
        <x:v>기간제·비정규</x:v>
      </x:c>
      <x:c r="I336" s="17" t="str">
        <x:v>세부조건 확인</x:v>
      </x:c>
      <x:c r="J336" s="17" t="str">
        <x:v>제한 문구 미탐지</x:v>
      </x:c>
      <x:c r="K336" s="17" t="str">
        <x:v>상세공고 확인</x:v>
      </x:c>
      <x:c r="L336" s="17" t="str">
        <x:v>상세공고 확인</x:v>
      </x:c>
      <x:c r="M336" s="17" t="str">
        <x:v>상세공고 확인</x:v>
      </x:c>
      <x:c r="N336" s="17" t="str">
        <x:v>상세공고 확인</x:v>
      </x:c>
      <x:c r="O336" s="17" t="str">
        <x:v>상세공고 확인</x:v>
      </x:c>
      <x:c r="P336" s="17" t="str">
        <x:v>상세공고 확인</x:v>
      </x:c>
      <x:c r="Q336" s="17" t="str">
        <x:v>상세공고 확인</x:v>
      </x:c>
      <x:c r="R336" s="17" t="str">
        <x:v>상세공고 확인</x:v>
      </x:c>
      <x:c r="S336" s="17" t="str">
        <x:v>상세공고 확인</x:v>
      </x:c>
      <x:c r="T336" s="17" t="str">
        <x:v>상세공고 확인</x:v>
      </x:c>
      <x:c r="U336" s="17" t="str">
        <x:v>상세공고 확인</x:v>
      </x:c>
      <x:c r="V336" s="17" t="str">
        <x:v>목록 항목 확인</x:v>
      </x:c>
      <x:c r="W336" s="17" t="str">
        <x:v>공고 상세에서 확인</x:v>
      </x:c>
      <x:c r="X336" s="18" t="str">
        <x:v>https://job.alio.go.kr/recruitview.do?idx=304381</x:v>
      </x:c>
      <x:c r="Y336" s="1"/>
      <x:c r="Z336" s="1"/>
    </x:row>
    <x:row r="337" ht="54" customHeight="1">
      <x:c r="A337" s="17" t="n">
        <x:v>87</x:v>
      </x:c>
      <x:c r="B337" s="17" t="str">
        <x:v>한국수자원공사</x:v>
      </x:c>
      <x:c r="C337" s="17" t="str">
        <x:v>[한국수자원공사] 2026년 전문직, 시설운영직(경력) 제한경쟁 채용공고</x:v>
      </x:c>
      <x:c r="D337" s="17" t="str">
        <x:v>경기</x:v>
      </x:c>
      <x:c r="E337" s="17" t="str">
        <x:v>정규직</x:v>
      </x:c>
      <x:c r="F337" s="17" t="str">
        <x:v>2026.08.28</x:v>
      </x:c>
      <x:c r="G337" s="17" t="str">
        <x:v>26.09.11 D-2</x:v>
      </x:c>
      <x:c r="H337" s="17" t="str">
        <x:v>제한경쟁·조건부</x:v>
      </x:c>
      <x:c r="I337" s="17" t="str">
        <x:v>조건 충족자만</x:v>
      </x:c>
      <x:c r="J337" s="17" t="str">
        <x:v>제한경쟁</x:v>
      </x:c>
      <x:c r="K337" s="17" t="str">
        <x:v>상세공고 확인</x:v>
      </x:c>
      <x:c r="L337" s="17" t="str">
        <x:v>상세공고 확인</x:v>
      </x:c>
      <x:c r="M337" s="17" t="str">
        <x:v>상세공고 확인</x:v>
      </x:c>
      <x:c r="N337" s="17" t="str">
        <x:v>상세공고 확인</x:v>
      </x:c>
      <x:c r="O337" s="17" t="str">
        <x:v>상세공고 확인</x:v>
      </x:c>
      <x:c r="P337" s="17" t="str">
        <x:v>상세공고 확인</x:v>
      </x:c>
      <x:c r="Q337" s="17" t="str">
        <x:v>상세공고 확인</x:v>
      </x:c>
      <x:c r="R337" s="17" t="str">
        <x:v>상세공고 확인</x:v>
      </x:c>
      <x:c r="S337" s="17" t="str">
        <x:v>상세공고 확인</x:v>
      </x:c>
      <x:c r="T337" s="17" t="str">
        <x:v>상세공고 확인</x:v>
      </x:c>
      <x:c r="U337" s="17" t="str">
        <x:v>상세공고 확인</x:v>
      </x:c>
      <x:c r="V337" s="17" t="str">
        <x:v>목록 항목 확인</x:v>
      </x:c>
      <x:c r="W337" s="17" t="str">
        <x:v>공고 상세에서 확인</x:v>
      </x:c>
      <x:c r="X337" s="18" t="str">
        <x:v>https://job.alio.go.kr/recruitview.do?idx=304367</x:v>
      </x:c>
      <x:c r="Y337" s="1"/>
      <x:c r="Z337" s="1"/>
    </x:row>
    <x:row r="338" ht="54" customHeight="1">
      <x:c r="A338" s="17" t="n">
        <x:v>86</x:v>
      </x:c>
      <x:c r="B338" s="17" t="str">
        <x:v>서울대학교치과병원</x:v>
      </x:c>
      <x:c r="C338" s="17" t="str">
        <x:v>서울대학교치과병원 촉탁간호직(병동, 수술장) 채용 공고</x:v>
      </x:c>
      <x:c r="D338" s="17" t="str">
        <x:v>서울</x:v>
      </x:c>
      <x:c r="E338" s="17" t="str">
        <x:v>비정규직</x:v>
      </x:c>
      <x:c r="F338" s="17" t="str">
        <x:v>2026.08.28</x:v>
      </x:c>
      <x:c r="G338" s="17" t="str">
        <x:v>26.09.11 D-2</x:v>
      </x:c>
      <x:c r="H338" s="17" t="str">
        <x:v>기간제·비정규</x:v>
      </x:c>
      <x:c r="I338" s="17" t="str">
        <x:v>세부조건 확인</x:v>
      </x:c>
      <x:c r="J338" s="17" t="str">
        <x:v>제한 문구 미탐지</x:v>
      </x:c>
      <x:c r="K338" s="17" t="str">
        <x:v>상세공고 확인</x:v>
      </x:c>
      <x:c r="L338" s="17" t="str">
        <x:v>상세공고 확인</x:v>
      </x:c>
      <x:c r="M338" s="17" t="str">
        <x:v>상세공고 확인</x:v>
      </x:c>
      <x:c r="N338" s="17" t="str">
        <x:v>상세공고 확인</x:v>
      </x:c>
      <x:c r="O338" s="17" t="str">
        <x:v>상세공고 확인</x:v>
      </x:c>
      <x:c r="P338" s="17" t="str">
        <x:v>상세공고 확인</x:v>
      </x:c>
      <x:c r="Q338" s="17" t="str">
        <x:v>상세공고 확인</x:v>
      </x:c>
      <x:c r="R338" s="17" t="str">
        <x:v>상세공고 확인</x:v>
      </x:c>
      <x:c r="S338" s="17" t="str">
        <x:v>상세공고 확인</x:v>
      </x:c>
      <x:c r="T338" s="17" t="str">
        <x:v>상세공고 확인</x:v>
      </x:c>
      <x:c r="U338" s="17" t="str">
        <x:v>상세공고 확인</x:v>
      </x:c>
      <x:c r="V338" s="17" t="str">
        <x:v>목록 항목 확인</x:v>
      </x:c>
      <x:c r="W338" s="17" t="str">
        <x:v>공고 상세에서 확인</x:v>
      </x:c>
      <x:c r="X338" s="18" t="str">
        <x:v>https://job.alio.go.kr/recruitview.do?idx=304360</x:v>
      </x:c>
      <x:c r="Y338" s="1"/>
      <x:c r="Z338" s="1"/>
    </x:row>
    <x:row r="339" ht="54" customHeight="1">
      <x:c r="A339" s="17" t="n">
        <x:v>85</x:v>
      </x:c>
      <x:c r="B339" s="17" t="str">
        <x:v>중앙사회서비스원</x:v>
      </x:c>
      <x:c r="C339" s="17" t="str">
        <x:v>2026년 제4차 중앙사회서비스원 직원(개방형 직위, 기간제) 채용 공고</x:v>
      </x:c>
      <x:c r="D339" s="17" t="str">
        <x:v>서울</x:v>
      </x:c>
      <x:c r="E339" s="17" t="str">
        <x:v>비정규직 외 1</x:v>
      </x:c>
      <x:c r="F339" s="17" t="str">
        <x:v>2026.08.28</x:v>
      </x:c>
      <x:c r="G339" s="17" t="str">
        <x:v>26.09.14 D-5</x:v>
      </x:c>
      <x:c r="H339" s="17" t="str">
        <x:v>기간제·비정규</x:v>
      </x:c>
      <x:c r="I339" s="17" t="str">
        <x:v>세부조건 확인</x:v>
      </x:c>
      <x:c r="J339" s="17" t="str">
        <x:v>제한 문구 미탐지</x:v>
      </x:c>
      <x:c r="K339" s="17" t="str">
        <x:v>상세공고 확인</x:v>
      </x:c>
      <x:c r="L339" s="17" t="str">
        <x:v>상세공고 확인</x:v>
      </x:c>
      <x:c r="M339" s="17" t="str">
        <x:v>상세공고 확인</x:v>
      </x:c>
      <x:c r="N339" s="17" t="str">
        <x:v>상세공고 확인</x:v>
      </x:c>
      <x:c r="O339" s="17" t="str">
        <x:v>상세공고 확인</x:v>
      </x:c>
      <x:c r="P339" s="17" t="str">
        <x:v>상세공고 확인</x:v>
      </x:c>
      <x:c r="Q339" s="17" t="str">
        <x:v>상세공고 확인</x:v>
      </x:c>
      <x:c r="R339" s="17" t="str">
        <x:v>상세공고 확인</x:v>
      </x:c>
      <x:c r="S339" s="17" t="str">
        <x:v>상세공고 확인</x:v>
      </x:c>
      <x:c r="T339" s="17" t="str">
        <x:v>상세공고 확인</x:v>
      </x:c>
      <x:c r="U339" s="17" t="str">
        <x:v>상세공고 확인</x:v>
      </x:c>
      <x:c r="V339" s="17" t="str">
        <x:v>목록 항목 확인</x:v>
      </x:c>
      <x:c r="W339" s="17" t="str">
        <x:v>공고 상세에서 확인</x:v>
      </x:c>
      <x:c r="X339" s="18" t="str">
        <x:v>https://job.alio.go.kr/recruitview.do?idx=304354</x:v>
      </x:c>
      <x:c r="Y339" s="1"/>
      <x:c r="Z339" s="1"/>
    </x:row>
    <x:row r="340" ht="54" customHeight="1">
      <x:c r="A340" s="17" t="n">
        <x:v>84</x:v>
      </x:c>
      <x:c r="B340" s="17" t="str">
        <x:v>국토연구원</x:v>
      </x:c>
      <x:c r="C340" s="17" t="str">
        <x:v>2026년 제2차 시설직(미화원·기술원·방호원) 공개채용</x:v>
      </x:c>
      <x:c r="D340" s="17" t="str">
        <x:v>세종</x:v>
      </x:c>
      <x:c r="E340" s="17" t="str">
        <x:v>무기계약직</x:v>
      </x:c>
      <x:c r="F340" s="17" t="str">
        <x:v>2026.08.28</x:v>
      </x:c>
      <x:c r="G340" s="17" t="str">
        <x:v>26.09.11 D-2</x:v>
      </x:c>
      <x:c r="H340" s="17" t="str">
        <x:v>무기계약·공무직</x:v>
      </x:c>
      <x:c r="I340" s="17" t="str">
        <x:v>세부조건 확인</x:v>
      </x:c>
      <x:c r="J340" s="17" t="str">
        <x:v>제한 문구 미탐지</x:v>
      </x:c>
      <x:c r="K340" s="17" t="str">
        <x:v>상세공고 확인</x:v>
      </x:c>
      <x:c r="L340" s="17" t="str">
        <x:v>상세공고 확인</x:v>
      </x:c>
      <x:c r="M340" s="17" t="str">
        <x:v>상세공고 확인</x:v>
      </x:c>
      <x:c r="N340" s="17" t="str">
        <x:v>상세공고 확인</x:v>
      </x:c>
      <x:c r="O340" s="17" t="str">
        <x:v>상세공고 확인</x:v>
      </x:c>
      <x:c r="P340" s="17" t="str">
        <x:v>상세공고 확인</x:v>
      </x:c>
      <x:c r="Q340" s="17" t="str">
        <x:v>상세공고 확인</x:v>
      </x:c>
      <x:c r="R340" s="17" t="str">
        <x:v>상세공고 확인</x:v>
      </x:c>
      <x:c r="S340" s="17" t="str">
        <x:v>상세공고 확인</x:v>
      </x:c>
      <x:c r="T340" s="17" t="str">
        <x:v>상세공고 확인</x:v>
      </x:c>
      <x:c r="U340" s="17" t="str">
        <x:v>상세공고 확인</x:v>
      </x:c>
      <x:c r="V340" s="17" t="str">
        <x:v>목록 항목 확인</x:v>
      </x:c>
      <x:c r="W340" s="17" t="str">
        <x:v>공고 상세에서 확인</x:v>
      </x:c>
      <x:c r="X340" s="18" t="str">
        <x:v>https://job.alio.go.kr/recruitview.do?idx=304350</x:v>
      </x:c>
      <x:c r="Y340" s="1"/>
      <x:c r="Z340" s="1"/>
    </x:row>
    <x:row r="341" ht="54" customHeight="1">
      <x:c r="A341" s="17" t="n">
        <x:v>83</x:v>
      </x:c>
      <x:c r="B341" s="17" t="str">
        <x:v>한국승강기안전공단</x:v>
      </x:c>
      <x:c r="C341" s="17" t="str">
        <x:v>한국승강기안전공단 2026년 대체인력 채용 및 체험형인턴 재채용</x:v>
      </x:c>
      <x:c r="D341" s="17" t="str">
        <x:v>서울 외 7</x:v>
      </x:c>
      <x:c r="E341" s="17" t="str">
        <x:v>비정규직 외 1</x:v>
      </x:c>
      <x:c r="F341" s="17" t="str">
        <x:v>2026.08.28</x:v>
      </x:c>
      <x:c r="G341" s="17" t="str">
        <x:v>26.09.11 D-2</x:v>
      </x:c>
      <x:c r="H341" s="17" t="str">
        <x:v>기간제·비정규</x:v>
      </x:c>
      <x:c r="I341" s="17" t="str">
        <x:v>세부조건 확인</x:v>
      </x:c>
      <x:c r="J341" s="17" t="str">
        <x:v>제한 문구 미탐지</x:v>
      </x:c>
      <x:c r="K341" s="17" t="str">
        <x:v>상세공고 확인</x:v>
      </x:c>
      <x:c r="L341" s="17" t="str">
        <x:v>상세공고 확인</x:v>
      </x:c>
      <x:c r="M341" s="17" t="str">
        <x:v>상세공고 확인</x:v>
      </x:c>
      <x:c r="N341" s="17" t="str">
        <x:v>상세공고 확인</x:v>
      </x:c>
      <x:c r="O341" s="17" t="str">
        <x:v>상세공고 확인</x:v>
      </x:c>
      <x:c r="P341" s="17" t="str">
        <x:v>상세공고 확인</x:v>
      </x:c>
      <x:c r="Q341" s="17" t="str">
        <x:v>상세공고 확인</x:v>
      </x:c>
      <x:c r="R341" s="17" t="str">
        <x:v>상세공고 확인</x:v>
      </x:c>
      <x:c r="S341" s="17" t="str">
        <x:v>상세공고 확인</x:v>
      </x:c>
      <x:c r="T341" s="17" t="str">
        <x:v>상세공고 확인</x:v>
      </x:c>
      <x:c r="U341" s="17" t="str">
        <x:v>상세공고 확인</x:v>
      </x:c>
      <x:c r="V341" s="17" t="str">
        <x:v>목록 항목 확인</x:v>
      </x:c>
      <x:c r="W341" s="17" t="str">
        <x:v>공고 상세에서 확인</x:v>
      </x:c>
      <x:c r="X341" s="18" t="str">
        <x:v>https://job.alio.go.kr/recruitview.do?idx=304349</x:v>
      </x:c>
      <x:c r="Y341" s="1"/>
      <x:c r="Z341" s="1"/>
    </x:row>
    <x:row r="342" ht="54" customHeight="1">
      <x:c r="A342" s="17" t="n">
        <x:v>82</x:v>
      </x:c>
      <x:c r="B342" s="17" t="str">
        <x:v>중소기업은행</x:v>
      </x:c>
      <x:c r="C342" s="17" t="str">
        <x:v>2026년 하반기 IBK기업은행 신입행원 채용공고</x:v>
      </x:c>
      <x:c r="D342" s="17" t="str">
        <x:v>서울 외 16</x:v>
      </x:c>
      <x:c r="E342" s="17" t="str">
        <x:v>정규직</x:v>
      </x:c>
      <x:c r="F342" s="17" t="str">
        <x:v>2026.08.28</x:v>
      </x:c>
      <x:c r="G342" s="17" t="str">
        <x:v>26.09.14 D-5</x:v>
      </x:c>
      <x:c r="H342" s="17" t="str">
        <x:v>신입·정규직</x:v>
      </x:c>
      <x:c r="I342" s="17" t="str">
        <x:v>우선검토</x:v>
      </x:c>
      <x:c r="J342" s="17" t="str">
        <x:v>제한 문구 미탐지</x:v>
      </x:c>
      <x:c r="K342" s="17" t="str">
        <x:v>신입</x:v>
      </x:c>
      <x:c r="L342" s="17" t="str">
        <x:v>학력무관</x:v>
      </x:c>
      <x:c r="M342" s="17" t="str">
        <x:v>175명</x:v>
      </x:c>
      <x:c r="N342" s="17" t="str">
        <x:v>금융.보험</x:v>
      </x:c>
      <x:c r="O342" s="17" t="str">
        <x:v>(공통우대) 취업지원대상자(보훈대상자 등), 장애인, IBK청년인턴(우수인턴限), 우대자격증 소지자 / (분야별 별도우대) 석·박사학위, 학교장 추천</x:v>
      </x:c>
      <x:c r="P342" s="17" t="str">
        <x:v>명시 있음</x:v>
      </x:c>
      <x:c r="Q342" s="17" t="str">
        <x:v>상세공고 확인</x:v>
      </x:c>
      <x:c r="R342" s="17" t="str">
        <x:v>ㅇ 금융일반, 디지털, IT 분야 - 학력, 연령, 성별 등 제한사항 없음 - 남성의 경우 병역필* 또는 면제자* * 2026. 11. 30. 이전 전역 가능한 자 포함. 고졸인재 분야 지원자는 해당 없음 - 채용 확정(12월 초·중순 예정) 후 전일 근무 가능한 자* * 졸업, 재학, 이직 절차, 군 전역 등의 사유로 입행 유예 불가 - 당행 인사규정 「채용의 제한」 대상자 등(공고문 內 “유의사항” 참조)이 아닌 자 ※ 지역인재의 경우, 공고문 참조 ㅇ 고졸인재 분야 - 고등학교 졸업 예정자 (졸업 예정월：’27년 2월) - 채용 확정(12월 초·중순 예정) 후 전일 근무 가능한 자* * 졸업, 재학, 이직 절차, 군 전역 등의 사유로 입행 유예 불가 - 당행 인사규정 「채용의 제한」 대상자 등(공고문 內 “유의사항” 참조)이 아닌 자</x:v>
      </x:c>
      <x:c r="S342" s="17" t="str">
        <x:v>의사</x:v>
      </x:c>
      <x:c r="T342" s="17" t="str">
        <x:v>◆ 전형절차 및 방법 지원서접수 &gt; 서류심사(1차) &gt; 필기시험(2차) &gt; 실기시험(3차) &gt; 면접시험(최종) 1. 지원서접수 - 접수기간 : 2026.8.28.(금) ~ 9.14.(월), 10시 - 접수방법 : IBK홈페이지 또는 채용전용 홈페이지(http://ibk.incruit.com)에 지원서 작성 및 접수등록 ※ 면접시험을 제외한 全 전형은 제로베이스 평가 (前단계 평가점수 누적 합산되지 않음) ※ 각 절차별 동점자 발생 시 동점자 처리기준에 따라 합격자 결정 2. 서류심사(1차) - 합격인원 : 적부심사 통과자 전원 - 합격발표 : ’26. 9월말 예정 - 평가방법 : 적부심사(채용분야별 입행지원서 내용의 불량·불성실* 검증) * 은행명 오류, 표절, 무관·반복·부족한 답변, 블라인드 저촉 등 3. 필기시험(2차) - 일정/장소 : ’26.10.17.(토) 예정 / 전국 5개 지역 ※ 일정, 장소 변동가능 - 합격인원 : 분야별 채용예정인원의 7배수(디지털, IT 분야 限 8배수) ※ 분야별 고득점 順 (단, 만점의 40% 미만 득점자는 제외) - 합격발표 : ’26. 10월 중순 이후 예정 - 시험시간 : 10시 ~ 12시(120분) / 고졸인재 분야 10시 ~ 11시(60분) - 평가항목 : (구)직업기초능력, 직무수행능력 ※ 배점(100점) 1) 금융일반, 디지털, IT : 1.5점(직업기초), 1점(직무수행 객관식), 2점(직무수행 주관식) 2) 고졸인재 : 2.5점(직업기초) 4. 실기시험(3차) - 일정/장소 : ’26. 10월말 ~ 11월 초·중순 예정 / 기업은행 기흥연수원(당일) ※ 일정, 장소 변동가능 - 합격인원 : 분야별 채용 예정 인원의 약 1.7배수(분야별 고득점 順) - 합격발표 : ’26.11월 중순 이후 예정 - 평가방법 : 공통 및 개별 프로그램 바탕 실무역량, 의사전달력, 논리력, 협동심, 윤리의식 등의 평가항목 기준으로 종합평가(평가위원 점수합계) - 공통 프로그램 : 개인발표, 팀토론, 심층인터뷰 - 개별 프로그램 : (금융일반, 고졸인재) 조직적합도평가 / (디지털/IT) 코딩테스트 ※ 실기시험 前 AI역량검사 및 인성검사(온라인) 실시 예정 → 미완료 지원자는 실기시험 응시 불가 ※ 은행 내·외부 사정에 따라 실기시험 일정 및 평가방법 변동 가능 5. 면접시험(최종) - 일정/장소 : ’26. 11월 중·하순 예정 / 기업은행 본점 ※ 일정, 장소 변동가능 - 합격인원 : 175명(분야별 고득점* 順) * 분야별 최종합격자는 면접시험 점수(70%)와 실기시험 점수(30%)를 합산하여 결정 - 합격발표 : ’26. 11월말 ~ 12월초 예정 (최종합격자 발표 후 일주일 이내 연수원 입소 예정) - 평가방법 : 多대多 질의응답을 통해 인성, 윤리의식, 직무·조직적합도 등의 평가항목을 기준으로 종합평가(평가위원 점…</x:v>
      </x:c>
      <x:c r="U342" s="17" t="str">
        <x:v>◆ 전형절차 및 방법 지원서접수 &gt; 서류심사(1차) &gt; 필기시험(2차) &gt; 실기시험(3차) &gt; 면접시험(최종) 1 / com)에 지원서 작성 및 접수등록 ※ 면접시험을 제외한 全 전형은 제로베이스 평가 (前단계 평가점수 누적 합산되지 않음) ※ 각 절차별 동점자 발생 시 동점자 처리기준에 따라 합격자 결정 2 / 면접시험(최종) - 일정/장소 : ’26 / 11월 중·하순 예정 / 기업은행 본점 ※ 일정, 장소 변동가능 - 합격인원 : 175명(분야별 고득점* 順) * 분야별 최종합격자는 면접시험 점수(70%)와 실기시험 점수(30%)를 합산하여 결정 - 합격발표 : ’26</x:v>
      </x:c>
      <x:c r="V342" s="17" t="str">
        <x:v>상세 페이지 확인</x:v>
      </x:c>
      <x:c r="W342" s="17" t="str">
        <x:v>https://ibk.incruit.com/</x:v>
      </x:c>
      <x:c r="X342" s="18" t="str">
        <x:v>https://job.alio.go.kr/recruitview.do?idx=304338</x:v>
      </x:c>
      <x:c r="Y342" s="1"/>
      <x:c r="Z342" s="1"/>
    </x:row>
    <x:row r="343" ht="54" customHeight="1">
      <x:c r="A343" s="17" t="n">
        <x:v>81</x:v>
      </x:c>
      <x:c r="B343" s="17" t="str">
        <x:v>서울올림픽기념국민체육진흥공단</x:v>
      </x:c>
      <x:c r="C343" s="17" t="str">
        <x:v>한국스포츠과학원 분석연구원(가·나급) 채용 공고-2026년 국가대표 현장밀착형 스포츠과학지원</x:v>
      </x:c>
      <x:c r="D343" s="17" t="str">
        <x:v>충북</x:v>
      </x:c>
      <x:c r="E343" s="17" t="str">
        <x:v>비정규직</x:v>
      </x:c>
      <x:c r="F343" s="17" t="str">
        <x:v>2026.08.28</x:v>
      </x:c>
      <x:c r="G343" s="17" t="str">
        <x:v>26.09.11 D-2</x:v>
      </x:c>
      <x:c r="H343" s="17" t="str">
        <x:v>기간제·비정규</x:v>
      </x:c>
      <x:c r="I343" s="17" t="str">
        <x:v>세부조건 확인</x:v>
      </x:c>
      <x:c r="J343" s="17" t="str">
        <x:v>제한 문구 미탐지</x:v>
      </x:c>
      <x:c r="K343" s="17" t="str">
        <x:v>상세공고 확인</x:v>
      </x:c>
      <x:c r="L343" s="17" t="str">
        <x:v>상세공고 확인</x:v>
      </x:c>
      <x:c r="M343" s="17" t="str">
        <x:v>상세공고 확인</x:v>
      </x:c>
      <x:c r="N343" s="17" t="str">
        <x:v>상세공고 확인</x:v>
      </x:c>
      <x:c r="O343" s="17" t="str">
        <x:v>상세공고 확인</x:v>
      </x:c>
      <x:c r="P343" s="17" t="str">
        <x:v>상세공고 확인</x:v>
      </x:c>
      <x:c r="Q343" s="17" t="str">
        <x:v>상세공고 확인</x:v>
      </x:c>
      <x:c r="R343" s="17" t="str">
        <x:v>상세공고 확인</x:v>
      </x:c>
      <x:c r="S343" s="17" t="str">
        <x:v>상세공고 확인</x:v>
      </x:c>
      <x:c r="T343" s="17" t="str">
        <x:v>상세공고 확인</x:v>
      </x:c>
      <x:c r="U343" s="17" t="str">
        <x:v>상세공고 확인</x:v>
      </x:c>
      <x:c r="V343" s="17" t="str">
        <x:v>목록 항목 확인</x:v>
      </x:c>
      <x:c r="W343" s="17" t="str">
        <x:v>공고 상세에서 확인</x:v>
      </x:c>
      <x:c r="X343" s="18" t="str">
        <x:v>https://job.alio.go.kr/recruitview.do?idx=304317</x:v>
      </x:c>
      <x:c r="Y343" s="1"/>
      <x:c r="Z343" s="1"/>
    </x:row>
    <x:row r="344" ht="54" customHeight="1">
      <x:c r="A344" s="17" t="n">
        <x:v>80</x:v>
      </x:c>
      <x:c r="B344" s="17" t="str">
        <x:v>한국투자공사</x:v>
      </x:c>
      <x:c r="C344" s="17" t="str">
        <x:v>한국투자공사 2026년 신입직원 채용</x:v>
      </x:c>
      <x:c r="D344" s="17" t="str">
        <x:v>서울</x:v>
      </x:c>
      <x:c r="E344" s="17" t="str">
        <x:v>정규직</x:v>
      </x:c>
      <x:c r="F344" s="17" t="str">
        <x:v>2026.08.27</x:v>
      </x:c>
      <x:c r="G344" s="17" t="str">
        <x:v>26.09.18 D-9</x:v>
      </x:c>
      <x:c r="H344" s="17" t="str">
        <x:v>신입·정규직</x:v>
      </x:c>
      <x:c r="I344" s="17" t="str">
        <x:v>우선검토</x:v>
      </x:c>
      <x:c r="J344" s="17" t="str">
        <x:v>제한 문구 미탐지</x:v>
      </x:c>
      <x:c r="K344" s="17" t="str">
        <x:v>신입</x:v>
      </x:c>
      <x:c r="L344" s="17" t="str">
        <x:v>학력무관</x:v>
      </x:c>
      <x:c r="M344" s="17" t="str">
        <x:v>10명</x:v>
      </x:c>
      <x:c r="N344" s="17" t="str">
        <x:v>경영.회계.사무</x:v>
      </x:c>
      <x:c r="O344" s="17" t="str">
        <x:v>취업지원대상자(보훈), 장애인, 비수도권 지역인재, 직무유관 자격증 보유자, 어학 구사능력 우수자, 한국투자공사 청년인턴 우수 수료자</x:v>
      </x:c>
      <x:c r="P344" s="17" t="str">
        <x:v>명시 있음</x:v>
      </x:c>
      <x:c r="Q344" s="17" t="str">
        <x:v>상세공고 확인</x:v>
      </x:c>
      <x:c r="R344" s="17" t="str">
        <x:v>- 학력, 연령, 성별 등에 관계없이 지원 가능(채용 확정 후 즉시 근무 가능한 자) - 남자의 경우 병역 기피 사실이 없는 자 - 국가공무원법 제33조 각호 및 공사 인사규정에 명시된 채용 결격사유에 해당되지 않는 자 - 해외투자 전문기관인 공사의 직무수행에 필수적인 아래의 어학요건을 최소 1개 이상 충족하는 등 모집부문별 자격요건을 만족하는 자 * 투자분야 : TOEIC 900점(또는 New TEPS 370점, TOEFL(IBT) 105점, TOEIC Speaking 160점(AL), OPIc (IH)) 이상 * 리스크분야/경영분야/IT분야 : TOEIC 850점(또는 New TEPS 336점, TOEFL(IBT) 98점, TOEIC Speaking 140점(IH), OPIc (IM3)) 이상</x:v>
      </x:c>
      <x:c r="S344" s="17" t="str">
        <x:v>어학, TOEIC</x:v>
      </x:c>
      <x:c r="T344" s="17" t="str">
        <x:v>○ 전형절차 : 서류전형 &gt; 필기전형 &gt; 온라인 인성검사 &gt; 1차 면접전형 &gt; 2차 면접전형 &gt; 최종합격자 발표 ○ 서류전형 - 선발인원: 모집부문별 채용인원의 30배수 - 선발방법: 응시자격을 충족한 적격 지원자를 대상으로 서류평가 - 동점자 처리기준: 전원 합격 처리 ○ 필기전형 - 선발인원: 모집부문별 채용인원의 10배수 - 평가방법: 직무능력평가(200점) - 평가기준: 모집부문별 상위 득점자 순으로 선발 - 동점자 처리기준: 취업지원대상자(보훈), 직무능력평가 고득점자 순으로 선발하되, 동점자 중 취업지원대상자가 없고 직무능력평가가 동점일 경우에는 동점자 전원 1차 면접기회 부여(동 기준에 한하여 선발인원 초과 가능) ※ 필기전형 합격자를 대상으로 온라인 인성검사 실시 ○ 1차 면접전형 - 선발인원: 모집부문별 채용인원의 3배수 - 평가방법 및 기준: 실무자 직무역량 면접 실시(PT면접, 코딩역량평가 포함) * 투자 : 실무자면접(70) + 영어 PT면접(30) * 리스크 : 실무자면접(70) + PT면접(30) * 경영 : 실무자면접(70) + PT면접(30) * IT : 실무자면접(60) + PT면접(20) + 코딩역량평가(20) - 동점자 처리기준: 모집부문별 동점자 전원에게 2차 면접기회 부여(동 기준에 한해 선발인원 가능) - 모집부문별 적격자가 없다고 판단되는 경우, 선발인원 미만으로 선발하거나 미선발 가능 ○ 2차 면접전형 - 선발인원: 모집부문별 채용인원의 1배수 - 평가방법: 임원 면접 실시 - 평가기준: 지원자의 인성, 역량 등 조직적합성에 대해 종합적으로 평가 - 동점자 처리기준: 취업지원대상자(보훈), 1차 면접 고득점자, 필기전형 고득점자 순으로 선발 - 모집부문별 적격자가 없다고 판단되는 경우, 1배수 미만으로 선발하거나 미선발 가능 ○ 고용형태 : 정직원 (수습기간 3개월) - 단, 최초 2년 계약 이후 업무실적 등을 평가하여 계속 고용 여부 결정</x:v>
      </x:c>
      <x:c r="U344" s="17" t="str">
        <x:v>○ 전형절차 : 서류전형 &gt; 필기전형 &gt; 온라인 인성검사 &gt; 1차 면접전형 &gt; 2차 면접전형 &gt; 최종합격자 발표 ○ 서류전형 - 선발인원: 모집부문별 채용인원의 30배수 - 선발방법: 응시자격을 충족한 적격 지원자를 대상으로 서류평가 - 동점자 처리기준: 전원 합격 처리 ○ 필기전형 - 선발인원: 모집부문별 채용인원의 10배수 - 평가방법: 직무능력평가(200점) - 평가기준: 모집부문별 상위 득점자 순으로 선발 - 동점자 처리기준: 취업지원대상자(보훈), 직무능력평가 고득점자 순으로 선발하되, 동점자 중 취업지원대상자가 없고 직무능력평가가 동점일 경우에는 동점자 전원 1차 면접기회 부여(동 기준에 한하여 선발인원 초과 가능) ※ 필기전형 합격자를 대상으로 온라인 인성검사 실시 ○ 1차 면접전형 - 선발인원: 모집부문별 채용인원의 3배수 - 평가방법 및 기준: 실무자 직무역량 면접 실시(PT면접, 코딩역량평가 포함) * 투자 : 실무자면접(70) + 영어 PT면접(30) * 리스크 : 실무자면접(70) + PT면접(30) * 경영 : 실무자면접(70) + PT면접(30) * IT : 실무자면접(60) + PT면접(20) + 코딩역량평가(20) - 동점자 처리기준: 모집부문별 동점자 전원에게 2차 면접기회 부여(동 기준에 한해 선발인원 가능) - 모집부문별 적격자가 없다고 판단되는 경우, 선발인원 미만으로 선발하거나 미선발 가능 ○ 2차 면접전형 - 선발인원: 모집부문별 채용인원의 1배수 - 평가방법: 임원 면접 실시 - 평가기준: 지원자의 인성, 역량 등 조직적합성에 대해 종합적으로 평가 - 동점자 처리기준…</x:v>
      </x:c>
      <x:c r="V344" s="17" t="str">
        <x:v>상세 페이지 확인</x:v>
      </x:c>
      <x:c r="W344" s="17" t="str">
        <x:v>https://www.kic.kr/ko/careers/recruit/cn5ngi</x:v>
      </x:c>
      <x:c r="X344" s="18" t="str">
        <x:v>https://job.alio.go.kr/recruitview.do?idx=304335</x:v>
      </x:c>
      <x:c r="Y344" s="1"/>
      <x:c r="Z344" s="1"/>
    </x:row>
    <x:row r="345" ht="54" customHeight="1">
      <x:c r="A345" s="17" t="n">
        <x:v>79</x:v>
      </x:c>
      <x:c r="B345" s="17" t="str">
        <x:v>기초과학연구원</x:v>
      </x:c>
      <x:c r="C345" s="17" t="str">
        <x:v>제2026-3회 중이온가속기연구소 별정직 직원 채용 공고</x:v>
      </x:c>
      <x:c r="D345" s="17" t="str">
        <x:v>대전</x:v>
      </x:c>
      <x:c r="E345" s="17" t="str">
        <x:v>비정규직</x:v>
      </x:c>
      <x:c r="F345" s="17" t="str">
        <x:v>2026.08.27</x:v>
      </x:c>
      <x:c r="G345" s="17" t="str">
        <x:v>26.09.11 D-2</x:v>
      </x:c>
      <x:c r="H345" s="17" t="str">
        <x:v>기간제·비정규</x:v>
      </x:c>
      <x:c r="I345" s="17" t="str">
        <x:v>세부조건 확인</x:v>
      </x:c>
      <x:c r="J345" s="17" t="str">
        <x:v>제한 문구 미탐지</x:v>
      </x:c>
      <x:c r="K345" s="17" t="str">
        <x:v>상세공고 확인</x:v>
      </x:c>
      <x:c r="L345" s="17" t="str">
        <x:v>상세공고 확인</x:v>
      </x:c>
      <x:c r="M345" s="17" t="str">
        <x:v>상세공고 확인</x:v>
      </x:c>
      <x:c r="N345" s="17" t="str">
        <x:v>상세공고 확인</x:v>
      </x:c>
      <x:c r="O345" s="17" t="str">
        <x:v>상세공고 확인</x:v>
      </x:c>
      <x:c r="P345" s="17" t="str">
        <x:v>상세공고 확인</x:v>
      </x:c>
      <x:c r="Q345" s="17" t="str">
        <x:v>상세공고 확인</x:v>
      </x:c>
      <x:c r="R345" s="17" t="str">
        <x:v>상세공고 확인</x:v>
      </x:c>
      <x:c r="S345" s="17" t="str">
        <x:v>상세공고 확인</x:v>
      </x:c>
      <x:c r="T345" s="17" t="str">
        <x:v>상세공고 확인</x:v>
      </x:c>
      <x:c r="U345" s="17" t="str">
        <x:v>상세공고 확인</x:v>
      </x:c>
      <x:c r="V345" s="17" t="str">
        <x:v>목록 항목 확인</x:v>
      </x:c>
      <x:c r="W345" s="17" t="str">
        <x:v>공고 상세에서 확인</x:v>
      </x:c>
      <x:c r="X345" s="18" t="str">
        <x:v>https://job.alio.go.kr/recruitview.do?idx=304334</x:v>
      </x:c>
      <x:c r="Y345" s="1"/>
      <x:c r="Z345" s="1"/>
    </x:row>
    <x:row r="346" ht="54" customHeight="1">
      <x:c r="A346" s="17" t="n">
        <x:v>78</x:v>
      </x:c>
      <x:c r="B346" s="17" t="str">
        <x:v>전북대학교병원</x:v>
      </x:c>
      <x:c r="C346" s="17" t="str">
        <x:v>2026년 임상교수요원(임상교수) 채용 공고</x:v>
      </x:c>
      <x:c r="D346" s="17" t="str">
        <x:v>전북</x:v>
      </x:c>
      <x:c r="E346" s="17" t="str">
        <x:v>정규직</x:v>
      </x:c>
      <x:c r="F346" s="17" t="str">
        <x:v>2026.08.27</x:v>
      </x:c>
      <x:c r="G346" s="17" t="str">
        <x:v>26.09.09 D+0</x:v>
      </x:c>
      <x:c r="H346" s="17" t="str">
        <x:v>경력·전문직</x:v>
      </x:c>
      <x:c r="I346" s="17" t="str">
        <x:v>경력·전문 우선</x:v>
      </x:c>
      <x:c r="J346" s="17" t="str">
        <x:v>제한 문구 미탐지</x:v>
      </x:c>
      <x:c r="K346" s="17" t="str">
        <x:v>상세공고 확인</x:v>
      </x:c>
      <x:c r="L346" s="17" t="str">
        <x:v>상세공고 확인</x:v>
      </x:c>
      <x:c r="M346" s="17" t="str">
        <x:v>상세공고 확인</x:v>
      </x:c>
      <x:c r="N346" s="17" t="str">
        <x:v>상세공고 확인</x:v>
      </x:c>
      <x:c r="O346" s="17" t="str">
        <x:v>상세공고 확인</x:v>
      </x:c>
      <x:c r="P346" s="17" t="str">
        <x:v>상세공고 확인</x:v>
      </x:c>
      <x:c r="Q346" s="17" t="str">
        <x:v>상세공고 확인</x:v>
      </x:c>
      <x:c r="R346" s="17" t="str">
        <x:v>상세공고 확인</x:v>
      </x:c>
      <x:c r="S346" s="17" t="str">
        <x:v>상세공고 확인</x:v>
      </x:c>
      <x:c r="T346" s="17" t="str">
        <x:v>상세공고 확인</x:v>
      </x:c>
      <x:c r="U346" s="17" t="str">
        <x:v>상세공고 확인</x:v>
      </x:c>
      <x:c r="V346" s="17" t="str">
        <x:v>목록 항목 확인</x:v>
      </x:c>
      <x:c r="W346" s="17" t="str">
        <x:v>공고 상세에서 확인</x:v>
      </x:c>
      <x:c r="X346" s="18" t="str">
        <x:v>https://job.alio.go.kr/recruitview.do?idx=304333</x:v>
      </x:c>
      <x:c r="Y346" s="1"/>
      <x:c r="Z346" s="1"/>
    </x:row>
    <x:row r="347" ht="54" customHeight="1">
      <x:c r="A347" s="17" t="n">
        <x:v>77</x:v>
      </x:c>
      <x:c r="B347" s="17" t="str">
        <x:v>한국전력공사</x:v>
      </x:c>
      <x:c r="C347" s="17" t="str">
        <x:v>2026년도 제1차 전문·사무직원 채용공고</x:v>
      </x:c>
      <x:c r="D347" s="17" t="str">
        <x:v>서울 외 5</x:v>
      </x:c>
      <x:c r="E347" s="17" t="str">
        <x:v>정규직</x:v>
      </x:c>
      <x:c r="F347" s="17" t="str">
        <x:v>2026.08.27</x:v>
      </x:c>
      <x:c r="G347" s="17" t="str">
        <x:v>26.09.10 D-1</x:v>
      </x:c>
      <x:c r="H347" s="17" t="str">
        <x:v>정규직(세부 확인)</x:v>
      </x:c>
      <x:c r="I347" s="17" t="str">
        <x:v>세부조건 확인</x:v>
      </x:c>
      <x:c r="J347" s="17" t="str">
        <x:v>제한 문구 미탐지</x:v>
      </x:c>
      <x:c r="K347" s="17" t="str">
        <x:v>상세공고 확인</x:v>
      </x:c>
      <x:c r="L347" s="17" t="str">
        <x:v>상세공고 확인</x:v>
      </x:c>
      <x:c r="M347" s="17" t="str">
        <x:v>상세공고 확인</x:v>
      </x:c>
      <x:c r="N347" s="17" t="str">
        <x:v>상세공고 확인</x:v>
      </x:c>
      <x:c r="O347" s="17" t="str">
        <x:v>상세공고 확인</x:v>
      </x:c>
      <x:c r="P347" s="17" t="str">
        <x:v>상세공고 확인</x:v>
      </x:c>
      <x:c r="Q347" s="17" t="str">
        <x:v>상세공고 확인</x:v>
      </x:c>
      <x:c r="R347" s="17" t="str">
        <x:v>상세공고 확인</x:v>
      </x:c>
      <x:c r="S347" s="17" t="str">
        <x:v>상세공고 확인</x:v>
      </x:c>
      <x:c r="T347" s="17" t="str">
        <x:v>상세공고 확인</x:v>
      </x:c>
      <x:c r="U347" s="17" t="str">
        <x:v>상세공고 확인</x:v>
      </x:c>
      <x:c r="V347" s="17" t="str">
        <x:v>목록 항목 확인</x:v>
      </x:c>
      <x:c r="W347" s="17" t="str">
        <x:v>공고 상세에서 확인</x:v>
      </x:c>
      <x:c r="X347" s="18" t="str">
        <x:v>https://job.alio.go.kr/recruitview.do?idx=304332</x:v>
      </x:c>
      <x:c r="Y347" s="1"/>
      <x:c r="Z347" s="1"/>
    </x:row>
    <x:row r="348" ht="54" customHeight="1">
      <x:c r="A348" s="17" t="n">
        <x:v>76</x:v>
      </x:c>
      <x:c r="B348" s="17" t="str">
        <x:v>한국여성인권진흥원</x:v>
      </x:c>
      <x:c r="C348" s="17" t="str">
        <x:v>2026년 한국여성인권진흥원 제5차 채용 공고</x:v>
      </x:c>
      <x:c r="D348" s="17" t="str">
        <x:v>서울</x:v>
      </x:c>
      <x:c r="E348" s="17" t="str">
        <x:v>무기계약직 외 2</x:v>
      </x:c>
      <x:c r="F348" s="17" t="str">
        <x:v>2026.08.27</x:v>
      </x:c>
      <x:c r="G348" s="17" t="str">
        <x:v>26.09.10 D-1</x:v>
      </x:c>
      <x:c r="H348" s="17" t="str">
        <x:v>무기계약·공무직</x:v>
      </x:c>
      <x:c r="I348" s="17" t="str">
        <x:v>세부조건 확인</x:v>
      </x:c>
      <x:c r="J348" s="17" t="str">
        <x:v>제한 문구 미탐지</x:v>
      </x:c>
      <x:c r="K348" s="17" t="str">
        <x:v>상세공고 확인</x:v>
      </x:c>
      <x:c r="L348" s="17" t="str">
        <x:v>상세공고 확인</x:v>
      </x:c>
      <x:c r="M348" s="17" t="str">
        <x:v>상세공고 확인</x:v>
      </x:c>
      <x:c r="N348" s="17" t="str">
        <x:v>상세공고 확인</x:v>
      </x:c>
      <x:c r="O348" s="17" t="str">
        <x:v>상세공고 확인</x:v>
      </x:c>
      <x:c r="P348" s="17" t="str">
        <x:v>상세공고 확인</x:v>
      </x:c>
      <x:c r="Q348" s="17" t="str">
        <x:v>상세공고 확인</x:v>
      </x:c>
      <x:c r="R348" s="17" t="str">
        <x:v>상세공고 확인</x:v>
      </x:c>
      <x:c r="S348" s="17" t="str">
        <x:v>상세공고 확인</x:v>
      </x:c>
      <x:c r="T348" s="17" t="str">
        <x:v>상세공고 확인</x:v>
      </x:c>
      <x:c r="U348" s="17" t="str">
        <x:v>상세공고 확인</x:v>
      </x:c>
      <x:c r="V348" s="17" t="str">
        <x:v>목록 항목 확인</x:v>
      </x:c>
      <x:c r="W348" s="17" t="str">
        <x:v>공고 상세에서 확인</x:v>
      </x:c>
      <x:c r="X348" s="18" t="str">
        <x:v>https://job.alio.go.kr/recruitview.do?idx=304330</x:v>
      </x:c>
      <x:c r="Y348" s="1"/>
      <x:c r="Z348" s="1"/>
    </x:row>
    <x:row r="349" ht="54" customHeight="1">
      <x:c r="A349" s="17" t="n">
        <x:v>75</x:v>
      </x:c>
      <x:c r="B349" s="17" t="str">
        <x:v>한국환경공단</x:v>
      </x:c>
      <x:c r="C349" s="17" t="str">
        <x:v>2026년도 한국환경공단 하반기 개방형 직위(정선수도사업소장) 공개모집 공고</x:v>
      </x:c>
      <x:c r="D349" s="17" t="str">
        <x:v>강원</x:v>
      </x:c>
      <x:c r="E349" s="17" t="str">
        <x:v>비정규직</x:v>
      </x:c>
      <x:c r="F349" s="17" t="str">
        <x:v>2026.08.27</x:v>
      </x:c>
      <x:c r="G349" s="17" t="str">
        <x:v>26.09.10 D-1</x:v>
      </x:c>
      <x:c r="H349" s="17" t="str">
        <x:v>기간제·비정규</x:v>
      </x:c>
      <x:c r="I349" s="17" t="str">
        <x:v>세부조건 확인</x:v>
      </x:c>
      <x:c r="J349" s="17" t="str">
        <x:v>제한 문구 미탐지</x:v>
      </x:c>
      <x:c r="K349" s="17" t="str">
        <x:v>상세공고 확인</x:v>
      </x:c>
      <x:c r="L349" s="17" t="str">
        <x:v>상세공고 확인</x:v>
      </x:c>
      <x:c r="M349" s="17" t="str">
        <x:v>상세공고 확인</x:v>
      </x:c>
      <x:c r="N349" s="17" t="str">
        <x:v>상세공고 확인</x:v>
      </x:c>
      <x:c r="O349" s="17" t="str">
        <x:v>상세공고 확인</x:v>
      </x:c>
      <x:c r="P349" s="17" t="str">
        <x:v>상세공고 확인</x:v>
      </x:c>
      <x:c r="Q349" s="17" t="str">
        <x:v>상세공고 확인</x:v>
      </x:c>
      <x:c r="R349" s="17" t="str">
        <x:v>상세공고 확인</x:v>
      </x:c>
      <x:c r="S349" s="17" t="str">
        <x:v>상세공고 확인</x:v>
      </x:c>
      <x:c r="T349" s="17" t="str">
        <x:v>상세공고 확인</x:v>
      </x:c>
      <x:c r="U349" s="17" t="str">
        <x:v>상세공고 확인</x:v>
      </x:c>
      <x:c r="V349" s="17" t="str">
        <x:v>목록 항목 확인</x:v>
      </x:c>
      <x:c r="W349" s="17" t="str">
        <x:v>공고 상세에서 확인</x:v>
      </x:c>
      <x:c r="X349" s="18" t="str">
        <x:v>https://job.alio.go.kr/recruitview.do?idx=304324</x:v>
      </x:c>
      <x:c r="Y349" s="1"/>
      <x:c r="Z349" s="1"/>
    </x:row>
    <x:row r="350" ht="54" customHeight="1">
      <x:c r="A350" s="17" t="n">
        <x:v>74</x:v>
      </x:c>
      <x:c r="B350" s="17" t="str">
        <x:v>한국장애인고용공단</x:v>
      </x:c>
      <x:c r="C350" s="17" t="str">
        <x:v>[한국장애인고용공단 서울지역본부·강원지사] 기간제근로자 통합채용 공고</x:v>
      </x:c>
      <x:c r="D350" s="17" t="str">
        <x:v>서울 외 1</x:v>
      </x:c>
      <x:c r="E350" s="17" t="str">
        <x:v>비정규직 외 1</x:v>
      </x:c>
      <x:c r="F350" s="17" t="str">
        <x:v>2026.08.27</x:v>
      </x:c>
      <x:c r="G350" s="17" t="str">
        <x:v>26.09.09 D+0</x:v>
      </x:c>
      <x:c r="H350" s="17" t="str">
        <x:v>기간제·비정규</x:v>
      </x:c>
      <x:c r="I350" s="17" t="str">
        <x:v>세부조건 확인</x:v>
      </x:c>
      <x:c r="J350" s="17" t="str">
        <x:v>제한 문구 미탐지</x:v>
      </x:c>
      <x:c r="K350" s="17" t="str">
        <x:v>상세공고 확인</x:v>
      </x:c>
      <x:c r="L350" s="17" t="str">
        <x:v>상세공고 확인</x:v>
      </x:c>
      <x:c r="M350" s="17" t="str">
        <x:v>상세공고 확인</x:v>
      </x:c>
      <x:c r="N350" s="17" t="str">
        <x:v>상세공고 확인</x:v>
      </x:c>
      <x:c r="O350" s="17" t="str">
        <x:v>상세공고 확인</x:v>
      </x:c>
      <x:c r="P350" s="17" t="str">
        <x:v>상세공고 확인</x:v>
      </x:c>
      <x:c r="Q350" s="17" t="str">
        <x:v>상세공고 확인</x:v>
      </x:c>
      <x:c r="R350" s="17" t="str">
        <x:v>상세공고 확인</x:v>
      </x:c>
      <x:c r="S350" s="17" t="str">
        <x:v>상세공고 확인</x:v>
      </x:c>
      <x:c r="T350" s="17" t="str">
        <x:v>상세공고 확인</x:v>
      </x:c>
      <x:c r="U350" s="17" t="str">
        <x:v>상세공고 확인</x:v>
      </x:c>
      <x:c r="V350" s="17" t="str">
        <x:v>목록 항목 확인</x:v>
      </x:c>
      <x:c r="W350" s="17" t="str">
        <x:v>공고 상세에서 확인</x:v>
      </x:c>
      <x:c r="X350" s="18" t="str">
        <x:v>https://job.alio.go.kr/recruitview.do?idx=304323</x:v>
      </x:c>
      <x:c r="Y350" s="1"/>
      <x:c r="Z350" s="1"/>
    </x:row>
    <x:row r="351" ht="54" customHeight="1">
      <x:c r="A351" s="17" t="n">
        <x:v>73</x:v>
      </x:c>
      <x:c r="B351" s="17" t="str">
        <x:v>한국조세재정연구원</x:v>
      </x:c>
      <x:c r="C351" s="17" t="str">
        <x:v>[한국조세재정연구원] 2026년도 제3차 체험형 청년인턴 신규채용</x:v>
      </x:c>
      <x:c r="D351" s="17" t="str">
        <x:v>서울 외 1</x:v>
      </x:c>
      <x:c r="E351" s="17" t="str">
        <x:v>청년인턴(체험형)</x:v>
      </x:c>
      <x:c r="F351" s="17" t="str">
        <x:v>2026.08.27</x:v>
      </x:c>
      <x:c r="G351" s="17" t="str">
        <x:v>26.09.10 D-1</x:v>
      </x:c>
      <x:c r="H351" s="17" t="str">
        <x:v>체험형·청년인턴</x:v>
      </x:c>
      <x:c r="I351" s="17" t="str">
        <x:v>우선검토</x:v>
      </x:c>
      <x:c r="J351" s="17" t="str">
        <x:v>제한 문구 미탐지</x:v>
      </x:c>
      <x:c r="K351" s="17" t="str">
        <x:v>상세공고 확인</x:v>
      </x:c>
      <x:c r="L351" s="17" t="str">
        <x:v>상세공고 확인</x:v>
      </x:c>
      <x:c r="M351" s="17" t="str">
        <x:v>상세공고 확인</x:v>
      </x:c>
      <x:c r="N351" s="17" t="str">
        <x:v>상세공고 확인</x:v>
      </x:c>
      <x:c r="O351" s="17" t="str">
        <x:v>상세공고 확인</x:v>
      </x:c>
      <x:c r="P351" s="17" t="str">
        <x:v>상세공고 확인</x:v>
      </x:c>
      <x:c r="Q351" s="17" t="str">
        <x:v>상세공고 확인</x:v>
      </x:c>
      <x:c r="R351" s="17" t="str">
        <x:v>상세공고 확인</x:v>
      </x:c>
      <x:c r="S351" s="17" t="str">
        <x:v>상세공고 확인</x:v>
      </x:c>
      <x:c r="T351" s="17" t="str">
        <x:v>상세공고 확인</x:v>
      </x:c>
      <x:c r="U351" s="17" t="str">
        <x:v>상세공고 확인</x:v>
      </x:c>
      <x:c r="V351" s="17" t="str">
        <x:v>목록 항목 확인</x:v>
      </x:c>
      <x:c r="W351" s="17" t="str">
        <x:v>공고 상세에서 확인</x:v>
      </x:c>
      <x:c r="X351" s="18" t="str">
        <x:v>https://job.alio.go.kr/recruitview.do?idx=304319</x:v>
      </x:c>
      <x:c r="Y351" s="1"/>
      <x:c r="Z351" s="1"/>
    </x:row>
    <x:row r="352" ht="54" customHeight="1">
      <x:c r="A352" s="17" t="n">
        <x:v>72</x:v>
      </x:c>
      <x:c r="B352" s="17" t="str">
        <x:v>한국조세재정연구원</x:v>
      </x:c>
      <x:c r="C352" s="17" t="str">
        <x:v>[한국조세재정연구원] 2026년도 제5차 위촉직 직원모집</x:v>
      </x:c>
      <x:c r="D352" s="17" t="str">
        <x:v>서울 외 1</x:v>
      </x:c>
      <x:c r="E352" s="17" t="str">
        <x:v>비정규직</x:v>
      </x:c>
      <x:c r="F352" s="17" t="str">
        <x:v>2026.08.27</x:v>
      </x:c>
      <x:c r="G352" s="17" t="str">
        <x:v>26.09.10 D-1</x:v>
      </x:c>
      <x:c r="H352" s="17" t="str">
        <x:v>기간제·비정규</x:v>
      </x:c>
      <x:c r="I352" s="17" t="str">
        <x:v>세부조건 확인</x:v>
      </x:c>
      <x:c r="J352" s="17" t="str">
        <x:v>제한 문구 미탐지</x:v>
      </x:c>
      <x:c r="K352" s="17" t="str">
        <x:v>상세공고 확인</x:v>
      </x:c>
      <x:c r="L352" s="17" t="str">
        <x:v>상세공고 확인</x:v>
      </x:c>
      <x:c r="M352" s="17" t="str">
        <x:v>상세공고 확인</x:v>
      </x:c>
      <x:c r="N352" s="17" t="str">
        <x:v>상세공고 확인</x:v>
      </x:c>
      <x:c r="O352" s="17" t="str">
        <x:v>상세공고 확인</x:v>
      </x:c>
      <x:c r="P352" s="17" t="str">
        <x:v>상세공고 확인</x:v>
      </x:c>
      <x:c r="Q352" s="17" t="str">
        <x:v>상세공고 확인</x:v>
      </x:c>
      <x:c r="R352" s="17" t="str">
        <x:v>상세공고 확인</x:v>
      </x:c>
      <x:c r="S352" s="17" t="str">
        <x:v>상세공고 확인</x:v>
      </x:c>
      <x:c r="T352" s="17" t="str">
        <x:v>상세공고 확인</x:v>
      </x:c>
      <x:c r="U352" s="17" t="str">
        <x:v>상세공고 확인</x:v>
      </x:c>
      <x:c r="V352" s="17" t="str">
        <x:v>목록 항목 확인</x:v>
      </x:c>
      <x:c r="W352" s="17" t="str">
        <x:v>공고 상세에서 확인</x:v>
      </x:c>
      <x:c r="X352" s="18" t="str">
        <x:v>https://job.alio.go.kr/recruitview.do?idx=304318</x:v>
      </x:c>
      <x:c r="Y352" s="1"/>
      <x:c r="Z352" s="1"/>
    </x:row>
    <x:row r="353" ht="54" customHeight="1">
      <x:c r="A353" s="17" t="n">
        <x:v>71</x:v>
      </x:c>
      <x:c r="B353" s="17" t="str">
        <x:v>국립호남권생물자원관</x:v>
      </x:c>
      <x:c r="C353" s="17" t="str">
        <x:v>국립호남권생물자원관 기간제근로자(육아휴직 대체) 채용공고</x:v>
      </x:c>
      <x:c r="D353" s="17" t="str">
        <x:v>전남광주</x:v>
      </x:c>
      <x:c r="E353" s="17" t="str">
        <x:v>비정규직</x:v>
      </x:c>
      <x:c r="F353" s="17" t="str">
        <x:v>2026.08.27</x:v>
      </x:c>
      <x:c r="G353" s="17" t="str">
        <x:v>26.09.11 D-2</x:v>
      </x:c>
      <x:c r="H353" s="17" t="str">
        <x:v>기간제·비정규</x:v>
      </x:c>
      <x:c r="I353" s="17" t="str">
        <x:v>세부조건 확인</x:v>
      </x:c>
      <x:c r="J353" s="17" t="str">
        <x:v>제한 문구 미탐지</x:v>
      </x:c>
      <x:c r="K353" s="17" t="str">
        <x:v>상세공고 확인</x:v>
      </x:c>
      <x:c r="L353" s="17" t="str">
        <x:v>상세공고 확인</x:v>
      </x:c>
      <x:c r="M353" s="17" t="str">
        <x:v>상세공고 확인</x:v>
      </x:c>
      <x:c r="N353" s="17" t="str">
        <x:v>상세공고 확인</x:v>
      </x:c>
      <x:c r="O353" s="17" t="str">
        <x:v>상세공고 확인</x:v>
      </x:c>
      <x:c r="P353" s="17" t="str">
        <x:v>상세공고 확인</x:v>
      </x:c>
      <x:c r="Q353" s="17" t="str">
        <x:v>상세공고 확인</x:v>
      </x:c>
      <x:c r="R353" s="17" t="str">
        <x:v>상세공고 확인</x:v>
      </x:c>
      <x:c r="S353" s="17" t="str">
        <x:v>상세공고 확인</x:v>
      </x:c>
      <x:c r="T353" s="17" t="str">
        <x:v>상세공고 확인</x:v>
      </x:c>
      <x:c r="U353" s="17" t="str">
        <x:v>상세공고 확인</x:v>
      </x:c>
      <x:c r="V353" s="17" t="str">
        <x:v>목록 항목 확인</x:v>
      </x:c>
      <x:c r="W353" s="17" t="str">
        <x:v>공고 상세에서 확인</x:v>
      </x:c>
      <x:c r="X353" s="18" t="str">
        <x:v>https://job.alio.go.kr/recruitview.do?idx=304300</x:v>
      </x:c>
      <x:c r="Y353" s="1"/>
      <x:c r="Z353" s="1"/>
    </x:row>
    <x:row r="354" ht="54" customHeight="1">
      <x:c r="A354" s="17" t="n">
        <x:v>70</x:v>
      </x:c>
      <x:c r="B354" s="17" t="str">
        <x:v>한국보훈복지의료공단</x:v>
      </x:c>
      <x:c r="C354" s="17" t="str">
        <x:v>[본사] 한국보훈복지의료공단 대전보훈병원장(별정직) 공개모집 공고</x:v>
      </x:c>
      <x:c r="D354" s="17" t="str">
        <x:v>대전</x:v>
      </x:c>
      <x:c r="E354" s="17" t="str">
        <x:v>정규직</x:v>
      </x:c>
      <x:c r="F354" s="17" t="str">
        <x:v>2026.08.27</x:v>
      </x:c>
      <x:c r="G354" s="17" t="str">
        <x:v>26.09.10 D-1</x:v>
      </x:c>
      <x:c r="H354" s="17" t="str">
        <x:v>경력·전문직</x:v>
      </x:c>
      <x:c r="I354" s="17" t="str">
        <x:v>경력·전문 우선</x:v>
      </x:c>
      <x:c r="J354" s="17" t="str">
        <x:v>제한 문구 미탐지</x:v>
      </x:c>
      <x:c r="K354" s="17" t="str">
        <x:v>상세공고 확인</x:v>
      </x:c>
      <x:c r="L354" s="17" t="str">
        <x:v>상세공고 확인</x:v>
      </x:c>
      <x:c r="M354" s="17" t="str">
        <x:v>상세공고 확인</x:v>
      </x:c>
      <x:c r="N354" s="17" t="str">
        <x:v>상세공고 확인</x:v>
      </x:c>
      <x:c r="O354" s="17" t="str">
        <x:v>상세공고 확인</x:v>
      </x:c>
      <x:c r="P354" s="17" t="str">
        <x:v>상세공고 확인</x:v>
      </x:c>
      <x:c r="Q354" s="17" t="str">
        <x:v>상세공고 확인</x:v>
      </x:c>
      <x:c r="R354" s="17" t="str">
        <x:v>상세공고 확인</x:v>
      </x:c>
      <x:c r="S354" s="17" t="str">
        <x:v>상세공고 확인</x:v>
      </x:c>
      <x:c r="T354" s="17" t="str">
        <x:v>상세공고 확인</x:v>
      </x:c>
      <x:c r="U354" s="17" t="str">
        <x:v>상세공고 확인</x:v>
      </x:c>
      <x:c r="V354" s="17" t="str">
        <x:v>목록 항목 확인</x:v>
      </x:c>
      <x:c r="W354" s="17" t="str">
        <x:v>공고 상세에서 확인</x:v>
      </x:c>
      <x:c r="X354" s="18" t="str">
        <x:v>https://job.alio.go.kr/recruitview.do?idx=304299</x:v>
      </x:c>
      <x:c r="Y354" s="1"/>
      <x:c r="Z354" s="1"/>
    </x:row>
    <x:row r="355" ht="54" customHeight="1">
      <x:c r="A355" s="17" t="n">
        <x:v>69</x:v>
      </x:c>
      <x:c r="B355" s="17" t="str">
        <x:v>한국방송통신전파진흥원</x:v>
      </x:c>
      <x:c r="C355" s="17" t="str">
        <x:v>한국방송통신전파진흥원 체험형 청년인턴 채용 공고</x:v>
      </x:c>
      <x:c r="D355" s="17" t="str">
        <x:v>전남광주</x:v>
      </x:c>
      <x:c r="E355" s="17" t="str">
        <x:v>청년인턴(체험형)</x:v>
      </x:c>
      <x:c r="F355" s="17" t="str">
        <x:v>2026.08.27</x:v>
      </x:c>
      <x:c r="G355" s="17" t="str">
        <x:v>26.09.10 D-1</x:v>
      </x:c>
      <x:c r="H355" s="17" t="str">
        <x:v>체험형·청년인턴</x:v>
      </x:c>
      <x:c r="I355" s="17" t="str">
        <x:v>우선검토</x:v>
      </x:c>
      <x:c r="J355" s="17" t="str">
        <x:v>제한 문구 미탐지</x:v>
      </x:c>
      <x:c r="K355" s="17" t="str">
        <x:v>상세공고 확인</x:v>
      </x:c>
      <x:c r="L355" s="17" t="str">
        <x:v>상세공고 확인</x:v>
      </x:c>
      <x:c r="M355" s="17" t="str">
        <x:v>상세공고 확인</x:v>
      </x:c>
      <x:c r="N355" s="17" t="str">
        <x:v>상세공고 확인</x:v>
      </x:c>
      <x:c r="O355" s="17" t="str">
        <x:v>상세공고 확인</x:v>
      </x:c>
      <x:c r="P355" s="17" t="str">
        <x:v>상세공고 확인</x:v>
      </x:c>
      <x:c r="Q355" s="17" t="str">
        <x:v>상세공고 확인</x:v>
      </x:c>
      <x:c r="R355" s="17" t="str">
        <x:v>상세공고 확인</x:v>
      </x:c>
      <x:c r="S355" s="17" t="str">
        <x:v>상세공고 확인</x:v>
      </x:c>
      <x:c r="T355" s="17" t="str">
        <x:v>상세공고 확인</x:v>
      </x:c>
      <x:c r="U355" s="17" t="str">
        <x:v>상세공고 확인</x:v>
      </x:c>
      <x:c r="V355" s="17" t="str">
        <x:v>목록 항목 확인</x:v>
      </x:c>
      <x:c r="W355" s="17" t="str">
        <x:v>공고 상세에서 확인</x:v>
      </x:c>
      <x:c r="X355" s="18" t="str">
        <x:v>https://job.alio.go.kr/recruitview.do?idx=304282</x:v>
      </x:c>
      <x:c r="Y355" s="1"/>
      <x:c r="Z355" s="1"/>
    </x:row>
    <x:row r="356" ht="54" customHeight="1">
      <x:c r="A356" s="17" t="n">
        <x:v>68</x:v>
      </x:c>
      <x:c r="B356" s="17" t="str">
        <x:v>한국방송통신전파진흥원</x:v>
      </x:c>
      <x:c r="C356" s="17" t="str">
        <x:v>한국방송통신전파진흥원 휴직 대체인력(대체인력뱅크) 채용 공고</x:v>
      </x:c>
      <x:c r="D356" s="17" t="str">
        <x:v>전남광주</x:v>
      </x:c>
      <x:c r="E356" s="17" t="str">
        <x:v>비정규직</x:v>
      </x:c>
      <x:c r="F356" s="17" t="str">
        <x:v>2026.08.27</x:v>
      </x:c>
      <x:c r="G356" s="17" t="str">
        <x:v>26.09.10 D-1</x:v>
      </x:c>
      <x:c r="H356" s="17" t="str">
        <x:v>기간제·비정규</x:v>
      </x:c>
      <x:c r="I356" s="17" t="str">
        <x:v>세부조건 확인</x:v>
      </x:c>
      <x:c r="J356" s="17" t="str">
        <x:v>제한 문구 미탐지</x:v>
      </x:c>
      <x:c r="K356" s="17" t="str">
        <x:v>상세공고 확인</x:v>
      </x:c>
      <x:c r="L356" s="17" t="str">
        <x:v>상세공고 확인</x:v>
      </x:c>
      <x:c r="M356" s="17" t="str">
        <x:v>상세공고 확인</x:v>
      </x:c>
      <x:c r="N356" s="17" t="str">
        <x:v>상세공고 확인</x:v>
      </x:c>
      <x:c r="O356" s="17" t="str">
        <x:v>상세공고 확인</x:v>
      </x:c>
      <x:c r="P356" s="17" t="str">
        <x:v>상세공고 확인</x:v>
      </x:c>
      <x:c r="Q356" s="17" t="str">
        <x:v>상세공고 확인</x:v>
      </x:c>
      <x:c r="R356" s="17" t="str">
        <x:v>상세공고 확인</x:v>
      </x:c>
      <x:c r="S356" s="17" t="str">
        <x:v>상세공고 확인</x:v>
      </x:c>
      <x:c r="T356" s="17" t="str">
        <x:v>상세공고 확인</x:v>
      </x:c>
      <x:c r="U356" s="17" t="str">
        <x:v>상세공고 확인</x:v>
      </x:c>
      <x:c r="V356" s="17" t="str">
        <x:v>목록 항목 확인</x:v>
      </x:c>
      <x:c r="W356" s="17" t="str">
        <x:v>공고 상세에서 확인</x:v>
      </x:c>
      <x:c r="X356" s="18" t="str">
        <x:v>https://job.alio.go.kr/recruitview.do?idx=304281</x:v>
      </x:c>
      <x:c r="Y356" s="1"/>
      <x:c r="Z356" s="1"/>
    </x:row>
    <x:row r="357" ht="54" customHeight="1">
      <x:c r="A357" s="17" t="n">
        <x:v>67</x:v>
      </x:c>
      <x:c r="B357" s="17" t="str">
        <x:v>한국방송통신전파진흥원</x:v>
      </x:c>
      <x:c r="C357" s="17" t="str">
        <x:v>한국방송통신전파진흥원 경력·신입 직원 채용 공고</x:v>
      </x:c>
      <x:c r="D357" s="17" t="str">
        <x:v>대구 외 2</x:v>
      </x:c>
      <x:c r="E357" s="17" t="str">
        <x:v>무기계약직 외 1</x:v>
      </x:c>
      <x:c r="F357" s="17" t="str">
        <x:v>2026.08.27</x:v>
      </x:c>
      <x:c r="G357" s="17" t="str">
        <x:v>26.09.10 D-1</x:v>
      </x:c>
      <x:c r="H357" s="17" t="str">
        <x:v>제한경쟁·조건부</x:v>
      </x:c>
      <x:c r="I357" s="17" t="str">
        <x:v>조건 충족자만</x:v>
      </x:c>
      <x:c r="J357" s="17" t="str">
        <x:v>보훈 관련 제한경쟁</x:v>
      </x:c>
      <x:c r="K357" s="17" t="str">
        <x:v>신입+경력</x:v>
      </x:c>
      <x:c r="L357" s="17" t="str">
        <x:v>학력무관</x:v>
      </x:c>
      <x:c r="M357" s="17" t="str">
        <x:v>8명</x:v>
      </x:c>
      <x:c r="N357" s="17" t="str">
        <x:v>경영.회계.사무</x:v>
      </x:c>
      <x:c r="O357" s="17" t="str">
        <x:v>국가보훈대상자,청년인턴 경험자,우수 청년인턴 선발자,장애인,기초생활수급자,지역인재,한국사능력검정시험,북한이탈주민,다문화가족,경력단절여성,자립준비청년</x:v>
      </x:c>
      <x:c r="P357" s="17" t="str">
        <x:v>명시 있음</x:v>
      </x:c>
      <x:c r="Q357" s="17" t="str">
        <x:v>상세공고 확인</x:v>
      </x:c>
      <x:c r="R357" s="17" t="str">
        <x:v>□응시자격 ○ 공통사항 - KCA 인사규정 "[별표 1] 직원채용 공통자격기준" 적용 - 성별, 병역 제한 없으며, 임용일 기준 근무가능자 - 임용일 기준 정년 만 60세 미만. 단, 미화(공무직)는 정년 만 65세 미만 - KCA 인사규정 제12조(결격사유)에 해당되지 않는 자 ○ 시설관리(기계) - 기계설비유지관리자(고급) 이상 자격을 보유한 자 ○ 미화(보훈) - 「국가유공자 등 예우 및 지원에 관한 법률」 등 보훈관련 법령에 따라 취업지원대상자 증명서 발급이 가능한 자 ※ 세부내용 채용공고문 참조</x:v>
      </x:c>
      <x:c r="S357" s="17" t="str">
        <x:v>한국사</x:v>
      </x:c>
      <x:c r="T357" s="17" t="str">
        <x:v>□ 전형방법 ○ 6급, 7급 : 서류·AI전형 → 면접전형 - (서류·AI전형) 평가항목별로 평가한 서류전형 평균점수와 AI전형을 합산한 점수에 가점을 적용하여 채용예정 인원의 5배수 내에서 고득점자 순으로 선발 - (면접전형) 채용분야별 면접 평가 후 평균점수에 가점을 적용하여 70점 이상자 중 고득점자 순으로 최종 합격자 선발 * 동점자 발생 시 취업지원대상자, 서류·AI 전형, AI역량검사 고득점자 순 선발 ○ 공무직 : 서류전형 → 면접전형 - (서류전형) 평가항목별로 평가한 서류전형 평균점수에 가점을 적용하여 70점 이상자 중 채용예정 인원의 10배수 내에서 고득점자 순으로 선발 - (면접전형) 채용분야별 면접 평가 후 평균점수에 가점을 적용하여 70점 이상자 중 고득점자 순으로 최종 합격자 선발 * 동점자 발생 시 취업지원대상자, 서류전형 고득점자 순 선발 ※ 세부내용 채용공고문 참조 □ 전형일정 ○ 채용공고 및 접수(AI 역량검사 병행) : '26. 8. 27.(목) ~ '26. 9. 10.(목) / 홈페이지, 알리오 / 접수처 : https://kcarecruit.kr ○ 1차 전형(서류·AI 전형, 공무직은 서류) 인재선발시험위원회 : '26. 9. 15.(화) ~ '26. 9. 17.(목) / 나주 ○ 1차 전형(서류·AI 전형, 공무직은 서류) 합격자 발표 : '26. 9. 22.(화) / 홈페이지, 이메일, 개별문자 ○ 입사지원서 증빙서류 제출 : '26. 9. 22.(화) ~ '26. 9. 27.(일) / 나주 ○ 2차 전형(면접) 인재선발시험위원회 : '26. 9. 30.(수) ~ '26. 10. 2.(금) / 나주 ○ 2차 전형(면접) 합격자 발표 : '26. 10. 8.(목) / 홈페이지, 이메일, 개별문자 ○ 채용 구비서류 제출 : '26. 10. 8.(목) ~ '26. 10. 14.(수) / 나주 ○ 임용(예정) : '26. 10. 26.(월) ※ 상기 일정은 내부사정에 따라 변경될 수 있음 ※ 세부내용 채용공고문 참조</x:v>
      </x:c>
      <x:c r="U357" s="17" t="str">
        <x:v>□ 전형방법 ○ 6급, 7급 : 서류·AI전형 → 면접전형 - (서류·AI전형) 평가항목별로 평가한 서류전형 평균점수와 AI전형을 합산한 점수에 가점을 적용하여 채용예정 인원의 5배수 내에서 고득점자 순으로 선발 - (면접전형) 채용분야별 면접 평가 후 평균점수에 가점을 적용하여 70점 이상자 중 고득점자 순으로 최종 합격자 선발 * 동점자 발생 시 취업지원대상자, 서류·AI 전형, AI역량검사 고득점자 순 선발 ○ 공무직 : 서류전형 → 면접전형 - (서류전형) 평가항목별로 평가한 서류전형 평균점수에 가점을 적용하여 70점 이상자 중 채용예정 인원의 10배수 내에서 고득점자 순으로 선발 - (면접전형) 채용분야별 면접 평가 후 평균점수에 가점을 적용하여 70점 이상자 중 고득점자 순으로 최종 합격자 선발 * 동점자 발생 시 취업지원대상자, 서류전형 고득점자 순 선발 ※ 세부내용 채용공고문 참조 □ 전형일정 ○ 채용공고 및 접수(AI 역량검사 병행) : '26 / (일) / 나주 ○ 2차 전형(면접) 인재선발시험위원회 : '26 / (금) / 나주 ○ 2차 전형(면접) 합격자 발표 : '26</x:v>
      </x:c>
      <x:c r="V357" s="17" t="str">
        <x:v>상세 페이지 확인</x:v>
      </x:c>
      <x:c r="W357" s="17" t="str">
        <x:v>https://www.kca.kr/boardList.do?pageId=www48&amp;boardId=CAREERS</x:v>
      </x:c>
      <x:c r="X357" s="18" t="str">
        <x:v>https://job.alio.go.kr/recruitview.do?idx=304279</x:v>
      </x:c>
      <x:c r="Y357" s="1"/>
      <x:c r="Z357" s="1"/>
    </x:row>
    <x:row r="358" ht="54" customHeight="1">
      <x:c r="A358" s="17" t="n">
        <x:v>66</x:v>
      </x:c>
      <x:c r="B358" s="17" t="str">
        <x:v>새만금개발공사</x:v>
      </x:c>
      <x:c r="C358" s="17" t="str">
        <x:v>2026년 새만금개발공사 수시채용</x:v>
      </x:c>
      <x:c r="D358" s="17" t="str">
        <x:v>전북</x:v>
      </x:c>
      <x:c r="E358" s="17" t="str">
        <x:v>정규직</x:v>
      </x:c>
      <x:c r="F358" s="17" t="str">
        <x:v>2026.08.27</x:v>
      </x:c>
      <x:c r="G358" s="17" t="str">
        <x:v>26.09.11 D-2</x:v>
      </x:c>
      <x:c r="H358" s="17" t="str">
        <x:v>정규직(세부 확인)</x:v>
      </x:c>
      <x:c r="I358" s="17" t="str">
        <x:v>세부조건 확인</x:v>
      </x:c>
      <x:c r="J358" s="17" t="str">
        <x:v>제한 문구 미탐지</x:v>
      </x:c>
      <x:c r="K358" s="17" t="str">
        <x:v>상세공고 확인</x:v>
      </x:c>
      <x:c r="L358" s="17" t="str">
        <x:v>상세공고 확인</x:v>
      </x:c>
      <x:c r="M358" s="17" t="str">
        <x:v>상세공고 확인</x:v>
      </x:c>
      <x:c r="N358" s="17" t="str">
        <x:v>상세공고 확인</x:v>
      </x:c>
      <x:c r="O358" s="17" t="str">
        <x:v>상세공고 확인</x:v>
      </x:c>
      <x:c r="P358" s="17" t="str">
        <x:v>상세공고 확인</x:v>
      </x:c>
      <x:c r="Q358" s="17" t="str">
        <x:v>상세공고 확인</x:v>
      </x:c>
      <x:c r="R358" s="17" t="str">
        <x:v>상세공고 확인</x:v>
      </x:c>
      <x:c r="S358" s="17" t="str">
        <x:v>상세공고 확인</x:v>
      </x:c>
      <x:c r="T358" s="17" t="str">
        <x:v>상세공고 확인</x:v>
      </x:c>
      <x:c r="U358" s="17" t="str">
        <x:v>상세공고 확인</x:v>
      </x:c>
      <x:c r="V358" s="17" t="str">
        <x:v>목록 항목 확인</x:v>
      </x:c>
      <x:c r="W358" s="17" t="str">
        <x:v>공고 상세에서 확인</x:v>
      </x:c>
      <x:c r="X358" s="18" t="str">
        <x:v>https://job.alio.go.kr/recruitview.do?idx=304268</x:v>
      </x:c>
      <x:c r="Y358" s="1"/>
      <x:c r="Z358" s="1"/>
    </x:row>
    <x:row r="359" ht="54" customHeight="1">
      <x:c r="A359" s="17" t="n">
        <x:v>65</x:v>
      </x:c>
      <x:c r="B359" s="17" t="str">
        <x:v>한국토지주택공사</x:v>
      </x:c>
      <x:c r="C359" s="17" t="str">
        <x:v>한국토지주택공사 사내변호사 채용 공고</x:v>
      </x:c>
      <x:c r="D359" s="17" t="str">
        <x:v>경기 외 1</x:v>
      </x:c>
      <x:c r="E359" s="17" t="str">
        <x:v>비정규직</x:v>
      </x:c>
      <x:c r="F359" s="17" t="str">
        <x:v>2026.08.27</x:v>
      </x:c>
      <x:c r="G359" s="17" t="str">
        <x:v>26.09.11 D-2</x:v>
      </x:c>
      <x:c r="H359" s="17" t="str">
        <x:v>경력·전문직</x:v>
      </x:c>
      <x:c r="I359" s="17" t="str">
        <x:v>경력·전문 우선</x:v>
      </x:c>
      <x:c r="J359" s="17" t="str">
        <x:v>제한 문구 미탐지</x:v>
      </x:c>
      <x:c r="K359" s="17" t="str">
        <x:v>상세공고 확인</x:v>
      </x:c>
      <x:c r="L359" s="17" t="str">
        <x:v>상세공고 확인</x:v>
      </x:c>
      <x:c r="M359" s="17" t="str">
        <x:v>상세공고 확인</x:v>
      </x:c>
      <x:c r="N359" s="17" t="str">
        <x:v>상세공고 확인</x:v>
      </x:c>
      <x:c r="O359" s="17" t="str">
        <x:v>상세공고 확인</x:v>
      </x:c>
      <x:c r="P359" s="17" t="str">
        <x:v>상세공고 확인</x:v>
      </x:c>
      <x:c r="Q359" s="17" t="str">
        <x:v>상세공고 확인</x:v>
      </x:c>
      <x:c r="R359" s="17" t="str">
        <x:v>상세공고 확인</x:v>
      </x:c>
      <x:c r="S359" s="17" t="str">
        <x:v>상세공고 확인</x:v>
      </x:c>
      <x:c r="T359" s="17" t="str">
        <x:v>상세공고 확인</x:v>
      </x:c>
      <x:c r="U359" s="17" t="str">
        <x:v>상세공고 확인</x:v>
      </x:c>
      <x:c r="V359" s="17" t="str">
        <x:v>목록 항목 확인</x:v>
      </x:c>
      <x:c r="W359" s="17" t="str">
        <x:v>공고 상세에서 확인</x:v>
      </x:c>
      <x:c r="X359" s="18" t="str">
        <x:v>https://job.alio.go.kr/recruitview.do?idx=304252</x:v>
      </x:c>
      <x:c r="Y359" s="1"/>
      <x:c r="Z359" s="1"/>
    </x:row>
    <x:row r="360" ht="54" customHeight="1">
      <x:c r="A360" s="17" t="n">
        <x:v>64</x:v>
      </x:c>
      <x:c r="B360" s="17" t="str">
        <x:v>한국법무보호복지공단</x:v>
      </x:c>
      <x:c r="C360" s="17" t="str">
        <x:v>2026년 한국법무보호복지공단 경기남부지부 보호직(육아휴직대체직) 공개경쟁채용시험 공고</x:v>
      </x:c>
      <x:c r="D360" s="17" t="str">
        <x:v>경기</x:v>
      </x:c>
      <x:c r="E360" s="17" t="str">
        <x:v>비정규직</x:v>
      </x:c>
      <x:c r="F360" s="17" t="str">
        <x:v>2026.08.27</x:v>
      </x:c>
      <x:c r="G360" s="17" t="str">
        <x:v>26.09.11 D-2</x:v>
      </x:c>
      <x:c r="H360" s="17" t="str">
        <x:v>기간제·비정규</x:v>
      </x:c>
      <x:c r="I360" s="17" t="str">
        <x:v>세부조건 확인</x:v>
      </x:c>
      <x:c r="J360" s="17" t="str">
        <x:v>제한 문구 미탐지</x:v>
      </x:c>
      <x:c r="K360" s="17" t="str">
        <x:v>상세공고 확인</x:v>
      </x:c>
      <x:c r="L360" s="17" t="str">
        <x:v>상세공고 확인</x:v>
      </x:c>
      <x:c r="M360" s="17" t="str">
        <x:v>상세공고 확인</x:v>
      </x:c>
      <x:c r="N360" s="17" t="str">
        <x:v>상세공고 확인</x:v>
      </x:c>
      <x:c r="O360" s="17" t="str">
        <x:v>상세공고 확인</x:v>
      </x:c>
      <x:c r="P360" s="17" t="str">
        <x:v>상세공고 확인</x:v>
      </x:c>
      <x:c r="Q360" s="17" t="str">
        <x:v>상세공고 확인</x:v>
      </x:c>
      <x:c r="R360" s="17" t="str">
        <x:v>상세공고 확인</x:v>
      </x:c>
      <x:c r="S360" s="17" t="str">
        <x:v>상세공고 확인</x:v>
      </x:c>
      <x:c r="T360" s="17" t="str">
        <x:v>상세공고 확인</x:v>
      </x:c>
      <x:c r="U360" s="17" t="str">
        <x:v>상세공고 확인</x:v>
      </x:c>
      <x:c r="V360" s="17" t="str">
        <x:v>목록 항목 확인</x:v>
      </x:c>
      <x:c r="W360" s="17" t="str">
        <x:v>공고 상세에서 확인</x:v>
      </x:c>
      <x:c r="X360" s="18" t="str">
        <x:v>https://job.alio.go.kr/recruitview.do?idx=304229</x:v>
      </x:c>
      <x:c r="Y360" s="1"/>
      <x:c r="Z360" s="1"/>
    </x:row>
    <x:row r="361" ht="54" customHeight="1">
      <x:c r="A361" s="17" t="n">
        <x:v>63</x:v>
      </x:c>
      <x:c r="B361" s="17" t="str">
        <x:v>국립생태원</x:v>
      </x:c>
      <x:c r="C361" s="17" t="str">
        <x:v>2026년 제1차 국립생태원 기간제근로자(육아휴직 대체) 채용 공고</x:v>
      </x:c>
      <x:c r="D361" s="17" t="str">
        <x:v>충남 외 3</x:v>
      </x:c>
      <x:c r="E361" s="17" t="str">
        <x:v>비정규직</x:v>
      </x:c>
      <x:c r="F361" s="17" t="str">
        <x:v>2026.08.27</x:v>
      </x:c>
      <x:c r="G361" s="17" t="str">
        <x:v>26.09.11 D-2</x:v>
      </x:c>
      <x:c r="H361" s="17" t="str">
        <x:v>기간제·비정규</x:v>
      </x:c>
      <x:c r="I361" s="17" t="str">
        <x:v>세부조건 확인</x:v>
      </x:c>
      <x:c r="J361" s="17" t="str">
        <x:v>제한 문구 미탐지</x:v>
      </x:c>
      <x:c r="K361" s="17" t="str">
        <x:v>상세공고 확인</x:v>
      </x:c>
      <x:c r="L361" s="17" t="str">
        <x:v>상세공고 확인</x:v>
      </x:c>
      <x:c r="M361" s="17" t="str">
        <x:v>상세공고 확인</x:v>
      </x:c>
      <x:c r="N361" s="17" t="str">
        <x:v>상세공고 확인</x:v>
      </x:c>
      <x:c r="O361" s="17" t="str">
        <x:v>상세공고 확인</x:v>
      </x:c>
      <x:c r="P361" s="17" t="str">
        <x:v>상세공고 확인</x:v>
      </x:c>
      <x:c r="Q361" s="17" t="str">
        <x:v>상세공고 확인</x:v>
      </x:c>
      <x:c r="R361" s="17" t="str">
        <x:v>상세공고 확인</x:v>
      </x:c>
      <x:c r="S361" s="17" t="str">
        <x:v>상세공고 확인</x:v>
      </x:c>
      <x:c r="T361" s="17" t="str">
        <x:v>상세공고 확인</x:v>
      </x:c>
      <x:c r="U361" s="17" t="str">
        <x:v>상세공고 확인</x:v>
      </x:c>
      <x:c r="V361" s="17" t="str">
        <x:v>목록 항목 확인</x:v>
      </x:c>
      <x:c r="W361" s="17" t="str">
        <x:v>공고 상세에서 확인</x:v>
      </x:c>
      <x:c r="X361" s="18" t="str">
        <x:v>https://job.alio.go.kr/recruitview.do?idx=304219</x:v>
      </x:c>
      <x:c r="Y361" s="1"/>
      <x:c r="Z361" s="1"/>
    </x:row>
    <x:row r="362" ht="54" customHeight="1">
      <x:c r="A362" s="17" t="n">
        <x:v>62</x:v>
      </x:c>
      <x:c r="B362" s="17" t="str">
        <x:v>대한적십자사</x:v>
      </x:c>
      <x:c r="C362" s="17" t="str">
        <x:v>(경남혈액원) 비정규직 초단시간 헌혈권장원 채용 공고</x:v>
      </x:c>
      <x:c r="D362" s="17" t="str">
        <x:v>경남</x:v>
      </x:c>
      <x:c r="E362" s="17" t="str">
        <x:v>비정규직</x:v>
      </x:c>
      <x:c r="F362" s="17" t="str">
        <x:v>2026.08.26</x:v>
      </x:c>
      <x:c r="G362" s="17" t="str">
        <x:v>26.09.10 D-1</x:v>
      </x:c>
      <x:c r="H362" s="17" t="str">
        <x:v>기간제·비정규</x:v>
      </x:c>
      <x:c r="I362" s="17" t="str">
        <x:v>세부조건 확인</x:v>
      </x:c>
      <x:c r="J362" s="17" t="str">
        <x:v>제한 문구 미탐지</x:v>
      </x:c>
      <x:c r="K362" s="17" t="str">
        <x:v>상세공고 확인</x:v>
      </x:c>
      <x:c r="L362" s="17" t="str">
        <x:v>상세공고 확인</x:v>
      </x:c>
      <x:c r="M362" s="17" t="str">
        <x:v>상세공고 확인</x:v>
      </x:c>
      <x:c r="N362" s="17" t="str">
        <x:v>상세공고 확인</x:v>
      </x:c>
      <x:c r="O362" s="17" t="str">
        <x:v>상세공고 확인</x:v>
      </x:c>
      <x:c r="P362" s="17" t="str">
        <x:v>상세공고 확인</x:v>
      </x:c>
      <x:c r="Q362" s="17" t="str">
        <x:v>상세공고 확인</x:v>
      </x:c>
      <x:c r="R362" s="17" t="str">
        <x:v>상세공고 확인</x:v>
      </x:c>
      <x:c r="S362" s="17" t="str">
        <x:v>상세공고 확인</x:v>
      </x:c>
      <x:c r="T362" s="17" t="str">
        <x:v>상세공고 확인</x:v>
      </x:c>
      <x:c r="U362" s="17" t="str">
        <x:v>상세공고 확인</x:v>
      </x:c>
      <x:c r="V362" s="17" t="str">
        <x:v>목록 항목 확인</x:v>
      </x:c>
      <x:c r="W362" s="17" t="str">
        <x:v>공고 상세에서 확인</x:v>
      </x:c>
      <x:c r="X362" s="18" t="str">
        <x:v>https://job.alio.go.kr/recruitview.do?idx=304347</x:v>
      </x:c>
      <x:c r="Y362" s="1"/>
      <x:c r="Z362" s="1"/>
    </x:row>
    <x:row r="363" ht="54" customHeight="1">
      <x:c r="A363" s="17" t="n">
        <x:v>61</x:v>
      </x:c>
      <x:c r="B363" s="17" t="str">
        <x:v>대한적십자사</x:v>
      </x:c>
      <x:c r="C363" s="17" t="str">
        <x:v>(경남혈액원) 비정규직 기간제(한시적) 임상병리사 채용 공고</x:v>
      </x:c>
      <x:c r="D363" s="17" t="str">
        <x:v>경남</x:v>
      </x:c>
      <x:c r="E363" s="17" t="str">
        <x:v>비정규직</x:v>
      </x:c>
      <x:c r="F363" s="17" t="str">
        <x:v>2026.08.26</x:v>
      </x:c>
      <x:c r="G363" s="17" t="str">
        <x:v>26.09.10 D-1</x:v>
      </x:c>
      <x:c r="H363" s="17" t="str">
        <x:v>기간제·비정규</x:v>
      </x:c>
      <x:c r="I363" s="17" t="str">
        <x:v>세부조건 확인</x:v>
      </x:c>
      <x:c r="J363" s="17" t="str">
        <x:v>제한 문구 미탐지</x:v>
      </x:c>
      <x:c r="K363" s="17" t="str">
        <x:v>상세공고 확인</x:v>
      </x:c>
      <x:c r="L363" s="17" t="str">
        <x:v>상세공고 확인</x:v>
      </x:c>
      <x:c r="M363" s="17" t="str">
        <x:v>상세공고 확인</x:v>
      </x:c>
      <x:c r="N363" s="17" t="str">
        <x:v>상세공고 확인</x:v>
      </x:c>
      <x:c r="O363" s="17" t="str">
        <x:v>상세공고 확인</x:v>
      </x:c>
      <x:c r="P363" s="17" t="str">
        <x:v>상세공고 확인</x:v>
      </x:c>
      <x:c r="Q363" s="17" t="str">
        <x:v>상세공고 확인</x:v>
      </x:c>
      <x:c r="R363" s="17" t="str">
        <x:v>상세공고 확인</x:v>
      </x:c>
      <x:c r="S363" s="17" t="str">
        <x:v>상세공고 확인</x:v>
      </x:c>
      <x:c r="T363" s="17" t="str">
        <x:v>상세공고 확인</x:v>
      </x:c>
      <x:c r="U363" s="17" t="str">
        <x:v>상세공고 확인</x:v>
      </x:c>
      <x:c r="V363" s="17" t="str">
        <x:v>목록 항목 확인</x:v>
      </x:c>
      <x:c r="W363" s="17" t="str">
        <x:v>공고 상세에서 확인</x:v>
      </x:c>
      <x:c r="X363" s="18" t="str">
        <x:v>https://job.alio.go.kr/recruitview.do?idx=304346</x:v>
      </x:c>
      <x:c r="Y363" s="1"/>
      <x:c r="Z363" s="1"/>
    </x:row>
    <x:row r="364" ht="54" customHeight="1">
      <x:c r="A364" s="17" t="n">
        <x:v>60</x:v>
      </x:c>
      <x:c r="B364" s="17" t="str">
        <x:v>한국항공우주연구원</x:v>
      </x:c>
      <x:c r="C364" s="17" t="str">
        <x:v>(수정) 한국항공우주연구원 2026년도 하반기 정규직 채용공고</x:v>
      </x:c>
      <x:c r="D364" s="17" t="str">
        <x:v>대전</x:v>
      </x:c>
      <x:c r="E364" s="17" t="str">
        <x:v>정규직</x:v>
      </x:c>
      <x:c r="F364" s="17" t="str">
        <x:v>2026.08.26</x:v>
      </x:c>
      <x:c r="G364" s="17" t="str">
        <x:v>26.09.10 D-1</x:v>
      </x:c>
      <x:c r="H364" s="17" t="str">
        <x:v>정규직(세부 확인)</x:v>
      </x:c>
      <x:c r="I364" s="17" t="str">
        <x:v>세부조건 확인</x:v>
      </x:c>
      <x:c r="J364" s="17" t="str">
        <x:v>제한 문구 미탐지</x:v>
      </x:c>
      <x:c r="K364" s="17" t="str">
        <x:v>상세공고 확인</x:v>
      </x:c>
      <x:c r="L364" s="17" t="str">
        <x:v>상세공고 확인</x:v>
      </x:c>
      <x:c r="M364" s="17" t="str">
        <x:v>상세공고 확인</x:v>
      </x:c>
      <x:c r="N364" s="17" t="str">
        <x:v>상세공고 확인</x:v>
      </x:c>
      <x:c r="O364" s="17" t="str">
        <x:v>상세공고 확인</x:v>
      </x:c>
      <x:c r="P364" s="17" t="str">
        <x:v>상세공고 확인</x:v>
      </x:c>
      <x:c r="Q364" s="17" t="str">
        <x:v>상세공고 확인</x:v>
      </x:c>
      <x:c r="R364" s="17" t="str">
        <x:v>상세공고 확인</x:v>
      </x:c>
      <x:c r="S364" s="17" t="str">
        <x:v>상세공고 확인</x:v>
      </x:c>
      <x:c r="T364" s="17" t="str">
        <x:v>상세공고 확인</x:v>
      </x:c>
      <x:c r="U364" s="17" t="str">
        <x:v>상세공고 확인</x:v>
      </x:c>
      <x:c r="V364" s="17" t="str">
        <x:v>목록 항목 확인</x:v>
      </x:c>
      <x:c r="W364" s="17" t="str">
        <x:v>공고 상세에서 확인</x:v>
      </x:c>
      <x:c r="X364" s="18" t="str">
        <x:v>https://job.alio.go.kr/recruitview.do?idx=304298</x:v>
      </x:c>
      <x:c r="Y364" s="1"/>
      <x:c r="Z364" s="1"/>
    </x:row>
    <x:row r="365" ht="54" customHeight="1">
      <x:c r="A365" s="17" t="n">
        <x:v>59</x:v>
      </x:c>
      <x:c r="B365" s="17" t="str">
        <x:v>충남대학교병원</x:v>
      </x:c>
      <x:c r="C365" s="17" t="str">
        <x:v>[대전] 충남대학교병원 2026년 9월 보조금직원 채용공고</x:v>
      </x:c>
      <x:c r="D365" s="17" t="str">
        <x:v>대전</x:v>
      </x:c>
      <x:c r="E365" s="17" t="str">
        <x:v>비정규직</x:v>
      </x:c>
      <x:c r="F365" s="17" t="str">
        <x:v>2026.08.26</x:v>
      </x:c>
      <x:c r="G365" s="17" t="str">
        <x:v>26.09.09 D+0</x:v>
      </x:c>
      <x:c r="H365" s="17" t="str">
        <x:v>기간제·비정규</x:v>
      </x:c>
      <x:c r="I365" s="17" t="str">
        <x:v>세부조건 확인</x:v>
      </x:c>
      <x:c r="J365" s="17" t="str">
        <x:v>제한 문구 미탐지</x:v>
      </x:c>
      <x:c r="K365" s="17" t="str">
        <x:v>상세공고 확인</x:v>
      </x:c>
      <x:c r="L365" s="17" t="str">
        <x:v>상세공고 확인</x:v>
      </x:c>
      <x:c r="M365" s="17" t="str">
        <x:v>상세공고 확인</x:v>
      </x:c>
      <x:c r="N365" s="17" t="str">
        <x:v>상세공고 확인</x:v>
      </x:c>
      <x:c r="O365" s="17" t="str">
        <x:v>상세공고 확인</x:v>
      </x:c>
      <x:c r="P365" s="17" t="str">
        <x:v>상세공고 확인</x:v>
      </x:c>
      <x:c r="Q365" s="17" t="str">
        <x:v>상세공고 확인</x:v>
      </x:c>
      <x:c r="R365" s="17" t="str">
        <x:v>상세공고 확인</x:v>
      </x:c>
      <x:c r="S365" s="17" t="str">
        <x:v>상세공고 확인</x:v>
      </x:c>
      <x:c r="T365" s="17" t="str">
        <x:v>상세공고 확인</x:v>
      </x:c>
      <x:c r="U365" s="17" t="str">
        <x:v>상세공고 확인</x:v>
      </x:c>
      <x:c r="V365" s="17" t="str">
        <x:v>목록 항목 확인</x:v>
      </x:c>
      <x:c r="W365" s="17" t="str">
        <x:v>공고 상세에서 확인</x:v>
      </x:c>
      <x:c r="X365" s="18" t="str">
        <x:v>https://job.alio.go.kr/recruitview.do?idx=304296</x:v>
      </x:c>
      <x:c r="Y365" s="1"/>
      <x:c r="Z365" s="1"/>
    </x:row>
    <x:row r="366" ht="54" customHeight="1">
      <x:c r="A366" s="17" t="n">
        <x:v>58</x:v>
      </x:c>
      <x:c r="B366" s="17" t="str">
        <x:v>충남대학교병원</x:v>
      </x:c>
      <x:c r="C366" s="17" t="str">
        <x:v>[대전] 충남대학교병원 2026년 9월 업무지원계약직 직원 채용공고</x:v>
      </x:c>
      <x:c r="D366" s="17" t="str">
        <x:v>대전</x:v>
      </x:c>
      <x:c r="E366" s="17" t="str">
        <x:v>비정규직</x:v>
      </x:c>
      <x:c r="F366" s="17" t="str">
        <x:v>2026.08.26</x:v>
      </x:c>
      <x:c r="G366" s="17" t="str">
        <x:v>26.09.09 D+0</x:v>
      </x:c>
      <x:c r="H366" s="17" t="str">
        <x:v>기간제·비정규</x:v>
      </x:c>
      <x:c r="I366" s="17" t="str">
        <x:v>세부조건 확인</x:v>
      </x:c>
      <x:c r="J366" s="17" t="str">
        <x:v>제한 문구 미탐지</x:v>
      </x:c>
      <x:c r="K366" s="17" t="str">
        <x:v>상세공고 확인</x:v>
      </x:c>
      <x:c r="L366" s="17" t="str">
        <x:v>상세공고 확인</x:v>
      </x:c>
      <x:c r="M366" s="17" t="str">
        <x:v>상세공고 확인</x:v>
      </x:c>
      <x:c r="N366" s="17" t="str">
        <x:v>상세공고 확인</x:v>
      </x:c>
      <x:c r="O366" s="17" t="str">
        <x:v>상세공고 확인</x:v>
      </x:c>
      <x:c r="P366" s="17" t="str">
        <x:v>상세공고 확인</x:v>
      </x:c>
      <x:c r="Q366" s="17" t="str">
        <x:v>상세공고 확인</x:v>
      </x:c>
      <x:c r="R366" s="17" t="str">
        <x:v>상세공고 확인</x:v>
      </x:c>
      <x:c r="S366" s="17" t="str">
        <x:v>상세공고 확인</x:v>
      </x:c>
      <x:c r="T366" s="17" t="str">
        <x:v>상세공고 확인</x:v>
      </x:c>
      <x:c r="U366" s="17" t="str">
        <x:v>상세공고 확인</x:v>
      </x:c>
      <x:c r="V366" s="17" t="str">
        <x:v>목록 항목 확인</x:v>
      </x:c>
      <x:c r="W366" s="17" t="str">
        <x:v>공고 상세에서 확인</x:v>
      </x:c>
      <x:c r="X366" s="18" t="str">
        <x:v>https://job.alio.go.kr/recruitview.do?idx=304295</x:v>
      </x:c>
      <x:c r="Y366" s="1"/>
      <x:c r="Z366" s="1"/>
    </x:row>
    <x:row r="367" ht="54" customHeight="1">
      <x:c r="A367" s="17" t="n">
        <x:v>57</x:v>
      </x:c>
      <x:c r="B367" s="17" t="str">
        <x:v>충남대학교병원</x:v>
      </x:c>
      <x:c r="C367" s="17" t="str">
        <x:v>[대전] 충남대학교병원 2026년 9월 계약직 직원 채용공고</x:v>
      </x:c>
      <x:c r="D367" s="17" t="str">
        <x:v>대전</x:v>
      </x:c>
      <x:c r="E367" s="17" t="str">
        <x:v>비정규직</x:v>
      </x:c>
      <x:c r="F367" s="17" t="str">
        <x:v>2026.08.26</x:v>
      </x:c>
      <x:c r="G367" s="17" t="str">
        <x:v>26.09.09 D+0</x:v>
      </x:c>
      <x:c r="H367" s="17" t="str">
        <x:v>기간제·비정규</x:v>
      </x:c>
      <x:c r="I367" s="17" t="str">
        <x:v>세부조건 확인</x:v>
      </x:c>
      <x:c r="J367" s="17" t="str">
        <x:v>제한 문구 미탐지</x:v>
      </x:c>
      <x:c r="K367" s="17" t="str">
        <x:v>상세공고 확인</x:v>
      </x:c>
      <x:c r="L367" s="17" t="str">
        <x:v>상세공고 확인</x:v>
      </x:c>
      <x:c r="M367" s="17" t="str">
        <x:v>상세공고 확인</x:v>
      </x:c>
      <x:c r="N367" s="17" t="str">
        <x:v>상세공고 확인</x:v>
      </x:c>
      <x:c r="O367" s="17" t="str">
        <x:v>상세공고 확인</x:v>
      </x:c>
      <x:c r="P367" s="17" t="str">
        <x:v>상세공고 확인</x:v>
      </x:c>
      <x:c r="Q367" s="17" t="str">
        <x:v>상세공고 확인</x:v>
      </x:c>
      <x:c r="R367" s="17" t="str">
        <x:v>상세공고 확인</x:v>
      </x:c>
      <x:c r="S367" s="17" t="str">
        <x:v>상세공고 확인</x:v>
      </x:c>
      <x:c r="T367" s="17" t="str">
        <x:v>상세공고 확인</x:v>
      </x:c>
      <x:c r="U367" s="17" t="str">
        <x:v>상세공고 확인</x:v>
      </x:c>
      <x:c r="V367" s="17" t="str">
        <x:v>목록 항목 확인</x:v>
      </x:c>
      <x:c r="W367" s="17" t="str">
        <x:v>공고 상세에서 확인</x:v>
      </x:c>
      <x:c r="X367" s="18" t="str">
        <x:v>https://job.alio.go.kr/recruitview.do?idx=304294</x:v>
      </x:c>
      <x:c r="Y367" s="1"/>
      <x:c r="Z367" s="1"/>
    </x:row>
    <x:row r="368" ht="54" customHeight="1">
      <x:c r="A368" s="17" t="n">
        <x:v>56</x:v>
      </x:c>
      <x:c r="B368" s="17" t="str">
        <x:v>충남대학교병원</x:v>
      </x:c>
      <x:c r="C368" s="17" t="str">
        <x:v>[대전] 충남대학교병원 2026년 9월 공무직 직원 채용공고</x:v>
      </x:c>
      <x:c r="D368" s="17" t="str">
        <x:v>대전</x:v>
      </x:c>
      <x:c r="E368" s="17" t="str">
        <x:v>무기계약직</x:v>
      </x:c>
      <x:c r="F368" s="17" t="str">
        <x:v>2026.08.26</x:v>
      </x:c>
      <x:c r="G368" s="17" t="str">
        <x:v>26.09.09 D+0</x:v>
      </x:c>
      <x:c r="H368" s="17" t="str">
        <x:v>무기계약·공무직</x:v>
      </x:c>
      <x:c r="I368" s="17" t="str">
        <x:v>세부조건 확인</x:v>
      </x:c>
      <x:c r="J368" s="17" t="str">
        <x:v>제한 문구 미탐지</x:v>
      </x:c>
      <x:c r="K368" s="17" t="str">
        <x:v>상세공고 확인</x:v>
      </x:c>
      <x:c r="L368" s="17" t="str">
        <x:v>상세공고 확인</x:v>
      </x:c>
      <x:c r="M368" s="17" t="str">
        <x:v>상세공고 확인</x:v>
      </x:c>
      <x:c r="N368" s="17" t="str">
        <x:v>상세공고 확인</x:v>
      </x:c>
      <x:c r="O368" s="17" t="str">
        <x:v>상세공고 확인</x:v>
      </x:c>
      <x:c r="P368" s="17" t="str">
        <x:v>상세공고 확인</x:v>
      </x:c>
      <x:c r="Q368" s="17" t="str">
        <x:v>상세공고 확인</x:v>
      </x:c>
      <x:c r="R368" s="17" t="str">
        <x:v>상세공고 확인</x:v>
      </x:c>
      <x:c r="S368" s="17" t="str">
        <x:v>상세공고 확인</x:v>
      </x:c>
      <x:c r="T368" s="17" t="str">
        <x:v>상세공고 확인</x:v>
      </x:c>
      <x:c r="U368" s="17" t="str">
        <x:v>상세공고 확인</x:v>
      </x:c>
      <x:c r="V368" s="17" t="str">
        <x:v>목록 항목 확인</x:v>
      </x:c>
      <x:c r="W368" s="17" t="str">
        <x:v>공고 상세에서 확인</x:v>
      </x:c>
      <x:c r="X368" s="18" t="str">
        <x:v>https://job.alio.go.kr/recruitview.do?idx=304293</x:v>
      </x:c>
      <x:c r="Y368" s="1"/>
      <x:c r="Z368" s="1"/>
    </x:row>
    <x:row r="369" ht="54" customHeight="1">
      <x:c r="A369" s="17" t="n">
        <x:v>55</x:v>
      </x:c>
      <x:c r="B369" s="17" t="str">
        <x:v>한국보훈복지의료공단</x:v>
      </x:c>
      <x:c r="C369" s="17" t="str">
        <x:v>[대구보훈요양원] 2026년 계약직 물리치료사(복지기능직) 공개채용 공고</x:v>
      </x:c>
      <x:c r="D369" s="17" t="str">
        <x:v>대구</x:v>
      </x:c>
      <x:c r="E369" s="17" t="str">
        <x:v>비정규직</x:v>
      </x:c>
      <x:c r="F369" s="17" t="str">
        <x:v>2026.08.26</x:v>
      </x:c>
      <x:c r="G369" s="17" t="str">
        <x:v>26.09.09 D+0</x:v>
      </x:c>
      <x:c r="H369" s="17" t="str">
        <x:v>기간제·비정규</x:v>
      </x:c>
      <x:c r="I369" s="17" t="str">
        <x:v>세부조건 확인</x:v>
      </x:c>
      <x:c r="J369" s="17" t="str">
        <x:v>제한 문구 미탐지</x:v>
      </x:c>
      <x:c r="K369" s="17" t="str">
        <x:v>상세공고 확인</x:v>
      </x:c>
      <x:c r="L369" s="17" t="str">
        <x:v>상세공고 확인</x:v>
      </x:c>
      <x:c r="M369" s="17" t="str">
        <x:v>상세공고 확인</x:v>
      </x:c>
      <x:c r="N369" s="17" t="str">
        <x:v>상세공고 확인</x:v>
      </x:c>
      <x:c r="O369" s="17" t="str">
        <x:v>상세공고 확인</x:v>
      </x:c>
      <x:c r="P369" s="17" t="str">
        <x:v>상세공고 확인</x:v>
      </x:c>
      <x:c r="Q369" s="17" t="str">
        <x:v>상세공고 확인</x:v>
      </x:c>
      <x:c r="R369" s="17" t="str">
        <x:v>상세공고 확인</x:v>
      </x:c>
      <x:c r="S369" s="17" t="str">
        <x:v>상세공고 확인</x:v>
      </x:c>
      <x:c r="T369" s="17" t="str">
        <x:v>상세공고 확인</x:v>
      </x:c>
      <x:c r="U369" s="17" t="str">
        <x:v>상세공고 확인</x:v>
      </x:c>
      <x:c r="V369" s="17" t="str">
        <x:v>목록 항목 확인</x:v>
      </x:c>
      <x:c r="W369" s="17" t="str">
        <x:v>공고 상세에서 확인</x:v>
      </x:c>
      <x:c r="X369" s="18" t="str">
        <x:v>https://job.alio.go.kr/recruitview.do?idx=304289</x:v>
      </x:c>
      <x:c r="Y369" s="1"/>
      <x:c r="Z369" s="1"/>
    </x:row>
    <x:row r="370" ht="54" customHeight="1">
      <x:c r="A370" s="17" t="n">
        <x:v>54</x:v>
      </x:c>
      <x:c r="B370" s="17" t="str">
        <x:v>한국보훈복지의료공단</x:v>
      </x:c>
      <x:c r="C370" s="17" t="str">
        <x:v>[대구보훈요양원] 2026년 제3차 업무지원직(청소) 공개채용 공고</x:v>
      </x:c>
      <x:c r="D370" s="17" t="str">
        <x:v>대구</x:v>
      </x:c>
      <x:c r="E370" s="17" t="str">
        <x:v>무기계약직</x:v>
      </x:c>
      <x:c r="F370" s="17" t="str">
        <x:v>2026.08.26</x:v>
      </x:c>
      <x:c r="G370" s="17" t="str">
        <x:v>26.09.09 D+0</x:v>
      </x:c>
      <x:c r="H370" s="17" t="str">
        <x:v>무기계약·공무직</x:v>
      </x:c>
      <x:c r="I370" s="17" t="str">
        <x:v>세부조건 확인</x:v>
      </x:c>
      <x:c r="J370" s="17" t="str">
        <x:v>제한 문구 미탐지</x:v>
      </x:c>
      <x:c r="K370" s="17" t="str">
        <x:v>상세공고 확인</x:v>
      </x:c>
      <x:c r="L370" s="17" t="str">
        <x:v>상세공고 확인</x:v>
      </x:c>
      <x:c r="M370" s="17" t="str">
        <x:v>상세공고 확인</x:v>
      </x:c>
      <x:c r="N370" s="17" t="str">
        <x:v>상세공고 확인</x:v>
      </x:c>
      <x:c r="O370" s="17" t="str">
        <x:v>상세공고 확인</x:v>
      </x:c>
      <x:c r="P370" s="17" t="str">
        <x:v>상세공고 확인</x:v>
      </x:c>
      <x:c r="Q370" s="17" t="str">
        <x:v>상세공고 확인</x:v>
      </x:c>
      <x:c r="R370" s="17" t="str">
        <x:v>상세공고 확인</x:v>
      </x:c>
      <x:c r="S370" s="17" t="str">
        <x:v>상세공고 확인</x:v>
      </x:c>
      <x:c r="T370" s="17" t="str">
        <x:v>상세공고 확인</x:v>
      </x:c>
      <x:c r="U370" s="17" t="str">
        <x:v>상세공고 확인</x:v>
      </x:c>
      <x:c r="V370" s="17" t="str">
        <x:v>목록 항목 확인</x:v>
      </x:c>
      <x:c r="W370" s="17" t="str">
        <x:v>공고 상세에서 확인</x:v>
      </x:c>
      <x:c r="X370" s="18" t="str">
        <x:v>https://job.alio.go.kr/recruitview.do?idx=304288</x:v>
      </x:c>
      <x:c r="Y370" s="1"/>
      <x:c r="Z370" s="1"/>
    </x:row>
    <x:row r="371" ht="54" customHeight="1">
      <x:c r="A371" s="17" t="n">
        <x:v>53</x:v>
      </x:c>
      <x:c r="B371" s="17" t="str">
        <x:v>한국보훈복지의료공단</x:v>
      </x:c>
      <x:c r="C371" s="17" t="str">
        <x:v>[대구보훈요양원] 2026년 제6차 정규직 요양보호직 공개채용 공고</x:v>
      </x:c>
      <x:c r="D371" s="17" t="str">
        <x:v>대구</x:v>
      </x:c>
      <x:c r="E371" s="17" t="str">
        <x:v>정규직</x:v>
      </x:c>
      <x:c r="F371" s="17" t="str">
        <x:v>2026.08.26</x:v>
      </x:c>
      <x:c r="G371" s="17" t="str">
        <x:v>26.09.09 D+0</x:v>
      </x:c>
      <x:c r="H371" s="17" t="str">
        <x:v>정규직(세부 확인)</x:v>
      </x:c>
      <x:c r="I371" s="17" t="str">
        <x:v>세부조건 확인</x:v>
      </x:c>
      <x:c r="J371" s="17" t="str">
        <x:v>제한 문구 미탐지</x:v>
      </x:c>
      <x:c r="K371" s="17" t="str">
        <x:v>상세공고 확인</x:v>
      </x:c>
      <x:c r="L371" s="17" t="str">
        <x:v>상세공고 확인</x:v>
      </x:c>
      <x:c r="M371" s="17" t="str">
        <x:v>상세공고 확인</x:v>
      </x:c>
      <x:c r="N371" s="17" t="str">
        <x:v>상세공고 확인</x:v>
      </x:c>
      <x:c r="O371" s="17" t="str">
        <x:v>상세공고 확인</x:v>
      </x:c>
      <x:c r="P371" s="17" t="str">
        <x:v>상세공고 확인</x:v>
      </x:c>
      <x:c r="Q371" s="17" t="str">
        <x:v>상세공고 확인</x:v>
      </x:c>
      <x:c r="R371" s="17" t="str">
        <x:v>상세공고 확인</x:v>
      </x:c>
      <x:c r="S371" s="17" t="str">
        <x:v>상세공고 확인</x:v>
      </x:c>
      <x:c r="T371" s="17" t="str">
        <x:v>상세공고 확인</x:v>
      </x:c>
      <x:c r="U371" s="17" t="str">
        <x:v>상세공고 확인</x:v>
      </x:c>
      <x:c r="V371" s="17" t="str">
        <x:v>목록 항목 확인</x:v>
      </x:c>
      <x:c r="W371" s="17" t="str">
        <x:v>공고 상세에서 확인</x:v>
      </x:c>
      <x:c r="X371" s="18" t="str">
        <x:v>https://job.alio.go.kr/recruitview.do?idx=304286</x:v>
      </x:c>
      <x:c r="Y371" s="1"/>
      <x:c r="Z371" s="1"/>
    </x:row>
    <x:row r="372" ht="54" customHeight="1">
      <x:c r="A372" s="17" t="n">
        <x:v>52</x:v>
      </x:c>
      <x:c r="B372" s="17" t="str">
        <x:v>한국노인인력개발원</x:v>
      </x:c>
      <x:c r="C372" s="17" t="str">
        <x:v>2026년 한국노인인력개발원 3분기 기간제 근로자(홍보) 채용 공고</x:v>
      </x:c>
      <x:c r="D372" s="17" t="str">
        <x:v>경기</x:v>
      </x:c>
      <x:c r="E372" s="17" t="str">
        <x:v>비정규직</x:v>
      </x:c>
      <x:c r="F372" s="17" t="str">
        <x:v>2026.08.26</x:v>
      </x:c>
      <x:c r="G372" s="17" t="str">
        <x:v>26.09.09 D+0</x:v>
      </x:c>
      <x:c r="H372" s="17" t="str">
        <x:v>기간제·비정규</x:v>
      </x:c>
      <x:c r="I372" s="17" t="str">
        <x:v>세부조건 확인</x:v>
      </x:c>
      <x:c r="J372" s="17" t="str">
        <x:v>제한 문구 미탐지</x:v>
      </x:c>
      <x:c r="K372" s="17" t="str">
        <x:v>상세공고 확인</x:v>
      </x:c>
      <x:c r="L372" s="17" t="str">
        <x:v>상세공고 확인</x:v>
      </x:c>
      <x:c r="M372" s="17" t="str">
        <x:v>상세공고 확인</x:v>
      </x:c>
      <x:c r="N372" s="17" t="str">
        <x:v>상세공고 확인</x:v>
      </x:c>
      <x:c r="O372" s="17" t="str">
        <x:v>상세공고 확인</x:v>
      </x:c>
      <x:c r="P372" s="17" t="str">
        <x:v>상세공고 확인</x:v>
      </x:c>
      <x:c r="Q372" s="17" t="str">
        <x:v>상세공고 확인</x:v>
      </x:c>
      <x:c r="R372" s="17" t="str">
        <x:v>상세공고 확인</x:v>
      </x:c>
      <x:c r="S372" s="17" t="str">
        <x:v>상세공고 확인</x:v>
      </x:c>
      <x:c r="T372" s="17" t="str">
        <x:v>상세공고 확인</x:v>
      </x:c>
      <x:c r="U372" s="17" t="str">
        <x:v>상세공고 확인</x:v>
      </x:c>
      <x:c r="V372" s="17" t="str">
        <x:v>목록 항목 확인</x:v>
      </x:c>
      <x:c r="W372" s="17" t="str">
        <x:v>공고 상세에서 확인</x:v>
      </x:c>
      <x:c r="X372" s="18" t="str">
        <x:v>https://job.alio.go.kr/recruitview.do?idx=304285</x:v>
      </x:c>
      <x:c r="Y372" s="1"/>
      <x:c r="Z372" s="1"/>
    </x:row>
    <x:row r="373" ht="54" customHeight="1">
      <x:c r="A373" s="17" t="n">
        <x:v>51</x:v>
      </x:c>
      <x:c r="B373" s="17" t="str">
        <x:v>한국노인인력개발원</x:v>
      </x:c>
      <x:c r="C373" s="17" t="str">
        <x:v>2026년 한국노인인력개발원 3분기 기간제 근로자(전산) 채용 공고</x:v>
      </x:c>
      <x:c r="D373" s="17" t="str">
        <x:v>경기</x:v>
      </x:c>
      <x:c r="E373" s="17" t="str">
        <x:v>비정규직</x:v>
      </x:c>
      <x:c r="F373" s="17" t="str">
        <x:v>2026.08.26</x:v>
      </x:c>
      <x:c r="G373" s="17" t="str">
        <x:v>26.09.09 D+0</x:v>
      </x:c>
      <x:c r="H373" s="17" t="str">
        <x:v>기간제·비정규</x:v>
      </x:c>
      <x:c r="I373" s="17" t="str">
        <x:v>세부조건 확인</x:v>
      </x:c>
      <x:c r="J373" s="17" t="str">
        <x:v>제한 문구 미탐지</x:v>
      </x:c>
      <x:c r="K373" s="17" t="str">
        <x:v>상세공고 확인</x:v>
      </x:c>
      <x:c r="L373" s="17" t="str">
        <x:v>상세공고 확인</x:v>
      </x:c>
      <x:c r="M373" s="17" t="str">
        <x:v>상세공고 확인</x:v>
      </x:c>
      <x:c r="N373" s="17" t="str">
        <x:v>상세공고 확인</x:v>
      </x:c>
      <x:c r="O373" s="17" t="str">
        <x:v>상세공고 확인</x:v>
      </x:c>
      <x:c r="P373" s="17" t="str">
        <x:v>상세공고 확인</x:v>
      </x:c>
      <x:c r="Q373" s="17" t="str">
        <x:v>상세공고 확인</x:v>
      </x:c>
      <x:c r="R373" s="17" t="str">
        <x:v>상세공고 확인</x:v>
      </x:c>
      <x:c r="S373" s="17" t="str">
        <x:v>상세공고 확인</x:v>
      </x:c>
      <x:c r="T373" s="17" t="str">
        <x:v>상세공고 확인</x:v>
      </x:c>
      <x:c r="U373" s="17" t="str">
        <x:v>상세공고 확인</x:v>
      </x:c>
      <x:c r="V373" s="17" t="str">
        <x:v>목록 항목 확인</x:v>
      </x:c>
      <x:c r="W373" s="17" t="str">
        <x:v>공고 상세에서 확인</x:v>
      </x:c>
      <x:c r="X373" s="18" t="str">
        <x:v>https://job.alio.go.kr/recruitview.do?idx=304284</x:v>
      </x:c>
      <x:c r="Y373" s="1"/>
      <x:c r="Z373" s="1"/>
    </x:row>
    <x:row r="374" ht="54" customHeight="1">
      <x:c r="A374" s="17" t="n">
        <x:v>50</x:v>
      </x:c>
      <x:c r="B374" s="17" t="str">
        <x:v>한국철도공사</x:v>
      </x:c>
      <x:c r="C374" s="17" t="str">
        <x:v>한국철도공사 2026년 기간제근로자(운전담당원) 채용공고</x:v>
      </x:c>
      <x:c r="D374" s="17" t="str">
        <x:v>서울 외 2</x:v>
      </x:c>
      <x:c r="E374" s="17" t="str">
        <x:v>비정규직</x:v>
      </x:c>
      <x:c r="F374" s="17" t="str">
        <x:v>2026.08.26</x:v>
      </x:c>
      <x:c r="G374" s="17" t="str">
        <x:v>26.09.09 D+0</x:v>
      </x:c>
      <x:c r="H374" s="17" t="str">
        <x:v>기간제·비정규</x:v>
      </x:c>
      <x:c r="I374" s="17" t="str">
        <x:v>세부조건 확인</x:v>
      </x:c>
      <x:c r="J374" s="17" t="str">
        <x:v>제한 문구 미탐지</x:v>
      </x:c>
      <x:c r="K374" s="17" t="str">
        <x:v>상세공고 확인</x:v>
      </x:c>
      <x:c r="L374" s="17" t="str">
        <x:v>상세공고 확인</x:v>
      </x:c>
      <x:c r="M374" s="17" t="str">
        <x:v>상세공고 확인</x:v>
      </x:c>
      <x:c r="N374" s="17" t="str">
        <x:v>상세공고 확인</x:v>
      </x:c>
      <x:c r="O374" s="17" t="str">
        <x:v>상세공고 확인</x:v>
      </x:c>
      <x:c r="P374" s="17" t="str">
        <x:v>상세공고 확인</x:v>
      </x:c>
      <x:c r="Q374" s="17" t="str">
        <x:v>상세공고 확인</x:v>
      </x:c>
      <x:c r="R374" s="17" t="str">
        <x:v>상세공고 확인</x:v>
      </x:c>
      <x:c r="S374" s="17" t="str">
        <x:v>상세공고 확인</x:v>
      </x:c>
      <x:c r="T374" s="17" t="str">
        <x:v>상세공고 확인</x:v>
      </x:c>
      <x:c r="U374" s="17" t="str">
        <x:v>상세공고 확인</x:v>
      </x:c>
      <x:c r="V374" s="17" t="str">
        <x:v>목록 항목 확인</x:v>
      </x:c>
      <x:c r="W374" s="17" t="str">
        <x:v>공고 상세에서 확인</x:v>
      </x:c>
      <x:c r="X374" s="18" t="str">
        <x:v>https://job.alio.go.kr/recruitview.do?idx=304283</x:v>
      </x:c>
      <x:c r="Y374" s="1"/>
      <x:c r="Z374" s="1"/>
    </x:row>
    <x:row r="375" ht="54" customHeight="1">
      <x:c r="A375" s="17" t="n">
        <x:v>49</x:v>
      </x:c>
      <x:c r="B375" s="17" t="str">
        <x:v>한국원산지정보원</x:v>
      </x:c>
      <x:c r="C375" s="17" t="str">
        <x:v>2026년 제2차 한국원산지정보원 직원 채용 공고</x:v>
      </x:c>
      <x:c r="D375" s="17" t="str">
        <x:v>서울 외 2</x:v>
      </x:c>
      <x:c r="E375" s="17" t="str">
        <x:v>정규직</x:v>
      </x:c>
      <x:c r="F375" s="17" t="str">
        <x:v>2026.08.26</x:v>
      </x:c>
      <x:c r="G375" s="17" t="str">
        <x:v>26.09.10 D-1</x:v>
      </x:c>
      <x:c r="H375" s="17" t="str">
        <x:v>정규직(세부 확인)</x:v>
      </x:c>
      <x:c r="I375" s="17" t="str">
        <x:v>세부조건 확인</x:v>
      </x:c>
      <x:c r="J375" s="17" t="str">
        <x:v>제한 문구 미탐지</x:v>
      </x:c>
      <x:c r="K375" s="17" t="str">
        <x:v>상세공고 확인</x:v>
      </x:c>
      <x:c r="L375" s="17" t="str">
        <x:v>상세공고 확인</x:v>
      </x:c>
      <x:c r="M375" s="17" t="str">
        <x:v>상세공고 확인</x:v>
      </x:c>
      <x:c r="N375" s="17" t="str">
        <x:v>상세공고 확인</x:v>
      </x:c>
      <x:c r="O375" s="17" t="str">
        <x:v>상세공고 확인</x:v>
      </x:c>
      <x:c r="P375" s="17" t="str">
        <x:v>상세공고 확인</x:v>
      </x:c>
      <x:c r="Q375" s="17" t="str">
        <x:v>상세공고 확인</x:v>
      </x:c>
      <x:c r="R375" s="17" t="str">
        <x:v>상세공고 확인</x:v>
      </x:c>
      <x:c r="S375" s="17" t="str">
        <x:v>상세공고 확인</x:v>
      </x:c>
      <x:c r="T375" s="17" t="str">
        <x:v>상세공고 확인</x:v>
      </x:c>
      <x:c r="U375" s="17" t="str">
        <x:v>상세공고 확인</x:v>
      </x:c>
      <x:c r="V375" s="17" t="str">
        <x:v>목록 항목 확인</x:v>
      </x:c>
      <x:c r="W375" s="17" t="str">
        <x:v>공고 상세에서 확인</x:v>
      </x:c>
      <x:c r="X375" s="18" t="str">
        <x:v>https://job.alio.go.kr/recruitview.do?idx=304278</x:v>
      </x:c>
      <x:c r="Y375" s="1"/>
      <x:c r="Z375" s="1"/>
    </x:row>
    <x:row r="376" ht="54" customHeight="1">
      <x:c r="A376" s="17" t="n">
        <x:v>48</x:v>
      </x:c>
      <x:c r="B376" s="17" t="str">
        <x:v>한국수자원공사</x:v>
      </x:c>
      <x:c r="C376" s="17" t="str">
        <x:v>[한국수자원공사] 제주지역협력본부 한림·한경 및 대정·안덕 유수율 유지관리사업 특수직(기술관리_건설사업) 채용 공고</x:v>
      </x:c>
      <x:c r="D376" s="17" t="str">
        <x:v>제주</x:v>
      </x:c>
      <x:c r="E376" s="17" t="str">
        <x:v>비정규직</x:v>
      </x:c>
      <x:c r="F376" s="17" t="str">
        <x:v>2026.08.26</x:v>
      </x:c>
      <x:c r="G376" s="17" t="str">
        <x:v>26.09.09 D+0</x:v>
      </x:c>
      <x:c r="H376" s="17" t="str">
        <x:v>기간제·비정규</x:v>
      </x:c>
      <x:c r="I376" s="17" t="str">
        <x:v>세부조건 확인</x:v>
      </x:c>
      <x:c r="J376" s="17" t="str">
        <x:v>제한 문구 미탐지</x:v>
      </x:c>
      <x:c r="K376" s="17" t="str">
        <x:v>상세공고 확인</x:v>
      </x:c>
      <x:c r="L376" s="17" t="str">
        <x:v>상세공고 확인</x:v>
      </x:c>
      <x:c r="M376" s="17" t="str">
        <x:v>상세공고 확인</x:v>
      </x:c>
      <x:c r="N376" s="17" t="str">
        <x:v>상세공고 확인</x:v>
      </x:c>
      <x:c r="O376" s="17" t="str">
        <x:v>상세공고 확인</x:v>
      </x:c>
      <x:c r="P376" s="17" t="str">
        <x:v>상세공고 확인</x:v>
      </x:c>
      <x:c r="Q376" s="17" t="str">
        <x:v>상세공고 확인</x:v>
      </x:c>
      <x:c r="R376" s="17" t="str">
        <x:v>상세공고 확인</x:v>
      </x:c>
      <x:c r="S376" s="17" t="str">
        <x:v>상세공고 확인</x:v>
      </x:c>
      <x:c r="T376" s="17" t="str">
        <x:v>상세공고 확인</x:v>
      </x:c>
      <x:c r="U376" s="17" t="str">
        <x:v>상세공고 확인</x:v>
      </x:c>
      <x:c r="V376" s="17" t="str">
        <x:v>목록 항목 확인</x:v>
      </x:c>
      <x:c r="W376" s="17" t="str">
        <x:v>공고 상세에서 확인</x:v>
      </x:c>
      <x:c r="X376" s="18" t="str">
        <x:v>https://job.alio.go.kr/recruitview.do?idx=304276</x:v>
      </x:c>
      <x:c r="Y376" s="1"/>
      <x:c r="Z376" s="1"/>
    </x:row>
    <x:row r="377" ht="54" customHeight="1">
      <x:c r="A377" s="17" t="n">
        <x:v>47</x:v>
      </x:c>
      <x:c r="B377" s="17" t="str">
        <x:v>한국보훈복지의료공단</x:v>
      </x:c>
      <x:c r="C377" s="17" t="str">
        <x:v>[인천보훈병원] 2026-13차 직원 보훈특별고용 채용</x:v>
      </x:c>
      <x:c r="D377" s="17" t="str">
        <x:v>인천</x:v>
      </x:c>
      <x:c r="E377" s="17" t="str">
        <x:v>무기계약직</x:v>
      </x:c>
      <x:c r="F377" s="17" t="str">
        <x:v>2026.08.26</x:v>
      </x:c>
      <x:c r="G377" s="17" t="str">
        <x:v>26.09.09 D+0</x:v>
      </x:c>
      <x:c r="H377" s="17" t="str">
        <x:v>제한경쟁·조건부</x:v>
      </x:c>
      <x:c r="I377" s="17" t="str">
        <x:v>조건 충족자만</x:v>
      </x:c>
      <x:c r="J377" s="17" t="str">
        <x:v>보훈 관련 제한경쟁</x:v>
      </x:c>
      <x:c r="K377" s="17" t="str">
        <x:v>상세공고 확인</x:v>
      </x:c>
      <x:c r="L377" s="17" t="str">
        <x:v>상세공고 확인</x:v>
      </x:c>
      <x:c r="M377" s="17" t="str">
        <x:v>상세공고 확인</x:v>
      </x:c>
      <x:c r="N377" s="17" t="str">
        <x:v>상세공고 확인</x:v>
      </x:c>
      <x:c r="O377" s="17" t="str">
        <x:v>상세공고 확인</x:v>
      </x:c>
      <x:c r="P377" s="17" t="str">
        <x:v>상세공고 확인</x:v>
      </x:c>
      <x:c r="Q377" s="17" t="str">
        <x:v>상세공고 확인</x:v>
      </x:c>
      <x:c r="R377" s="17" t="str">
        <x:v>상세공고 확인</x:v>
      </x:c>
      <x:c r="S377" s="17" t="str">
        <x:v>상세공고 확인</x:v>
      </x:c>
      <x:c r="T377" s="17" t="str">
        <x:v>상세공고 확인</x:v>
      </x:c>
      <x:c r="U377" s="17" t="str">
        <x:v>상세공고 확인</x:v>
      </x:c>
      <x:c r="V377" s="17" t="str">
        <x:v>목록 항목 확인</x:v>
      </x:c>
      <x:c r="W377" s="17" t="str">
        <x:v>공고 상세에서 확인</x:v>
      </x:c>
      <x:c r="X377" s="18" t="str">
        <x:v>https://job.alio.go.kr/recruitview.do?idx=304275</x:v>
      </x:c>
      <x:c r="Y377" s="1"/>
      <x:c r="Z377" s="1"/>
    </x:row>
    <x:row r="378" ht="54" customHeight="1">
      <x:c r="A378" s="17" t="n">
        <x:v>46</x:v>
      </x:c>
      <x:c r="B378" s="17" t="str">
        <x:v>한국장애인개발원</x:v>
      </x:c>
      <x:c r="C378" s="17" t="str">
        <x:v>[제2026-94호] 2026년도 경영지원부 사회형평적(장애인) 청년인턴 채용 공고</x:v>
      </x:c>
      <x:c r="D378" s="17" t="str">
        <x:v>서울</x:v>
      </x:c>
      <x:c r="E378" s="17" t="str">
        <x:v>청년인턴(체험형)</x:v>
      </x:c>
      <x:c r="F378" s="17" t="str">
        <x:v>2026.08.26</x:v>
      </x:c>
      <x:c r="G378" s="17" t="str">
        <x:v>26.09.09 D+0</x:v>
      </x:c>
      <x:c r="H378" s="17" t="str">
        <x:v>체험형·청년인턴</x:v>
      </x:c>
      <x:c r="I378" s="17" t="str">
        <x:v>세부조건 확인</x:v>
      </x:c>
      <x:c r="J378" s="17" t="str">
        <x:v>제한 문구 미탐지</x:v>
      </x:c>
      <x:c r="K378" s="17" t="str">
        <x:v>상세공고 확인</x:v>
      </x:c>
      <x:c r="L378" s="17" t="str">
        <x:v>상세공고 확인</x:v>
      </x:c>
      <x:c r="M378" s="17" t="str">
        <x:v>상세공고 확인</x:v>
      </x:c>
      <x:c r="N378" s="17" t="str">
        <x:v>상세공고 확인</x:v>
      </x:c>
      <x:c r="O378" s="17" t="str">
        <x:v>상세공고 확인</x:v>
      </x:c>
      <x:c r="P378" s="17" t="str">
        <x:v>상세공고 확인</x:v>
      </x:c>
      <x:c r="Q378" s="17" t="str">
        <x:v>상세공고 확인</x:v>
      </x:c>
      <x:c r="R378" s="17" t="str">
        <x:v>상세공고 확인</x:v>
      </x:c>
      <x:c r="S378" s="17" t="str">
        <x:v>상세공고 확인</x:v>
      </x:c>
      <x:c r="T378" s="17" t="str">
        <x:v>상세공고 확인</x:v>
      </x:c>
      <x:c r="U378" s="17" t="str">
        <x:v>상세공고 확인</x:v>
      </x:c>
      <x:c r="V378" s="17" t="str">
        <x:v>목록 항목 확인</x:v>
      </x:c>
      <x:c r="W378" s="17" t="str">
        <x:v>공고 상세에서 확인</x:v>
      </x:c>
      <x:c r="X378" s="18" t="str">
        <x:v>https://job.alio.go.kr/recruitview.do?idx=304273</x:v>
      </x:c>
      <x:c r="Y378" s="1"/>
      <x:c r="Z378" s="1"/>
    </x:row>
    <x:row r="379" ht="54" customHeight="1">
      <x:c r="A379" s="17" t="n">
        <x:v>45</x:v>
      </x:c>
      <x:c r="B379" s="17" t="str">
        <x:v>한국원자력의학원</x:v>
      </x:c>
      <x:c r="C379" s="17" t="str">
        <x:v>별정직 직원모집 공고(입원의학과)_채용완료시 공고종료</x:v>
      </x:c>
      <x:c r="D379" s="17" t="str">
        <x:v>서울</x:v>
      </x:c>
      <x:c r="E379" s="17" t="str">
        <x:v>비정규직</x:v>
      </x:c>
      <x:c r="F379" s="17" t="str">
        <x:v>2026.08.26</x:v>
      </x:c>
      <x:c r="G379" s="17" t="str">
        <x:v>26.12.31 D-113</x:v>
      </x:c>
      <x:c r="H379" s="17" t="str">
        <x:v>기간제·비정규</x:v>
      </x:c>
      <x:c r="I379" s="17" t="str">
        <x:v>세부조건 확인</x:v>
      </x:c>
      <x:c r="J379" s="17" t="str">
        <x:v>제한 문구 미탐지</x:v>
      </x:c>
      <x:c r="K379" s="17" t="str">
        <x:v>상세공고 확인</x:v>
      </x:c>
      <x:c r="L379" s="17" t="str">
        <x:v>상세공고 확인</x:v>
      </x:c>
      <x:c r="M379" s="17" t="str">
        <x:v>상세공고 확인</x:v>
      </x:c>
      <x:c r="N379" s="17" t="str">
        <x:v>상세공고 확인</x:v>
      </x:c>
      <x:c r="O379" s="17" t="str">
        <x:v>상세공고 확인</x:v>
      </x:c>
      <x:c r="P379" s="17" t="str">
        <x:v>상세공고 확인</x:v>
      </x:c>
      <x:c r="Q379" s="17" t="str">
        <x:v>상세공고 확인</x:v>
      </x:c>
      <x:c r="R379" s="17" t="str">
        <x:v>상세공고 확인</x:v>
      </x:c>
      <x:c r="S379" s="17" t="str">
        <x:v>상세공고 확인</x:v>
      </x:c>
      <x:c r="T379" s="17" t="str">
        <x:v>상세공고 확인</x:v>
      </x:c>
      <x:c r="U379" s="17" t="str">
        <x:v>상세공고 확인</x:v>
      </x:c>
      <x:c r="V379" s="17" t="str">
        <x:v>목록 항목 확인</x:v>
      </x:c>
      <x:c r="W379" s="17" t="str">
        <x:v>공고 상세에서 확인</x:v>
      </x:c>
      <x:c r="X379" s="18" t="str">
        <x:v>https://job.alio.go.kr/recruitview.do?idx=304271</x:v>
      </x:c>
      <x:c r="Y379" s="1"/>
      <x:c r="Z379" s="1"/>
    </x:row>
    <x:row r="380" ht="54" customHeight="1">
      <x:c r="A380" s="17" t="n">
        <x:v>44</x:v>
      </x:c>
      <x:c r="B380" s="17" t="str">
        <x:v>한국동서발전(주)</x:v>
      </x:c>
      <x:c r="C380" s="17" t="str">
        <x:v>한국동서발전(주) 2026년 사회형평 신입직원(대졸수준(보훈/장애)) 선발</x:v>
      </x:c>
      <x:c r="D380" s="17" t="str">
        <x:v>울산 외 6</x:v>
      </x:c>
      <x:c r="E380" s="17" t="str">
        <x:v>정규직</x:v>
      </x:c>
      <x:c r="F380" s="17" t="str">
        <x:v>2026.08.26</x:v>
      </x:c>
      <x:c r="G380" s="17" t="str">
        <x:v>26.09.09 D+0</x:v>
      </x:c>
      <x:c r="H380" s="17" t="str">
        <x:v>신입·정규직</x:v>
      </x:c>
      <x:c r="I380" s="17" t="str">
        <x:v>우선검토</x:v>
      </x:c>
      <x:c r="J380" s="17" t="str">
        <x:v>제한 문구 미탐지</x:v>
      </x:c>
      <x:c r="K380" s="17" t="str">
        <x:v>상세공고 확인</x:v>
      </x:c>
      <x:c r="L380" s="17" t="str">
        <x:v>상세공고 확인</x:v>
      </x:c>
      <x:c r="M380" s="17" t="str">
        <x:v>상세공고 확인</x:v>
      </x:c>
      <x:c r="N380" s="17" t="str">
        <x:v>상세공고 확인</x:v>
      </x:c>
      <x:c r="O380" s="17" t="str">
        <x:v>상세공고 확인</x:v>
      </x:c>
      <x:c r="P380" s="17" t="str">
        <x:v>상세공고 확인</x:v>
      </x:c>
      <x:c r="Q380" s="17" t="str">
        <x:v>상세공고 확인</x:v>
      </x:c>
      <x:c r="R380" s="17" t="str">
        <x:v>상세공고 확인</x:v>
      </x:c>
      <x:c r="S380" s="17" t="str">
        <x:v>상세공고 확인</x:v>
      </x:c>
      <x:c r="T380" s="17" t="str">
        <x:v>상세공고 확인</x:v>
      </x:c>
      <x:c r="U380" s="17" t="str">
        <x:v>상세공고 확인</x:v>
      </x:c>
      <x:c r="V380" s="17" t="str">
        <x:v>목록 항목 확인</x:v>
      </x:c>
      <x:c r="W380" s="17" t="str">
        <x:v>공고 상세에서 확인</x:v>
      </x:c>
      <x:c r="X380" s="18" t="str">
        <x:v>https://job.alio.go.kr/recruitview.do?idx=304267</x:v>
      </x:c>
      <x:c r="Y380" s="1"/>
      <x:c r="Z380" s="1"/>
    </x:row>
    <x:row r="381" ht="54" customHeight="1">
      <x:c r="A381" s="17" t="n">
        <x:v>43</x:v>
      </x:c>
      <x:c r="B381" s="17" t="str">
        <x:v>한국전력공사</x:v>
      </x:c>
      <x:c r="C381" s="17" t="str">
        <x:v>기간제근로자(대체인력) 채용공고 [대전세종충남본부, 서대전지사, 공주청양지사]</x:v>
      </x:c>
      <x:c r="D381" s="17" t="str">
        <x:v>대전 외 1</x:v>
      </x:c>
      <x:c r="E381" s="17" t="str">
        <x:v>비정규직</x:v>
      </x:c>
      <x:c r="F381" s="17" t="str">
        <x:v>2026.08.26</x:v>
      </x:c>
      <x:c r="G381" s="17" t="str">
        <x:v>26.09.09 D+0</x:v>
      </x:c>
      <x:c r="H381" s="17" t="str">
        <x:v>기간제·비정규</x:v>
      </x:c>
      <x:c r="I381" s="17" t="str">
        <x:v>세부조건 확인</x:v>
      </x:c>
      <x:c r="J381" s="17" t="str">
        <x:v>제한 문구 미탐지</x:v>
      </x:c>
      <x:c r="K381" s="17" t="str">
        <x:v>상세공고 확인</x:v>
      </x:c>
      <x:c r="L381" s="17" t="str">
        <x:v>상세공고 확인</x:v>
      </x:c>
      <x:c r="M381" s="17" t="str">
        <x:v>상세공고 확인</x:v>
      </x:c>
      <x:c r="N381" s="17" t="str">
        <x:v>상세공고 확인</x:v>
      </x:c>
      <x:c r="O381" s="17" t="str">
        <x:v>상세공고 확인</x:v>
      </x:c>
      <x:c r="P381" s="17" t="str">
        <x:v>상세공고 확인</x:v>
      </x:c>
      <x:c r="Q381" s="17" t="str">
        <x:v>상세공고 확인</x:v>
      </x:c>
      <x:c r="R381" s="17" t="str">
        <x:v>상세공고 확인</x:v>
      </x:c>
      <x:c r="S381" s="17" t="str">
        <x:v>상세공고 확인</x:v>
      </x:c>
      <x:c r="T381" s="17" t="str">
        <x:v>상세공고 확인</x:v>
      </x:c>
      <x:c r="U381" s="17" t="str">
        <x:v>상세공고 확인</x:v>
      </x:c>
      <x:c r="V381" s="17" t="str">
        <x:v>목록 항목 확인</x:v>
      </x:c>
      <x:c r="W381" s="17" t="str">
        <x:v>공고 상세에서 확인</x:v>
      </x:c>
      <x:c r="X381" s="18" t="str">
        <x:v>https://job.alio.go.kr/recruitview.do?idx=304266</x:v>
      </x:c>
      <x:c r="Y381" s="1"/>
      <x:c r="Z381" s="1"/>
    </x:row>
    <x:row r="382" ht="54" customHeight="1">
      <x:c r="A382" s="17" t="n">
        <x:v>42</x:v>
      </x:c>
      <x:c r="B382" s="17" t="str">
        <x:v>국립공원공단</x:v>
      </x:c>
      <x:c r="C382" s="17" t="str">
        <x:v>[북한산] 2026년 북한산국립공원사무소 국립공원지킴이 모집 공고(5차)</x:v>
      </x:c>
      <x:c r="D382" s="17" t="str">
        <x:v>서울 외 1</x:v>
      </x:c>
      <x:c r="E382" s="17" t="str">
        <x:v>비정규직</x:v>
      </x:c>
      <x:c r="F382" s="17" t="str">
        <x:v>2026.08.26</x:v>
      </x:c>
      <x:c r="G382" s="17" t="str">
        <x:v>26.09.09 D+0</x:v>
      </x:c>
      <x:c r="H382" s="17" t="str">
        <x:v>기간제·비정규</x:v>
      </x:c>
      <x:c r="I382" s="17" t="str">
        <x:v>세부조건 확인</x:v>
      </x:c>
      <x:c r="J382" s="17" t="str">
        <x:v>제한 문구 미탐지</x:v>
      </x:c>
      <x:c r="K382" s="17" t="str">
        <x:v>상세공고 확인</x:v>
      </x:c>
      <x:c r="L382" s="17" t="str">
        <x:v>상세공고 확인</x:v>
      </x:c>
      <x:c r="M382" s="17" t="str">
        <x:v>상세공고 확인</x:v>
      </x:c>
      <x:c r="N382" s="17" t="str">
        <x:v>상세공고 확인</x:v>
      </x:c>
      <x:c r="O382" s="17" t="str">
        <x:v>상세공고 확인</x:v>
      </x:c>
      <x:c r="P382" s="17" t="str">
        <x:v>상세공고 확인</x:v>
      </x:c>
      <x:c r="Q382" s="17" t="str">
        <x:v>상세공고 확인</x:v>
      </x:c>
      <x:c r="R382" s="17" t="str">
        <x:v>상세공고 확인</x:v>
      </x:c>
      <x:c r="S382" s="17" t="str">
        <x:v>상세공고 확인</x:v>
      </x:c>
      <x:c r="T382" s="17" t="str">
        <x:v>상세공고 확인</x:v>
      </x:c>
      <x:c r="U382" s="17" t="str">
        <x:v>상세공고 확인</x:v>
      </x:c>
      <x:c r="V382" s="17" t="str">
        <x:v>목록 항목 확인</x:v>
      </x:c>
      <x:c r="W382" s="17" t="str">
        <x:v>공고 상세에서 확인</x:v>
      </x:c>
      <x:c r="X382" s="18" t="str">
        <x:v>https://job.alio.go.kr/recruitview.do?idx=304261</x:v>
      </x:c>
      <x:c r="Y382" s="1"/>
      <x:c r="Z382" s="1"/>
    </x:row>
    <x:row r="383" ht="54" customHeight="1">
      <x:c r="A383" s="17" t="n">
        <x:v>41</x:v>
      </x:c>
      <x:c r="B383" s="17" t="str">
        <x:v>한국수자원공사</x:v>
      </x:c>
      <x:c r="C383" s="17" t="str">
        <x:v>[한국수자원공사] 금강경영처 단기계약근로자(사무관리_서무보조, 비서 등) 채용 공고(육아휴직 대체인력)</x:v>
      </x:c>
      <x:c r="D383" s="17" t="str">
        <x:v>전북</x:v>
      </x:c>
      <x:c r="E383" s="17" t="str">
        <x:v>비정규직</x:v>
      </x:c>
      <x:c r="F383" s="17" t="str">
        <x:v>2026.08.26</x:v>
      </x:c>
      <x:c r="G383" s="17" t="str">
        <x:v>26.09.09 D+0</x:v>
      </x:c>
      <x:c r="H383" s="17" t="str">
        <x:v>기간제·비정규</x:v>
      </x:c>
      <x:c r="I383" s="17" t="str">
        <x:v>세부조건 확인</x:v>
      </x:c>
      <x:c r="J383" s="17" t="str">
        <x:v>제한 문구 미탐지</x:v>
      </x:c>
      <x:c r="K383" s="17" t="str">
        <x:v>상세공고 확인</x:v>
      </x:c>
      <x:c r="L383" s="17" t="str">
        <x:v>상세공고 확인</x:v>
      </x:c>
      <x:c r="M383" s="17" t="str">
        <x:v>상세공고 확인</x:v>
      </x:c>
      <x:c r="N383" s="17" t="str">
        <x:v>상세공고 확인</x:v>
      </x:c>
      <x:c r="O383" s="17" t="str">
        <x:v>상세공고 확인</x:v>
      </x:c>
      <x:c r="P383" s="17" t="str">
        <x:v>상세공고 확인</x:v>
      </x:c>
      <x:c r="Q383" s="17" t="str">
        <x:v>상세공고 확인</x:v>
      </x:c>
      <x:c r="R383" s="17" t="str">
        <x:v>상세공고 확인</x:v>
      </x:c>
      <x:c r="S383" s="17" t="str">
        <x:v>상세공고 확인</x:v>
      </x:c>
      <x:c r="T383" s="17" t="str">
        <x:v>상세공고 확인</x:v>
      </x:c>
      <x:c r="U383" s="17" t="str">
        <x:v>상세공고 확인</x:v>
      </x:c>
      <x:c r="V383" s="17" t="str">
        <x:v>목록 항목 확인</x:v>
      </x:c>
      <x:c r="W383" s="17" t="str">
        <x:v>공고 상세에서 확인</x:v>
      </x:c>
      <x:c r="X383" s="18" t="str">
        <x:v>https://job.alio.go.kr/recruitview.do?idx=304259</x:v>
      </x:c>
      <x:c r="Y383" s="1"/>
      <x:c r="Z383" s="1"/>
    </x:row>
    <x:row r="384" ht="54" customHeight="1">
      <x:c r="A384" s="17" t="n">
        <x:v>40</x:v>
      </x:c>
      <x:c r="B384" s="17" t="str">
        <x:v>충북대학교병원</x:v>
      </x:c>
      <x:c r="C384" s="17" t="str">
        <x:v>충북대학교병원 계약직의사 채용 공고</x:v>
      </x:c>
      <x:c r="D384" s="17" t="str">
        <x:v>충북</x:v>
      </x:c>
      <x:c r="E384" s="17" t="str">
        <x:v>비정규직</x:v>
      </x:c>
      <x:c r="F384" s="17" t="str">
        <x:v>2026.08.26</x:v>
      </x:c>
      <x:c r="G384" s="17" t="str">
        <x:v>26.09.09 D+0</x:v>
      </x:c>
      <x:c r="H384" s="17" t="str">
        <x:v>기간제·비정규</x:v>
      </x:c>
      <x:c r="I384" s="17" t="str">
        <x:v>세부조건 확인</x:v>
      </x:c>
      <x:c r="J384" s="17" t="str">
        <x:v>제한 문구 미탐지</x:v>
      </x:c>
      <x:c r="K384" s="17" t="str">
        <x:v>상세공고 확인</x:v>
      </x:c>
      <x:c r="L384" s="17" t="str">
        <x:v>상세공고 확인</x:v>
      </x:c>
      <x:c r="M384" s="17" t="str">
        <x:v>상세공고 확인</x:v>
      </x:c>
      <x:c r="N384" s="17" t="str">
        <x:v>상세공고 확인</x:v>
      </x:c>
      <x:c r="O384" s="17" t="str">
        <x:v>상세공고 확인</x:v>
      </x:c>
      <x:c r="P384" s="17" t="str">
        <x:v>상세공고 확인</x:v>
      </x:c>
      <x:c r="Q384" s="17" t="str">
        <x:v>상세공고 확인</x:v>
      </x:c>
      <x:c r="R384" s="17" t="str">
        <x:v>상세공고 확인</x:v>
      </x:c>
      <x:c r="S384" s="17" t="str">
        <x:v>상세공고 확인</x:v>
      </x:c>
      <x:c r="T384" s="17" t="str">
        <x:v>상세공고 확인</x:v>
      </x:c>
      <x:c r="U384" s="17" t="str">
        <x:v>상세공고 확인</x:v>
      </x:c>
      <x:c r="V384" s="17" t="str">
        <x:v>목록 항목 확인</x:v>
      </x:c>
      <x:c r="W384" s="17" t="str">
        <x:v>공고 상세에서 확인</x:v>
      </x:c>
      <x:c r="X384" s="18" t="str">
        <x:v>https://job.alio.go.kr/recruitview.do?idx=304257</x:v>
      </x:c>
      <x:c r="Y384" s="1"/>
      <x:c r="Z384" s="1"/>
    </x:row>
    <x:row r="385" ht="54" customHeight="1">
      <x:c r="A385" s="17" t="n">
        <x:v>39</x:v>
      </x:c>
      <x:c r="B385" s="17" t="str">
        <x:v>한국해양수산개발원</x:v>
      </x:c>
      <x:c r="C385" s="17" t="str">
        <x:v>2026년 한국해양수산개발원 제1차 공무직(안전관리자) 채용</x:v>
      </x:c>
      <x:c r="D385" s="17" t="str">
        <x:v>부산</x:v>
      </x:c>
      <x:c r="E385" s="17" t="str">
        <x:v>무기계약직</x:v>
      </x:c>
      <x:c r="F385" s="17" t="str">
        <x:v>2026.08.26</x:v>
      </x:c>
      <x:c r="G385" s="17" t="str">
        <x:v>26.09.15 D-6</x:v>
      </x:c>
      <x:c r="H385" s="17" t="str">
        <x:v>무기계약·공무직</x:v>
      </x:c>
      <x:c r="I385" s="17" t="str">
        <x:v>세부조건 확인</x:v>
      </x:c>
      <x:c r="J385" s="17" t="str">
        <x:v>제한 문구 미탐지</x:v>
      </x:c>
      <x:c r="K385" s="17" t="str">
        <x:v>상세공고 확인</x:v>
      </x:c>
      <x:c r="L385" s="17" t="str">
        <x:v>상세공고 확인</x:v>
      </x:c>
      <x:c r="M385" s="17" t="str">
        <x:v>상세공고 확인</x:v>
      </x:c>
      <x:c r="N385" s="17" t="str">
        <x:v>상세공고 확인</x:v>
      </x:c>
      <x:c r="O385" s="17" t="str">
        <x:v>상세공고 확인</x:v>
      </x:c>
      <x:c r="P385" s="17" t="str">
        <x:v>상세공고 확인</x:v>
      </x:c>
      <x:c r="Q385" s="17" t="str">
        <x:v>상세공고 확인</x:v>
      </x:c>
      <x:c r="R385" s="17" t="str">
        <x:v>상세공고 확인</x:v>
      </x:c>
      <x:c r="S385" s="17" t="str">
        <x:v>상세공고 확인</x:v>
      </x:c>
      <x:c r="T385" s="17" t="str">
        <x:v>상세공고 확인</x:v>
      </x:c>
      <x:c r="U385" s="17" t="str">
        <x:v>상세공고 확인</x:v>
      </x:c>
      <x:c r="V385" s="17" t="str">
        <x:v>목록 항목 확인</x:v>
      </x:c>
      <x:c r="W385" s="17" t="str">
        <x:v>공고 상세에서 확인</x:v>
      </x:c>
      <x:c r="X385" s="18" t="str">
        <x:v>https://job.alio.go.kr/recruitview.do?idx=304256</x:v>
      </x:c>
      <x:c r="Y385" s="1"/>
      <x:c r="Z385" s="1"/>
    </x:row>
    <x:row r="386" ht="54" customHeight="1">
      <x:c r="A386" s="17" t="n">
        <x:v>38</x:v>
      </x:c>
      <x:c r="B386" s="17" t="str">
        <x:v>한국해양수산개발원</x:v>
      </x:c>
      <x:c r="C386" s="17" t="str">
        <x:v>2026년 한국해양수산개발원 제3차 정규직 연구직(석사) 채용 공고</x:v>
      </x:c>
      <x:c r="D386" s="17" t="str">
        <x:v>부산</x:v>
      </x:c>
      <x:c r="E386" s="17" t="str">
        <x:v>정규직</x:v>
      </x:c>
      <x:c r="F386" s="17" t="str">
        <x:v>2026.08.26</x:v>
      </x:c>
      <x:c r="G386" s="17" t="str">
        <x:v>26.09.15 D-6</x:v>
      </x:c>
      <x:c r="H386" s="17" t="str">
        <x:v>정규직(세부 확인)</x:v>
      </x:c>
      <x:c r="I386" s="17" t="str">
        <x:v>세부조건 확인</x:v>
      </x:c>
      <x:c r="J386" s="17" t="str">
        <x:v>제한 문구 미탐지</x:v>
      </x:c>
      <x:c r="K386" s="17" t="str">
        <x:v>상세공고 확인</x:v>
      </x:c>
      <x:c r="L386" s="17" t="str">
        <x:v>상세공고 확인</x:v>
      </x:c>
      <x:c r="M386" s="17" t="str">
        <x:v>상세공고 확인</x:v>
      </x:c>
      <x:c r="N386" s="17" t="str">
        <x:v>상세공고 확인</x:v>
      </x:c>
      <x:c r="O386" s="17" t="str">
        <x:v>상세공고 확인</x:v>
      </x:c>
      <x:c r="P386" s="17" t="str">
        <x:v>상세공고 확인</x:v>
      </x:c>
      <x:c r="Q386" s="17" t="str">
        <x:v>상세공고 확인</x:v>
      </x:c>
      <x:c r="R386" s="17" t="str">
        <x:v>상세공고 확인</x:v>
      </x:c>
      <x:c r="S386" s="17" t="str">
        <x:v>상세공고 확인</x:v>
      </x:c>
      <x:c r="T386" s="17" t="str">
        <x:v>상세공고 확인</x:v>
      </x:c>
      <x:c r="U386" s="17" t="str">
        <x:v>상세공고 확인</x:v>
      </x:c>
      <x:c r="V386" s="17" t="str">
        <x:v>목록 항목 확인</x:v>
      </x:c>
      <x:c r="W386" s="17" t="str">
        <x:v>공고 상세에서 확인</x:v>
      </x:c>
      <x:c r="X386" s="18" t="str">
        <x:v>https://job.alio.go.kr/recruitview.do?idx=304255</x:v>
      </x:c>
      <x:c r="Y386" s="1"/>
      <x:c r="Z386" s="1"/>
    </x:row>
    <x:row r="387" ht="54" customHeight="1">
      <x:c r="A387" s="17" t="n">
        <x:v>37</x:v>
      </x:c>
      <x:c r="B387" s="17" t="str">
        <x:v>한국해양수산개발원</x:v>
      </x:c>
      <x:c r="C387" s="17" t="str">
        <x:v>2026년 한국해양수산개발원 제3차 정규직 연구직(박사) 채용 공고</x:v>
      </x:c>
      <x:c r="D387" s="17" t="str">
        <x:v>부산</x:v>
      </x:c>
      <x:c r="E387" s="17" t="str">
        <x:v>정규직</x:v>
      </x:c>
      <x:c r="F387" s="17" t="str">
        <x:v>2026.08.26</x:v>
      </x:c>
      <x:c r="G387" s="17" t="str">
        <x:v>26.09.15 D-6</x:v>
      </x:c>
      <x:c r="H387" s="17" t="str">
        <x:v>경력·전문직</x:v>
      </x:c>
      <x:c r="I387" s="17" t="str">
        <x:v>경력·전문 우선</x:v>
      </x:c>
      <x:c r="J387" s="17" t="str">
        <x:v>제한 문구 미탐지</x:v>
      </x:c>
      <x:c r="K387" s="17" t="str">
        <x:v>상세공고 확인</x:v>
      </x:c>
      <x:c r="L387" s="17" t="str">
        <x:v>상세공고 확인</x:v>
      </x:c>
      <x:c r="M387" s="17" t="str">
        <x:v>상세공고 확인</x:v>
      </x:c>
      <x:c r="N387" s="17" t="str">
        <x:v>상세공고 확인</x:v>
      </x:c>
      <x:c r="O387" s="17" t="str">
        <x:v>상세공고 확인</x:v>
      </x:c>
      <x:c r="P387" s="17" t="str">
        <x:v>상세공고 확인</x:v>
      </x:c>
      <x:c r="Q387" s="17" t="str">
        <x:v>상세공고 확인</x:v>
      </x:c>
      <x:c r="R387" s="17" t="str">
        <x:v>상세공고 확인</x:v>
      </x:c>
      <x:c r="S387" s="17" t="str">
        <x:v>상세공고 확인</x:v>
      </x:c>
      <x:c r="T387" s="17" t="str">
        <x:v>상세공고 확인</x:v>
      </x:c>
      <x:c r="U387" s="17" t="str">
        <x:v>상세공고 확인</x:v>
      </x:c>
      <x:c r="V387" s="17" t="str">
        <x:v>목록 항목 확인</x:v>
      </x:c>
      <x:c r="W387" s="17" t="str">
        <x:v>공고 상세에서 확인</x:v>
      </x:c>
      <x:c r="X387" s="18" t="str">
        <x:v>https://job.alio.go.kr/recruitview.do?idx=304254</x:v>
      </x:c>
      <x:c r="Y387" s="1"/>
      <x:c r="Z387" s="1"/>
    </x:row>
    <x:row r="388" ht="54" customHeight="1">
      <x:c r="A388" s="17" t="n">
        <x:v>36</x:v>
      </x:c>
      <x:c r="B388" s="17" t="str">
        <x:v>충북대학교병원</x:v>
      </x:c>
      <x:c r="C388" s="17" t="str">
        <x:v>충북대학교병원 공공임상교수요원 채용 공고</x:v>
      </x:c>
      <x:c r="D388" s="17" t="str">
        <x:v>충북</x:v>
      </x:c>
      <x:c r="E388" s="17" t="str">
        <x:v>정규직</x:v>
      </x:c>
      <x:c r="F388" s="17" t="str">
        <x:v>2026.08.26</x:v>
      </x:c>
      <x:c r="G388" s="17" t="str">
        <x:v>26.09.09 D+0</x:v>
      </x:c>
      <x:c r="H388" s="17" t="str">
        <x:v>경력·전문직</x:v>
      </x:c>
      <x:c r="I388" s="17" t="str">
        <x:v>경력·전문 우선</x:v>
      </x:c>
      <x:c r="J388" s="17" t="str">
        <x:v>제한 문구 미탐지</x:v>
      </x:c>
      <x:c r="K388" s="17" t="str">
        <x:v>상세공고 확인</x:v>
      </x:c>
      <x:c r="L388" s="17" t="str">
        <x:v>상세공고 확인</x:v>
      </x:c>
      <x:c r="M388" s="17" t="str">
        <x:v>상세공고 확인</x:v>
      </x:c>
      <x:c r="N388" s="17" t="str">
        <x:v>상세공고 확인</x:v>
      </x:c>
      <x:c r="O388" s="17" t="str">
        <x:v>상세공고 확인</x:v>
      </x:c>
      <x:c r="P388" s="17" t="str">
        <x:v>상세공고 확인</x:v>
      </x:c>
      <x:c r="Q388" s="17" t="str">
        <x:v>상세공고 확인</x:v>
      </x:c>
      <x:c r="R388" s="17" t="str">
        <x:v>상세공고 확인</x:v>
      </x:c>
      <x:c r="S388" s="17" t="str">
        <x:v>상세공고 확인</x:v>
      </x:c>
      <x:c r="T388" s="17" t="str">
        <x:v>상세공고 확인</x:v>
      </x:c>
      <x:c r="U388" s="17" t="str">
        <x:v>상세공고 확인</x:v>
      </x:c>
      <x:c r="V388" s="17" t="str">
        <x:v>목록 항목 확인</x:v>
      </x:c>
      <x:c r="W388" s="17" t="str">
        <x:v>공고 상세에서 확인</x:v>
      </x:c>
      <x:c r="X388" s="18" t="str">
        <x:v>https://job.alio.go.kr/recruitview.do?idx=304253</x:v>
      </x:c>
      <x:c r="Y388" s="1"/>
      <x:c r="Z388" s="1"/>
    </x:row>
    <x:row r="389" ht="54" customHeight="1">
      <x:c r="A389" s="17" t="n">
        <x:v>35</x:v>
      </x:c>
      <x:c r="B389" s="17" t="str">
        <x:v>충남대학교병원</x:v>
      </x:c>
      <x:c r="C389" s="17" t="str">
        <x:v>[세종] 2026년 약무직 직원 모집공고</x:v>
      </x:c>
      <x:c r="D389" s="17" t="str">
        <x:v>세종</x:v>
      </x:c>
      <x:c r="E389" s="17" t="str">
        <x:v>정규직</x:v>
      </x:c>
      <x:c r="F389" s="17" t="str">
        <x:v>2026.08.26</x:v>
      </x:c>
      <x:c r="G389" s="17" t="str">
        <x:v>26.09.09 D+0</x:v>
      </x:c>
      <x:c r="H389" s="17" t="str">
        <x:v>정규직(세부 확인)</x:v>
      </x:c>
      <x:c r="I389" s="17" t="str">
        <x:v>세부조건 확인</x:v>
      </x:c>
      <x:c r="J389" s="17" t="str">
        <x:v>제한 문구 미탐지</x:v>
      </x:c>
      <x:c r="K389" s="17" t="str">
        <x:v>상세공고 확인</x:v>
      </x:c>
      <x:c r="L389" s="17" t="str">
        <x:v>상세공고 확인</x:v>
      </x:c>
      <x:c r="M389" s="17" t="str">
        <x:v>상세공고 확인</x:v>
      </x:c>
      <x:c r="N389" s="17" t="str">
        <x:v>상세공고 확인</x:v>
      </x:c>
      <x:c r="O389" s="17" t="str">
        <x:v>상세공고 확인</x:v>
      </x:c>
      <x:c r="P389" s="17" t="str">
        <x:v>상세공고 확인</x:v>
      </x:c>
      <x:c r="Q389" s="17" t="str">
        <x:v>상세공고 확인</x:v>
      </x:c>
      <x:c r="R389" s="17" t="str">
        <x:v>상세공고 확인</x:v>
      </x:c>
      <x:c r="S389" s="17" t="str">
        <x:v>상세공고 확인</x:v>
      </x:c>
      <x:c r="T389" s="17" t="str">
        <x:v>상세공고 확인</x:v>
      </x:c>
      <x:c r="U389" s="17" t="str">
        <x:v>상세공고 확인</x:v>
      </x:c>
      <x:c r="V389" s="17" t="str">
        <x:v>목록 항목 확인</x:v>
      </x:c>
      <x:c r="W389" s="17" t="str">
        <x:v>공고 상세에서 확인</x:v>
      </x:c>
      <x:c r="X389" s="18" t="str">
        <x:v>https://job.alio.go.kr/recruitview.do?idx=304251</x:v>
      </x:c>
      <x:c r="Y389" s="1"/>
      <x:c r="Z389" s="1"/>
    </x:row>
    <x:row r="390" ht="54" customHeight="1">
      <x:c r="A390" s="17" t="n">
        <x:v>34</x:v>
      </x:c>
      <x:c r="B390" s="17" t="str">
        <x:v>대구경북첨단의료산업진흥재단</x:v>
      </x:c>
      <x:c r="C390" s="17" t="str">
        <x:v>2026 제2차 대구경북첨단의료산업진흥재단 직원 채용공고(연구직)</x:v>
      </x:c>
      <x:c r="D390" s="17" t="str">
        <x:v>대구</x:v>
      </x:c>
      <x:c r="E390" s="17" t="str">
        <x:v>정규직</x:v>
      </x:c>
      <x:c r="F390" s="17" t="str">
        <x:v>2026.08.26</x:v>
      </x:c>
      <x:c r="G390" s="17" t="str">
        <x:v>26.09.09 D+0</x:v>
      </x:c>
      <x:c r="H390" s="17" t="str">
        <x:v>정규직(세부 확인)</x:v>
      </x:c>
      <x:c r="I390" s="17" t="str">
        <x:v>세부조건 확인</x:v>
      </x:c>
      <x:c r="J390" s="17" t="str">
        <x:v>제한 문구 미탐지</x:v>
      </x:c>
      <x:c r="K390" s="17" t="str">
        <x:v>상세공고 확인</x:v>
      </x:c>
      <x:c r="L390" s="17" t="str">
        <x:v>상세공고 확인</x:v>
      </x:c>
      <x:c r="M390" s="17" t="str">
        <x:v>상세공고 확인</x:v>
      </x:c>
      <x:c r="N390" s="17" t="str">
        <x:v>상세공고 확인</x:v>
      </x:c>
      <x:c r="O390" s="17" t="str">
        <x:v>상세공고 확인</x:v>
      </x:c>
      <x:c r="P390" s="17" t="str">
        <x:v>상세공고 확인</x:v>
      </x:c>
      <x:c r="Q390" s="17" t="str">
        <x:v>상세공고 확인</x:v>
      </x:c>
      <x:c r="R390" s="17" t="str">
        <x:v>상세공고 확인</x:v>
      </x:c>
      <x:c r="S390" s="17" t="str">
        <x:v>상세공고 확인</x:v>
      </x:c>
      <x:c r="T390" s="17" t="str">
        <x:v>상세공고 확인</x:v>
      </x:c>
      <x:c r="U390" s="17" t="str">
        <x:v>상세공고 확인</x:v>
      </x:c>
      <x:c r="V390" s="17" t="str">
        <x:v>목록 항목 확인</x:v>
      </x:c>
      <x:c r="W390" s="17" t="str">
        <x:v>공고 상세에서 확인</x:v>
      </x:c>
      <x:c r="X390" s="18" t="str">
        <x:v>https://job.alio.go.kr/recruitview.do?idx=304238</x:v>
      </x:c>
      <x:c r="Y390" s="1"/>
      <x:c r="Z390" s="1"/>
    </x:row>
    <x:row r="391" ht="54" customHeight="1">
      <x:c r="A391" s="17" t="n">
        <x:v>33</x:v>
      </x:c>
      <x:c r="B391" s="17" t="str">
        <x:v>극지연구소</x:v>
      </x:c>
      <x:c r="C391" s="17" t="str">
        <x:v>2026년 대한민국 남극과학기지 월동연구대 채용 재공고(기계설비 분야)</x:v>
      </x:c>
      <x:c r="D391" s="17" t="str">
        <x:v>해외</x:v>
      </x:c>
      <x:c r="E391" s="17" t="str">
        <x:v>비정규직</x:v>
      </x:c>
      <x:c r="F391" s="17" t="str">
        <x:v>2026.08.26</x:v>
      </x:c>
      <x:c r="G391" s="17" t="str">
        <x:v>26.09.09 D+0</x:v>
      </x:c>
      <x:c r="H391" s="17" t="str">
        <x:v>기간제·비정규</x:v>
      </x:c>
      <x:c r="I391" s="17" t="str">
        <x:v>세부조건 확인</x:v>
      </x:c>
      <x:c r="J391" s="17" t="str">
        <x:v>제한 문구 미탐지</x:v>
      </x:c>
      <x:c r="K391" s="17" t="str">
        <x:v>상세공고 확인</x:v>
      </x:c>
      <x:c r="L391" s="17" t="str">
        <x:v>상세공고 확인</x:v>
      </x:c>
      <x:c r="M391" s="17" t="str">
        <x:v>상세공고 확인</x:v>
      </x:c>
      <x:c r="N391" s="17" t="str">
        <x:v>상세공고 확인</x:v>
      </x:c>
      <x:c r="O391" s="17" t="str">
        <x:v>상세공고 확인</x:v>
      </x:c>
      <x:c r="P391" s="17" t="str">
        <x:v>상세공고 확인</x:v>
      </x:c>
      <x:c r="Q391" s="17" t="str">
        <x:v>상세공고 확인</x:v>
      </x:c>
      <x:c r="R391" s="17" t="str">
        <x:v>상세공고 확인</x:v>
      </x:c>
      <x:c r="S391" s="17" t="str">
        <x:v>상세공고 확인</x:v>
      </x:c>
      <x:c r="T391" s="17" t="str">
        <x:v>상세공고 확인</x:v>
      </x:c>
      <x:c r="U391" s="17" t="str">
        <x:v>상세공고 확인</x:v>
      </x:c>
      <x:c r="V391" s="17" t="str">
        <x:v>목록 항목 확인</x:v>
      </x:c>
      <x:c r="W391" s="17" t="str">
        <x:v>공고 상세에서 확인</x:v>
      </x:c>
      <x:c r="X391" s="18" t="str">
        <x:v>https://job.alio.go.kr/recruitview.do?idx=304233</x:v>
      </x:c>
      <x:c r="Y391" s="1"/>
      <x:c r="Z391" s="1"/>
    </x:row>
    <x:row r="392" ht="54" customHeight="1">
      <x:c r="A392" s="17" t="n">
        <x:v>32</x:v>
      </x:c>
      <x:c r="B392" s="17" t="str">
        <x:v>중소벤처기업진흥공단</x:v>
      </x:c>
      <x:c r="C392" s="17" t="str">
        <x:v>2026년 하반기 중소벤처기업진흥공단 일반직(신입·경력) 채용 공고</x:v>
      </x:c>
      <x:c r="D392" s="17" t="str">
        <x:v>서울 외 16</x:v>
      </x:c>
      <x:c r="E392" s="17" t="str">
        <x:v>정규직</x:v>
      </x:c>
      <x:c r="F392" s="17" t="str">
        <x:v>2026.08.26</x:v>
      </x:c>
      <x:c r="G392" s="17" t="str">
        <x:v>26.09.10 D-1</x:v>
      </x:c>
      <x:c r="H392" s="17" t="str">
        <x:v>제한경쟁·조건부</x:v>
      </x:c>
      <x:c r="I392" s="17" t="str">
        <x:v>조건 충족자만</x:v>
      </x:c>
      <x:c r="J392" s="17" t="str">
        <x:v>보훈 관련 제한경쟁</x:v>
      </x:c>
      <x:c r="K392" s="17" t="str">
        <x:v>신입+경력</x:v>
      </x:c>
      <x:c r="L392" s="17" t="str">
        <x:v>학력무관</x:v>
      </x:c>
      <x:c r="M392" s="17" t="str">
        <x:v>60명</x:v>
      </x:c>
      <x:c r="N392" s="17" t="str">
        <x:v>사업관리,경영.회계.사무,금융.보험,법률.경찰.소방.교도.국방,문화.예술.디자인.방송,영업판매,기계,재료,화학,전기.전자,정보통신,환경.에너지.안전</x:v>
      </x:c>
      <x:c r="O392" s="17" t="str">
        <x:v>기초생활수급자·차상위계층, 한부모가족, 경력단절여성, 다문화가족, 북한이탈주민, 자립준비청년, 의사상자, 청년, 장애인, 취업지원대상자(보훈), '24∼’26년 공공기관 청년인턴 근무경력 보유자, 지역인재 등 (자세한 사항은 채용 공고문 참조)</x:v>
      </x:c>
      <x:c r="P392" s="17" t="str">
        <x:v>명시 있음</x:v>
      </x:c>
      <x:c r="Q392" s="17" t="str">
        <x:v>상세공고 확인</x:v>
      </x:c>
      <x:c r="R392" s="17" t="str">
        <x:v>ㅇ 학력, 전공, 연령, 성별 등에 제한없음 (단, 공고일 기준 만 60세 이상 지원 불가, 만 57세 이상 임금피크제 적용) ㅇ 임용(12월 30일 예정) 즉시 근무 가능한 자(사유불문 입사유예 불가) ㅇ 남성의 경우 병역필(임용예정일 이전 전역예정자 포함) 또는 면제자 ㅇ 「국가공무원법」 제33조(결격사유) 및 「중진공 인사규정」상 채용결격사유에 해당되지 않는 자 ※ 제한경쟁채용 응시자격 1) 준법지원(경력-변호사) : 「변호사법」 제4조에 따른 국내변호사 자격증 소지자로서, 직무경력 3년 이상인 자 2) 회계세무(경력-회계사) : 국내 공인회계사(KICPA) 자격증 소지자로서, 직무경력(회계감사, 세무회계 등) 2년 이상인 자 3) 취업지원대상자(보훈) : 「국가유공자 등 예우 및 지원에 관한 법률」 상 취업지원대상자 ※ 신입·경력 전체 모집분야 중 1개만 지원 가능(중복 지원 불가) ※ 자세한 사항은 채용 공고문 참조</x:v>
      </x:c>
      <x:c r="S392" s="17" t="str">
        <x:v>의사, 어학</x:v>
      </x:c>
      <x:c r="T392" s="17" t="str">
        <x:v>[모집분야/인원] ※ 분야별 모집인원 채용 공고 참조 ㅇ 일반직 총 60명 (공개경쟁채용 47명, 제한경쟁채용 13명) 1) 공개경쟁 : 경영기획_전국 12명, 기업평가(경영)_전국 5명, 기업평가(경영)_강원권 1명, 기업평가(경영)_충청권 1명, 기업평가(경영)_호남권 1명, 기업평가(기술)_전국 8명, 기업평가(기술)_강원권 1명, 기업평가(기술)_충청권 1명, 기업평가(기술)_호남권 1명, 글로벌_전국 3명, 채권관리·준법지원_전국 4명, 통계금융공학_전국 2명, IT융합(IT전산) 5명, IT융합(빅데이터·AI) 2명 2) 제한경쟁 : 준법지원(경력-변호사)_대전 1명, 회계세무(경력-회계사)_전국 2명, 취업지원대상자(보훈)_전국 10명 [전형절차/일정] ※ 전형절차 및 일정·장소 등은 기관 내부사정 등에 따라 변동될 수 있음 1) 채용공고 (8.26.(수)) : 잡알리오, 중진공 누리집, 나라일터 등 2) 원서접수 (8.28.(금) 10:00~9.10.(목) 17:00) : 지원서 온라인 접수(https://kosmes.applyin.co.kr) 3) 서류전형 (9.11.(금)~10.1.(목), 30배수 선발) : 계량평가 50% + 비계량평가 50% 및 가점, 합산 점수 고득점 순 선발 * 계량(교육이수, 자격사항, 어학성적(영어)), 비계량(자기소개서, 직무수행계획서, 경력경험기술서) ** 제한경쟁채용(변호사·회계사)은 채용예정인원의 5배수 선발 및 필기 전형 면제 4) 필기전형 (10.10.(토), 5배수 선발) : 직업기초능력평가 60% + 전공지식평가 40%, 합산 점수 고득점 순 선발 * 직업기초능력평가(NCS문항, 객관식 50문항), 전공지식평가(선택과목 택1, 객관식 40문항) ** 과락기준 : 직업기초능력평가 50점 미만 또는 전공지식평가 40점 미만 과락 처리 (장애·보훈 지원자는 각 과목별 40점 미만) *** 제한경쟁채용(변호사·회계사) 대상자는 필기전형 면제 5) 1차 면접 (10.26.(월)~10.28.(수), 2~3배수 선발) : 직무과제수행면접 30% + 직무역량면접 70%, 합산 점수 고득점 순 선발 * 과락기준 : 합산 점수 60점 미만 과락 처리 ※ 1차면접 대상 인원 규모에 따라 면접 일정은 상기 기간 중 2일간 운영될 수 있음, 필기전형 합격자 발표 시, 합격자를 대상으로 세부 일정 및 응시 장소 별도 안내하며, 필기전형 합격자는 기한 내 1차면접 전형 응시 여부 응답 필수(미응답 시 응시 불가) 6) 2차 면접 (11.24.(화)~11.27.(금), 최종 합격자 선발) : 중진공 핵심가치, 인재상 부합 여부 등 종합평가 * 과락기준 : 합산 점수 60점 미만 과락 처리 ※ 2차면접 대상 인원 규모에 따라 면접 일정은 상기 기간 중 3일간 운영될 수 있음, 1차면접 합격자 발표 시, 합격자를 대상으로 세부 일정…</x:v>
      </x:c>
      <x:c r="U392" s="17" t="str">
        <x:v>(토), 5배수 선발) : 직업기초능력평가 60% + 전공지식평가 40%, 합산 점수 고득점 순 선발 * 직업기초능력평가(NCS문항, 객관식 50문항), 전공지식평가(선택과목 택1, 객관식 40문항) ** 과락기준 : 직업기초능력평가 50점 미만 또는 전공지식평가 40점 미만 과락 처리 (장애·보훈 지원자는 각 과목별 40점 미만) *** 제한경쟁채용(변호사·회계사) 대상자는 필기전형 면제 5) 1차 면접 (10 / (수), 2~3배수 선발) : 직무과제수행면접 30% + 직무역량면접 70%, 합산 점수 고득점 순 선발 * 과락기준 : 합산 점수 60점 미만 과락 처리 ※ 1차면접 대상 인원 규모에 따라 면접 일정은 상기 기간 중 2일간 운영될 수 있음, 필기전형 합격자 발표 시, 합격자를 대상으로 세부 일정 및 응시 장소 별도 안내하며, 필기전형 합격자는 기한 내 1차면접 전형 응시 여부 응답 필수(미응답 시 응시 불가) 6) 2차 면접 (11 / (금), 최종 합격자 선발) : 중진공 핵심가치, 인재상 부합 여부 등 종합평가 * 과락기준 : 합산 점수 60점 미만 과락 처리 ※ 2차면접 대상 인원 규모에 따라 면접 일정은 상기 기간 중 3일간 운영될 수 있음, 1차면접 합격자 발표 시, 합격자를 대상으로 세부 일정 및 응시 장소 별도 안내하며, 1차면접 합격자는 기한 내 2차면접 전형 응시 여부 응답 필수(미응답 시 응시 불가) 7) 합격발표 (12 / (수)) ※ 예비합격자 제도 운영(필기전형·1차면접·2차면접, 채용예정인원에 따라 1~2배수) * 전형과정별(최종전형 제외) 예비합격자는 별도 안내하지 …</x:v>
      </x:c>
      <x:c r="V392" s="17" t="str">
        <x:v>상세 페이지 확인</x:v>
      </x:c>
      <x:c r="W392" s="17" t="str">
        <x:v>https://kosmes.applyin.co.kr/</x:v>
      </x:c>
      <x:c r="X392" s="18" t="str">
        <x:v>https://job.alio.go.kr/recruitview.do?idx=304230</x:v>
      </x:c>
      <x:c r="Y392" s="1"/>
      <x:c r="Z392" s="1"/>
    </x:row>
    <x:row r="393" ht="54" customHeight="1">
      <x:c r="A393" s="17" t="n">
        <x:v>31</x:v>
      </x:c>
      <x:c r="B393" s="17" t="str">
        <x:v>한국에너지기술평가원</x:v>
      </x:c>
      <x:c r="C393" s="17" t="str">
        <x:v>2026년도 제2차 에너지기술 R&amp;D PD(Program Director) 초빙 공고</x:v>
      </x:c>
      <x:c r="D393" s="17" t="str">
        <x:v>서울</x:v>
      </x:c>
      <x:c r="E393" s="17" t="str">
        <x:v>비정규직</x:v>
      </x:c>
      <x:c r="F393" s="17" t="str">
        <x:v>2026.08.26</x:v>
      </x:c>
      <x:c r="G393" s="17" t="str">
        <x:v>26.09.10 D-1</x:v>
      </x:c>
      <x:c r="H393" s="17" t="str">
        <x:v>기간제·비정규</x:v>
      </x:c>
      <x:c r="I393" s="17" t="str">
        <x:v>세부조건 확인</x:v>
      </x:c>
      <x:c r="J393" s="17" t="str">
        <x:v>제한 문구 미탐지</x:v>
      </x:c>
      <x:c r="K393" s="17" t="str">
        <x:v>상세공고 확인</x:v>
      </x:c>
      <x:c r="L393" s="17" t="str">
        <x:v>상세공고 확인</x:v>
      </x:c>
      <x:c r="M393" s="17" t="str">
        <x:v>상세공고 확인</x:v>
      </x:c>
      <x:c r="N393" s="17" t="str">
        <x:v>상세공고 확인</x:v>
      </x:c>
      <x:c r="O393" s="17" t="str">
        <x:v>상세공고 확인</x:v>
      </x:c>
      <x:c r="P393" s="17" t="str">
        <x:v>상세공고 확인</x:v>
      </x:c>
      <x:c r="Q393" s="17" t="str">
        <x:v>상세공고 확인</x:v>
      </x:c>
      <x:c r="R393" s="17" t="str">
        <x:v>상세공고 확인</x:v>
      </x:c>
      <x:c r="S393" s="17" t="str">
        <x:v>상세공고 확인</x:v>
      </x:c>
      <x:c r="T393" s="17" t="str">
        <x:v>상세공고 확인</x:v>
      </x:c>
      <x:c r="U393" s="17" t="str">
        <x:v>상세공고 확인</x:v>
      </x:c>
      <x:c r="V393" s="17" t="str">
        <x:v>목록 항목 확인</x:v>
      </x:c>
      <x:c r="W393" s="17" t="str">
        <x:v>공고 상세에서 확인</x:v>
      </x:c>
      <x:c r="X393" s="18" t="str">
        <x:v>https://job.alio.go.kr/recruitview.do?idx=304193</x:v>
      </x:c>
      <x:c r="Y393" s="1"/>
      <x:c r="Z393" s="1"/>
    </x:row>
    <x:row r="394" ht="54" customHeight="1">
      <x:c r="A394" s="17" t="n">
        <x:v>30</x:v>
      </x:c>
      <x:c r="B394" s="17" t="str">
        <x:v>한국에너지기술평가원</x:v>
      </x:c>
      <x:c r="C394" s="17" t="str">
        <x:v>2026년도 제3차 신규직원 채용 공고</x:v>
      </x:c>
      <x:c r="D394" s="17" t="str">
        <x:v>서울</x:v>
      </x:c>
      <x:c r="E394" s="17" t="str">
        <x:v>비정규직 외 1</x:v>
      </x:c>
      <x:c r="F394" s="17" t="str">
        <x:v>2026.08.26</x:v>
      </x:c>
      <x:c r="G394" s="17" t="str">
        <x:v>26.09.11 D-2</x:v>
      </x:c>
      <x:c r="H394" s="17" t="str">
        <x:v>기간제·비정규</x:v>
      </x:c>
      <x:c r="I394" s="17" t="str">
        <x:v>세부조건 확인</x:v>
      </x:c>
      <x:c r="J394" s="17" t="str">
        <x:v>제한 문구 미탐지</x:v>
      </x:c>
      <x:c r="K394" s="17" t="str">
        <x:v>상세공고 확인</x:v>
      </x:c>
      <x:c r="L394" s="17" t="str">
        <x:v>상세공고 확인</x:v>
      </x:c>
      <x:c r="M394" s="17" t="str">
        <x:v>상세공고 확인</x:v>
      </x:c>
      <x:c r="N394" s="17" t="str">
        <x:v>상세공고 확인</x:v>
      </x:c>
      <x:c r="O394" s="17" t="str">
        <x:v>상세공고 확인</x:v>
      </x:c>
      <x:c r="P394" s="17" t="str">
        <x:v>상세공고 확인</x:v>
      </x:c>
      <x:c r="Q394" s="17" t="str">
        <x:v>상세공고 확인</x:v>
      </x:c>
      <x:c r="R394" s="17" t="str">
        <x:v>상세공고 확인</x:v>
      </x:c>
      <x:c r="S394" s="17" t="str">
        <x:v>상세공고 확인</x:v>
      </x:c>
      <x:c r="T394" s="17" t="str">
        <x:v>상세공고 확인</x:v>
      </x:c>
      <x:c r="U394" s="17" t="str">
        <x:v>상세공고 확인</x:v>
      </x:c>
      <x:c r="V394" s="17" t="str">
        <x:v>목록 항목 확인</x:v>
      </x:c>
      <x:c r="W394" s="17" t="str">
        <x:v>공고 상세에서 확인</x:v>
      </x:c>
      <x:c r="X394" s="18" t="str">
        <x:v>https://job.alio.go.kr/recruitview.do?idx=304183</x:v>
      </x:c>
      <x:c r="Y394" s="1"/>
      <x:c r="Z394" s="1"/>
    </x:row>
    <x:row r="395" ht="54" customHeight="1">
      <x:c r="A395" s="17" t="n">
        <x:v>29</x:v>
      </x:c>
      <x:c r="B395" s="17" t="str">
        <x:v>대한적십자사</x:v>
      </x:c>
      <x:c r="C395" s="17" t="str">
        <x:v>2026년도 혈장분획센터 비정규직(육아휴직대체 / 연구원) 채용 공고</x:v>
      </x:c>
      <x:c r="D395" s="17" t="str">
        <x:v>충북</x:v>
      </x:c>
      <x:c r="E395" s="17" t="str">
        <x:v>비정규직</x:v>
      </x:c>
      <x:c r="F395" s="17" t="str">
        <x:v>2026.08.26</x:v>
      </x:c>
      <x:c r="G395" s="17" t="str">
        <x:v>26.09.10 D-1</x:v>
      </x:c>
      <x:c r="H395" s="17" t="str">
        <x:v>기간제·비정규</x:v>
      </x:c>
      <x:c r="I395" s="17" t="str">
        <x:v>세부조건 확인</x:v>
      </x:c>
      <x:c r="J395" s="17" t="str">
        <x:v>제한 문구 미탐지</x:v>
      </x:c>
      <x:c r="K395" s="17" t="str">
        <x:v>상세공고 확인</x:v>
      </x:c>
      <x:c r="L395" s="17" t="str">
        <x:v>상세공고 확인</x:v>
      </x:c>
      <x:c r="M395" s="17" t="str">
        <x:v>상세공고 확인</x:v>
      </x:c>
      <x:c r="N395" s="17" t="str">
        <x:v>상세공고 확인</x:v>
      </x:c>
      <x:c r="O395" s="17" t="str">
        <x:v>상세공고 확인</x:v>
      </x:c>
      <x:c r="P395" s="17" t="str">
        <x:v>상세공고 확인</x:v>
      </x:c>
      <x:c r="Q395" s="17" t="str">
        <x:v>상세공고 확인</x:v>
      </x:c>
      <x:c r="R395" s="17" t="str">
        <x:v>상세공고 확인</x:v>
      </x:c>
      <x:c r="S395" s="17" t="str">
        <x:v>상세공고 확인</x:v>
      </x:c>
      <x:c r="T395" s="17" t="str">
        <x:v>상세공고 확인</x:v>
      </x:c>
      <x:c r="U395" s="17" t="str">
        <x:v>상세공고 확인</x:v>
      </x:c>
      <x:c r="V395" s="17" t="str">
        <x:v>목록 항목 확인</x:v>
      </x:c>
      <x:c r="W395" s="17" t="str">
        <x:v>공고 상세에서 확인</x:v>
      </x:c>
      <x:c r="X395" s="18" t="str">
        <x:v>https://job.alio.go.kr/recruitview.do?idx=304180</x:v>
      </x:c>
      <x:c r="Y395" s="1"/>
      <x:c r="Z395" s="1"/>
    </x:row>
    <x:row r="396" ht="54" customHeight="1">
      <x:c r="A396" s="17" t="n">
        <x:v>28</x:v>
      </x:c>
      <x:c r="B396" s="17" t="str">
        <x:v>부산대학교병원</x:v>
      </x:c>
      <x:c r="C396" s="17" t="str">
        <x:v>2026년도 계약직의사 상시모집(7차) 공개채용 모집 공고</x:v>
      </x:c>
      <x:c r="D396" s="17" t="str">
        <x:v>경남</x:v>
      </x:c>
      <x:c r="E396" s="17" t="str">
        <x:v>비정규직</x:v>
      </x:c>
      <x:c r="F396" s="17" t="str">
        <x:v>2026.08.26</x:v>
      </x:c>
      <x:c r="G396" s="17" t="str">
        <x:v>26.12.31 D-113</x:v>
      </x:c>
      <x:c r="H396" s="17" t="str">
        <x:v>기간제·비정규</x:v>
      </x:c>
      <x:c r="I396" s="17" t="str">
        <x:v>세부조건 확인</x:v>
      </x:c>
      <x:c r="J396" s="17" t="str">
        <x:v>제한 문구 미탐지</x:v>
      </x:c>
      <x:c r="K396" s="17" t="str">
        <x:v>상세공고 확인</x:v>
      </x:c>
      <x:c r="L396" s="17" t="str">
        <x:v>상세공고 확인</x:v>
      </x:c>
      <x:c r="M396" s="17" t="str">
        <x:v>상세공고 확인</x:v>
      </x:c>
      <x:c r="N396" s="17" t="str">
        <x:v>상세공고 확인</x:v>
      </x:c>
      <x:c r="O396" s="17" t="str">
        <x:v>상세공고 확인</x:v>
      </x:c>
      <x:c r="P396" s="17" t="str">
        <x:v>상세공고 확인</x:v>
      </x:c>
      <x:c r="Q396" s="17" t="str">
        <x:v>상세공고 확인</x:v>
      </x:c>
      <x:c r="R396" s="17" t="str">
        <x:v>상세공고 확인</x:v>
      </x:c>
      <x:c r="S396" s="17" t="str">
        <x:v>상세공고 확인</x:v>
      </x:c>
      <x:c r="T396" s="17" t="str">
        <x:v>상세공고 확인</x:v>
      </x:c>
      <x:c r="U396" s="17" t="str">
        <x:v>상세공고 확인</x:v>
      </x:c>
      <x:c r="V396" s="17" t="str">
        <x:v>목록 항목 확인</x:v>
      </x:c>
      <x:c r="W396" s="17" t="str">
        <x:v>공고 상세에서 확인</x:v>
      </x:c>
      <x:c r="X396" s="18" t="str">
        <x:v>https://job.alio.go.kr/recruitview.do?idx=304165</x:v>
      </x:c>
      <x:c r="Y396" s="1"/>
      <x:c r="Z396" s="1"/>
    </x:row>
    <x:row r="397" ht="54" customHeight="1">
      <x:c r="A397" s="17" t="n">
        <x:v>27</x:v>
      </x:c>
      <x:c r="B397" s="17" t="str">
        <x:v>기초과학연구원</x:v>
      </x:c>
      <x:c r="C397" s="17" t="str">
        <x:v>제2026-5회 기초과학연구원 지하실험연구단 연구위원 채용 공고</x:v>
      </x:c>
      <x:c r="D397" s="17" t="str">
        <x:v>대전</x:v>
      </x:c>
      <x:c r="E397" s="17" t="str">
        <x:v>비정규직</x:v>
      </x:c>
      <x:c r="F397" s="17" t="str">
        <x:v>2026.08.26</x:v>
      </x:c>
      <x:c r="G397" s="17" t="str">
        <x:v>26.09.30 D-21</x:v>
      </x:c>
      <x:c r="H397" s="17" t="str">
        <x:v>경력·전문직</x:v>
      </x:c>
      <x:c r="I397" s="17" t="str">
        <x:v>경력·전문 우선</x:v>
      </x:c>
      <x:c r="J397" s="17" t="str">
        <x:v>제한 문구 미탐지</x:v>
      </x:c>
      <x:c r="K397" s="17" t="str">
        <x:v>상세공고 확인</x:v>
      </x:c>
      <x:c r="L397" s="17" t="str">
        <x:v>상세공고 확인</x:v>
      </x:c>
      <x:c r="M397" s="17" t="str">
        <x:v>상세공고 확인</x:v>
      </x:c>
      <x:c r="N397" s="17" t="str">
        <x:v>상세공고 확인</x:v>
      </x:c>
      <x:c r="O397" s="17" t="str">
        <x:v>상세공고 확인</x:v>
      </x:c>
      <x:c r="P397" s="17" t="str">
        <x:v>상세공고 확인</x:v>
      </x:c>
      <x:c r="Q397" s="17" t="str">
        <x:v>상세공고 확인</x:v>
      </x:c>
      <x:c r="R397" s="17" t="str">
        <x:v>상세공고 확인</x:v>
      </x:c>
      <x:c r="S397" s="17" t="str">
        <x:v>상세공고 확인</x:v>
      </x:c>
      <x:c r="T397" s="17" t="str">
        <x:v>상세공고 확인</x:v>
      </x:c>
      <x:c r="U397" s="17" t="str">
        <x:v>상세공고 확인</x:v>
      </x:c>
      <x:c r="V397" s="17" t="str">
        <x:v>목록 항목 확인</x:v>
      </x:c>
      <x:c r="W397" s="17" t="str">
        <x:v>공고 상세에서 확인</x:v>
      </x:c>
      <x:c r="X397" s="18" t="str">
        <x:v>https://job.alio.go.kr/recruitview.do?idx=304103</x:v>
      </x:c>
      <x:c r="Y397" s="1"/>
      <x:c r="Z397" s="1"/>
    </x:row>
    <x:row r="398" ht="54" customHeight="1">
      <x:c r="A398" s="17" t="n">
        <x:v>26</x:v>
      </x:c>
      <x:c r="B398" s="17" t="str">
        <x:v>한국한의학연구원</x:v>
      </x:c>
      <x:c r="C398" s="17" t="str">
        <x:v>2026년 6차 육아휴직 대체인력(계약직) 공개채용 공고</x:v>
      </x:c>
      <x:c r="D398" s="17" t="str">
        <x:v>대전</x:v>
      </x:c>
      <x:c r="E398" s="17" t="str">
        <x:v>비정규직</x:v>
      </x:c>
      <x:c r="F398" s="17" t="str">
        <x:v>2026.08.25</x:v>
      </x:c>
      <x:c r="G398" s="17" t="str">
        <x:v>26.09.09 D+0</x:v>
      </x:c>
      <x:c r="H398" s="17" t="str">
        <x:v>기간제·비정규</x:v>
      </x:c>
      <x:c r="I398" s="17" t="str">
        <x:v>세부조건 확인</x:v>
      </x:c>
      <x:c r="J398" s="17" t="str">
        <x:v>제한 문구 미탐지</x:v>
      </x:c>
      <x:c r="K398" s="17" t="str">
        <x:v>상세공고 확인</x:v>
      </x:c>
      <x:c r="L398" s="17" t="str">
        <x:v>상세공고 확인</x:v>
      </x:c>
      <x:c r="M398" s="17" t="str">
        <x:v>상세공고 확인</x:v>
      </x:c>
      <x:c r="N398" s="17" t="str">
        <x:v>상세공고 확인</x:v>
      </x:c>
      <x:c r="O398" s="17" t="str">
        <x:v>상세공고 확인</x:v>
      </x:c>
      <x:c r="P398" s="17" t="str">
        <x:v>상세공고 확인</x:v>
      </x:c>
      <x:c r="Q398" s="17" t="str">
        <x:v>상세공고 확인</x:v>
      </x:c>
      <x:c r="R398" s="17" t="str">
        <x:v>상세공고 확인</x:v>
      </x:c>
      <x:c r="S398" s="17" t="str">
        <x:v>상세공고 확인</x:v>
      </x:c>
      <x:c r="T398" s="17" t="str">
        <x:v>상세공고 확인</x:v>
      </x:c>
      <x:c r="U398" s="17" t="str">
        <x:v>상세공고 확인</x:v>
      </x:c>
      <x:c r="V398" s="17" t="str">
        <x:v>목록 항목 확인</x:v>
      </x:c>
      <x:c r="W398" s="17" t="str">
        <x:v>공고 상세에서 확인</x:v>
      </x:c>
      <x:c r="X398" s="18" t="str">
        <x:v>https://job.alio.go.kr/recruitview.do?idx=304415</x:v>
      </x:c>
      <x:c r="Y398" s="1"/>
      <x:c r="Z398" s="1"/>
    </x:row>
    <x:row r="399" ht="54" customHeight="1">
      <x:c r="A399" s="17" t="n">
        <x:v>25</x:v>
      </x:c>
      <x:c r="B399" s="17" t="str">
        <x:v>국립암센터</x:v>
      </x:c>
      <x:c r="C399" s="17" t="str">
        <x:v>국립암센터 정규직 사무직 채용공고</x:v>
      </x:c>
      <x:c r="D399" s="17" t="str">
        <x:v>경기</x:v>
      </x:c>
      <x:c r="E399" s="17" t="str">
        <x:v>정규직</x:v>
      </x:c>
      <x:c r="F399" s="17" t="str">
        <x:v>2026.08.25</x:v>
      </x:c>
      <x:c r="G399" s="17" t="str">
        <x:v>26.09.11 D-2</x:v>
      </x:c>
      <x:c r="H399" s="17" t="str">
        <x:v>정규직(세부 확인)</x:v>
      </x:c>
      <x:c r="I399" s="17" t="str">
        <x:v>세부조건 확인</x:v>
      </x:c>
      <x:c r="J399" s="17" t="str">
        <x:v>제한 문구 미탐지</x:v>
      </x:c>
      <x:c r="K399" s="17" t="str">
        <x:v>상세공고 확인</x:v>
      </x:c>
      <x:c r="L399" s="17" t="str">
        <x:v>상세공고 확인</x:v>
      </x:c>
      <x:c r="M399" s="17" t="str">
        <x:v>상세공고 확인</x:v>
      </x:c>
      <x:c r="N399" s="17" t="str">
        <x:v>상세공고 확인</x:v>
      </x:c>
      <x:c r="O399" s="17" t="str">
        <x:v>상세공고 확인</x:v>
      </x:c>
      <x:c r="P399" s="17" t="str">
        <x:v>상세공고 확인</x:v>
      </x:c>
      <x:c r="Q399" s="17" t="str">
        <x:v>상세공고 확인</x:v>
      </x:c>
      <x:c r="R399" s="17" t="str">
        <x:v>상세공고 확인</x:v>
      </x:c>
      <x:c r="S399" s="17" t="str">
        <x:v>상세공고 확인</x:v>
      </x:c>
      <x:c r="T399" s="17" t="str">
        <x:v>상세공고 확인</x:v>
      </x:c>
      <x:c r="U399" s="17" t="str">
        <x:v>상세공고 확인</x:v>
      </x:c>
      <x:c r="V399" s="17" t="str">
        <x:v>목록 항목 확인</x:v>
      </x:c>
      <x:c r="W399" s="17" t="str">
        <x:v>공고 상세에서 확인</x:v>
      </x:c>
      <x:c r="X399" s="18" t="str">
        <x:v>https://job.alio.go.kr/recruitview.do?idx=304237</x:v>
      </x:c>
      <x:c r="Y399" s="1"/>
      <x:c r="Z399" s="1"/>
    </x:row>
    <x:row r="400" ht="54" customHeight="1">
      <x:c r="A400" s="17" t="n">
        <x:v>24</x:v>
      </x:c>
      <x:c r="B400" s="17" t="str">
        <x:v>국립암센터</x:v>
      </x:c>
      <x:c r="C400" s="17" t="str">
        <x:v>청년인턴 채용공고[260825]</x:v>
      </x:c>
      <x:c r="D400" s="17" t="str">
        <x:v>경기</x:v>
      </x:c>
      <x:c r="E400" s="17" t="str">
        <x:v>청년인턴(체험형)</x:v>
      </x:c>
      <x:c r="F400" s="17" t="str">
        <x:v>2026.08.25</x:v>
      </x:c>
      <x:c r="G400" s="17" t="str">
        <x:v>26.09.09 D+0</x:v>
      </x:c>
      <x:c r="H400" s="17" t="str">
        <x:v>체험형·청년인턴</x:v>
      </x:c>
      <x:c r="I400" s="17" t="str">
        <x:v>우선검토</x:v>
      </x:c>
      <x:c r="J400" s="17" t="str">
        <x:v>제한 문구 미탐지</x:v>
      </x:c>
      <x:c r="K400" s="17" t="str">
        <x:v>상세공고 확인</x:v>
      </x:c>
      <x:c r="L400" s="17" t="str">
        <x:v>상세공고 확인</x:v>
      </x:c>
      <x:c r="M400" s="17" t="str">
        <x:v>상세공고 확인</x:v>
      </x:c>
      <x:c r="N400" s="17" t="str">
        <x:v>상세공고 확인</x:v>
      </x:c>
      <x:c r="O400" s="17" t="str">
        <x:v>상세공고 확인</x:v>
      </x:c>
      <x:c r="P400" s="17" t="str">
        <x:v>상세공고 확인</x:v>
      </x:c>
      <x:c r="Q400" s="17" t="str">
        <x:v>상세공고 확인</x:v>
      </x:c>
      <x:c r="R400" s="17" t="str">
        <x:v>상세공고 확인</x:v>
      </x:c>
      <x:c r="S400" s="17" t="str">
        <x:v>상세공고 확인</x:v>
      </x:c>
      <x:c r="T400" s="17" t="str">
        <x:v>상세공고 확인</x:v>
      </x:c>
      <x:c r="U400" s="17" t="str">
        <x:v>상세공고 확인</x:v>
      </x:c>
      <x:c r="V400" s="17" t="str">
        <x:v>목록 항목 확인</x:v>
      </x:c>
      <x:c r="W400" s="17" t="str">
        <x:v>공고 상세에서 확인</x:v>
      </x:c>
      <x:c r="X400" s="18" t="str">
        <x:v>https://job.alio.go.kr/recruitview.do?idx=304234</x:v>
      </x:c>
      <x:c r="Y400" s="1"/>
      <x:c r="Z400" s="1"/>
    </x:row>
    <x:row r="401" ht="54" customHeight="1">
      <x:c r="A401" s="17" t="n">
        <x:v>23</x:v>
      </x:c>
      <x:c r="B401" s="17" t="str">
        <x:v>대한적십자사</x:v>
      </x:c>
      <x:c r="C401" s="17" t="str">
        <x:v>2026년도 대한적십자사 충청북도지사 비정규직(육아휴직 대체인력) 사무보조원 채용공고</x:v>
      </x:c>
      <x:c r="D401" s="17" t="str">
        <x:v>충북</x:v>
      </x:c>
      <x:c r="E401" s="17" t="str">
        <x:v>비정규직</x:v>
      </x:c>
      <x:c r="F401" s="17" t="str">
        <x:v>2026.08.25</x:v>
      </x:c>
      <x:c r="G401" s="17" t="str">
        <x:v>26.09.09 D+0</x:v>
      </x:c>
      <x:c r="H401" s="17" t="str">
        <x:v>기간제·비정규</x:v>
      </x:c>
      <x:c r="I401" s="17" t="str">
        <x:v>세부조건 확인</x:v>
      </x:c>
      <x:c r="J401" s="17" t="str">
        <x:v>제한 문구 미탐지</x:v>
      </x:c>
      <x:c r="K401" s="17" t="str">
        <x:v>상세공고 확인</x:v>
      </x:c>
      <x:c r="L401" s="17" t="str">
        <x:v>상세공고 확인</x:v>
      </x:c>
      <x:c r="M401" s="17" t="str">
        <x:v>상세공고 확인</x:v>
      </x:c>
      <x:c r="N401" s="17" t="str">
        <x:v>상세공고 확인</x:v>
      </x:c>
      <x:c r="O401" s="17" t="str">
        <x:v>상세공고 확인</x:v>
      </x:c>
      <x:c r="P401" s="17" t="str">
        <x:v>상세공고 확인</x:v>
      </x:c>
      <x:c r="Q401" s="17" t="str">
        <x:v>상세공고 확인</x:v>
      </x:c>
      <x:c r="R401" s="17" t="str">
        <x:v>상세공고 확인</x:v>
      </x:c>
      <x:c r="S401" s="17" t="str">
        <x:v>상세공고 확인</x:v>
      </x:c>
      <x:c r="T401" s="17" t="str">
        <x:v>상세공고 확인</x:v>
      </x:c>
      <x:c r="U401" s="17" t="str">
        <x:v>상세공고 확인</x:v>
      </x:c>
      <x:c r="V401" s="17" t="str">
        <x:v>목록 항목 확인</x:v>
      </x:c>
      <x:c r="W401" s="17" t="str">
        <x:v>공고 상세에서 확인</x:v>
      </x:c>
      <x:c r="X401" s="18" t="str">
        <x:v>https://job.alio.go.kr/recruitview.do?idx=304231</x:v>
      </x:c>
      <x:c r="Y401" s="1"/>
      <x:c r="Z401" s="1"/>
    </x:row>
    <x:row r="402" ht="54" customHeight="1">
      <x:c r="A402" s="17" t="n">
        <x:v>22</x:v>
      </x:c>
      <x:c r="B402" s="17" t="str">
        <x:v>한국전력공사</x:v>
      </x:c>
      <x:c r="C402" s="17" t="str">
        <x:v>2026년 제3차 장애인 체험형 인턴 채용공고 [경기북부본부]</x:v>
      </x:c>
      <x:c r="D402" s="17" t="str">
        <x:v>경기</x:v>
      </x:c>
      <x:c r="E402" s="17" t="str">
        <x:v>청년인턴(체험형)</x:v>
      </x:c>
      <x:c r="F402" s="17" t="str">
        <x:v>2026.08.25</x:v>
      </x:c>
      <x:c r="G402" s="17" t="str">
        <x:v>26.09.09 D+0</x:v>
      </x:c>
      <x:c r="H402" s="17" t="str">
        <x:v>체험형·청년인턴</x:v>
      </x:c>
      <x:c r="I402" s="17" t="str">
        <x:v>세부조건 확인</x:v>
      </x:c>
      <x:c r="J402" s="17" t="str">
        <x:v>제한 문구 미탐지</x:v>
      </x:c>
      <x:c r="K402" s="17" t="str">
        <x:v>상세공고 확인</x:v>
      </x:c>
      <x:c r="L402" s="17" t="str">
        <x:v>상세공고 확인</x:v>
      </x:c>
      <x:c r="M402" s="17" t="str">
        <x:v>상세공고 확인</x:v>
      </x:c>
      <x:c r="N402" s="17" t="str">
        <x:v>상세공고 확인</x:v>
      </x:c>
      <x:c r="O402" s="17" t="str">
        <x:v>상세공고 확인</x:v>
      </x:c>
      <x:c r="P402" s="17" t="str">
        <x:v>상세공고 확인</x:v>
      </x:c>
      <x:c r="Q402" s="17" t="str">
        <x:v>상세공고 확인</x:v>
      </x:c>
      <x:c r="R402" s="17" t="str">
        <x:v>상세공고 확인</x:v>
      </x:c>
      <x:c r="S402" s="17" t="str">
        <x:v>상세공고 확인</x:v>
      </x:c>
      <x:c r="T402" s="17" t="str">
        <x:v>상세공고 확인</x:v>
      </x:c>
      <x:c r="U402" s="17" t="str">
        <x:v>상세공고 확인</x:v>
      </x:c>
      <x:c r="V402" s="17" t="str">
        <x:v>목록 항목 확인</x:v>
      </x:c>
      <x:c r="W402" s="17" t="str">
        <x:v>공고 상세에서 확인</x:v>
      </x:c>
      <x:c r="X402" s="18" t="str">
        <x:v>https://job.alio.go.kr/recruitview.do?idx=304225</x:v>
      </x:c>
      <x:c r="Y402" s="1"/>
      <x:c r="Z402" s="1"/>
    </x:row>
    <x:row r="403" ht="54" customHeight="1">
      <x:c r="A403" s="17" t="n">
        <x:v>21</x:v>
      </x:c>
      <x:c r="B403" s="17" t="str">
        <x:v>한국전력공사</x:v>
      </x:c>
      <x:c r="C403" s="17" t="str">
        <x:v>기간제 근로자(대체인력) 채용공고 [경기북부본부 남양주지사]</x:v>
      </x:c>
      <x:c r="D403" s="17" t="str">
        <x:v>경기</x:v>
      </x:c>
      <x:c r="E403" s="17" t="str">
        <x:v>비정규직</x:v>
      </x:c>
      <x:c r="F403" s="17" t="str">
        <x:v>2026.08.25</x:v>
      </x:c>
      <x:c r="G403" s="17" t="str">
        <x:v>26.09.09 D+0</x:v>
      </x:c>
      <x:c r="H403" s="17" t="str">
        <x:v>기간제·비정규</x:v>
      </x:c>
      <x:c r="I403" s="17" t="str">
        <x:v>세부조건 확인</x:v>
      </x:c>
      <x:c r="J403" s="17" t="str">
        <x:v>제한 문구 미탐지</x:v>
      </x:c>
      <x:c r="K403" s="17" t="str">
        <x:v>상세공고 확인</x:v>
      </x:c>
      <x:c r="L403" s="17" t="str">
        <x:v>상세공고 확인</x:v>
      </x:c>
      <x:c r="M403" s="17" t="str">
        <x:v>상세공고 확인</x:v>
      </x:c>
      <x:c r="N403" s="17" t="str">
        <x:v>상세공고 확인</x:v>
      </x:c>
      <x:c r="O403" s="17" t="str">
        <x:v>상세공고 확인</x:v>
      </x:c>
      <x:c r="P403" s="17" t="str">
        <x:v>상세공고 확인</x:v>
      </x:c>
      <x:c r="Q403" s="17" t="str">
        <x:v>상세공고 확인</x:v>
      </x:c>
      <x:c r="R403" s="17" t="str">
        <x:v>상세공고 확인</x:v>
      </x:c>
      <x:c r="S403" s="17" t="str">
        <x:v>상세공고 확인</x:v>
      </x:c>
      <x:c r="T403" s="17" t="str">
        <x:v>상세공고 확인</x:v>
      </x:c>
      <x:c r="U403" s="17" t="str">
        <x:v>상세공고 확인</x:v>
      </x:c>
      <x:c r="V403" s="17" t="str">
        <x:v>목록 항목 확인</x:v>
      </x:c>
      <x:c r="W403" s="17" t="str">
        <x:v>공고 상세에서 확인</x:v>
      </x:c>
      <x:c r="X403" s="18" t="str">
        <x:v>https://job.alio.go.kr/recruitview.do?idx=304224</x:v>
      </x:c>
      <x:c r="Y403" s="1"/>
      <x:c r="Z403" s="1"/>
    </x:row>
    <x:row r="404" ht="54" customHeight="1">
      <x:c r="A404" s="17" t="n">
        <x:v>20</x:v>
      </x:c>
      <x:c r="B404" s="17" t="str">
        <x:v>대한적십자사</x:v>
      </x:c>
      <x:c r="C404" s="17" t="str">
        <x:v>[강원혈액원] 2026년 대체인력(사무보조) 채용 공고(2)</x:v>
      </x:c>
      <x:c r="D404" s="17" t="str">
        <x:v>강원</x:v>
      </x:c>
      <x:c r="E404" s="17" t="str">
        <x:v>비정규직</x:v>
      </x:c>
      <x:c r="F404" s="17" t="str">
        <x:v>2026.08.25</x:v>
      </x:c>
      <x:c r="G404" s="17" t="str">
        <x:v>26.09.14 D-5</x:v>
      </x:c>
      <x:c r="H404" s="17" t="str">
        <x:v>기간제·비정규</x:v>
      </x:c>
      <x:c r="I404" s="17" t="str">
        <x:v>세부조건 확인</x:v>
      </x:c>
      <x:c r="J404" s="17" t="str">
        <x:v>제한 문구 미탐지</x:v>
      </x:c>
      <x:c r="K404" s="17" t="str">
        <x:v>상세공고 확인</x:v>
      </x:c>
      <x:c r="L404" s="17" t="str">
        <x:v>상세공고 확인</x:v>
      </x:c>
      <x:c r="M404" s="17" t="str">
        <x:v>상세공고 확인</x:v>
      </x:c>
      <x:c r="N404" s="17" t="str">
        <x:v>상세공고 확인</x:v>
      </x:c>
      <x:c r="O404" s="17" t="str">
        <x:v>상세공고 확인</x:v>
      </x:c>
      <x:c r="P404" s="17" t="str">
        <x:v>상세공고 확인</x:v>
      </x:c>
      <x:c r="Q404" s="17" t="str">
        <x:v>상세공고 확인</x:v>
      </x:c>
      <x:c r="R404" s="17" t="str">
        <x:v>상세공고 확인</x:v>
      </x:c>
      <x:c r="S404" s="17" t="str">
        <x:v>상세공고 확인</x:v>
      </x:c>
      <x:c r="T404" s="17" t="str">
        <x:v>상세공고 확인</x:v>
      </x:c>
      <x:c r="U404" s="17" t="str">
        <x:v>상세공고 확인</x:v>
      </x:c>
      <x:c r="V404" s="17" t="str">
        <x:v>목록 항목 확인</x:v>
      </x:c>
      <x:c r="W404" s="17" t="str">
        <x:v>공고 상세에서 확인</x:v>
      </x:c>
      <x:c r="X404" s="18" t="str">
        <x:v>https://job.alio.go.kr/recruitview.do?idx=304221</x:v>
      </x:c>
      <x:c r="Y404" s="1"/>
      <x:c r="Z404" s="1"/>
    </x:row>
    <x:row r="405" ht="54" customHeight="1">
      <x:c r="A405" s="17" t="n">
        <x:v>19</x:v>
      </x:c>
      <x:c r="B405" s="17" t="str">
        <x:v>대한적십자사</x:v>
      </x:c>
      <x:c r="C405" s="17" t="str">
        <x:v>[강원혈액원] 2026년 대체인력(사무보조) 채용 공고(1)</x:v>
      </x:c>
      <x:c r="D405" s="17" t="str">
        <x:v>강원</x:v>
      </x:c>
      <x:c r="E405" s="17" t="str">
        <x:v>비정규직</x:v>
      </x:c>
      <x:c r="F405" s="17" t="str">
        <x:v>2026.08.25</x:v>
      </x:c>
      <x:c r="G405" s="17" t="str">
        <x:v>26.09.14 D-5</x:v>
      </x:c>
      <x:c r="H405" s="17" t="str">
        <x:v>기간제·비정규</x:v>
      </x:c>
      <x:c r="I405" s="17" t="str">
        <x:v>세부조건 확인</x:v>
      </x:c>
      <x:c r="J405" s="17" t="str">
        <x:v>제한 문구 미탐지</x:v>
      </x:c>
      <x:c r="K405" s="17" t="str">
        <x:v>상세공고 확인</x:v>
      </x:c>
      <x:c r="L405" s="17" t="str">
        <x:v>상세공고 확인</x:v>
      </x:c>
      <x:c r="M405" s="17" t="str">
        <x:v>상세공고 확인</x:v>
      </x:c>
      <x:c r="N405" s="17" t="str">
        <x:v>상세공고 확인</x:v>
      </x:c>
      <x:c r="O405" s="17" t="str">
        <x:v>상세공고 확인</x:v>
      </x:c>
      <x:c r="P405" s="17" t="str">
        <x:v>상세공고 확인</x:v>
      </x:c>
      <x:c r="Q405" s="17" t="str">
        <x:v>상세공고 확인</x:v>
      </x:c>
      <x:c r="R405" s="17" t="str">
        <x:v>상세공고 확인</x:v>
      </x:c>
      <x:c r="S405" s="17" t="str">
        <x:v>상세공고 확인</x:v>
      </x:c>
      <x:c r="T405" s="17" t="str">
        <x:v>상세공고 확인</x:v>
      </x:c>
      <x:c r="U405" s="17" t="str">
        <x:v>상세공고 확인</x:v>
      </x:c>
      <x:c r="V405" s="17" t="str">
        <x:v>목록 항목 확인</x:v>
      </x:c>
      <x:c r="W405" s="17" t="str">
        <x:v>공고 상세에서 확인</x:v>
      </x:c>
      <x:c r="X405" s="18" t="str">
        <x:v>https://job.alio.go.kr/recruitview.do?idx=304220</x:v>
      </x:c>
      <x:c r="Y405" s="1"/>
      <x:c r="Z405" s="1"/>
    </x:row>
    <x:row r="406" ht="54" customHeight="1">
      <x:c r="A406" s="17" t="n">
        <x:v>18</x:v>
      </x:c>
      <x:c r="B406" s="17" t="str">
        <x:v>영화진흥위원회</x:v>
      </x:c>
      <x:c r="C406" s="17" t="str">
        <x:v>2026년 공무직(시설관리) 공개채용 공고</x:v>
      </x:c>
      <x:c r="D406" s="17" t="str">
        <x:v>부산</x:v>
      </x:c>
      <x:c r="E406" s="17" t="str">
        <x:v>무기계약직</x:v>
      </x:c>
      <x:c r="F406" s="17" t="str">
        <x:v>2026.08.25</x:v>
      </x:c>
      <x:c r="G406" s="17" t="str">
        <x:v>26.09.09 D+0</x:v>
      </x:c>
      <x:c r="H406" s="17" t="str">
        <x:v>무기계약·공무직</x:v>
      </x:c>
      <x:c r="I406" s="17" t="str">
        <x:v>세부조건 확인</x:v>
      </x:c>
      <x:c r="J406" s="17" t="str">
        <x:v>제한 문구 미탐지</x:v>
      </x:c>
      <x:c r="K406" s="17" t="str">
        <x:v>상세공고 확인</x:v>
      </x:c>
      <x:c r="L406" s="17" t="str">
        <x:v>상세공고 확인</x:v>
      </x:c>
      <x:c r="M406" s="17" t="str">
        <x:v>상세공고 확인</x:v>
      </x:c>
      <x:c r="N406" s="17" t="str">
        <x:v>상세공고 확인</x:v>
      </x:c>
      <x:c r="O406" s="17" t="str">
        <x:v>상세공고 확인</x:v>
      </x:c>
      <x:c r="P406" s="17" t="str">
        <x:v>상세공고 확인</x:v>
      </x:c>
      <x:c r="Q406" s="17" t="str">
        <x:v>상세공고 확인</x:v>
      </x:c>
      <x:c r="R406" s="17" t="str">
        <x:v>상세공고 확인</x:v>
      </x:c>
      <x:c r="S406" s="17" t="str">
        <x:v>상세공고 확인</x:v>
      </x:c>
      <x:c r="T406" s="17" t="str">
        <x:v>상세공고 확인</x:v>
      </x:c>
      <x:c r="U406" s="17" t="str">
        <x:v>상세공고 확인</x:v>
      </x:c>
      <x:c r="V406" s="17" t="str">
        <x:v>목록 항목 확인</x:v>
      </x:c>
      <x:c r="W406" s="17" t="str">
        <x:v>공고 상세에서 확인</x:v>
      </x:c>
      <x:c r="X406" s="18" t="str">
        <x:v>https://job.alio.go.kr/recruitview.do?idx=304215</x:v>
      </x:c>
      <x:c r="Y406" s="1"/>
      <x:c r="Z406" s="1"/>
    </x:row>
    <x:row r="407" ht="54" customHeight="1">
      <x:c r="A407" s="17" t="n">
        <x:v>17</x:v>
      </x:c>
      <x:c r="B407" s="17" t="str">
        <x:v>영화진흥위원회</x:v>
      </x:c>
      <x:c r="C407" s="17" t="str">
        <x:v>2026년 건축직(일반계약직) 공개채용 재공고</x:v>
      </x:c>
      <x:c r="D407" s="17" t="str">
        <x:v>부산</x:v>
      </x:c>
      <x:c r="E407" s="17" t="str">
        <x:v>비정규직</x:v>
      </x:c>
      <x:c r="F407" s="17" t="str">
        <x:v>2026.08.25</x:v>
      </x:c>
      <x:c r="G407" s="17" t="str">
        <x:v>26.09.09 D+0</x:v>
      </x:c>
      <x:c r="H407" s="17" t="str">
        <x:v>기간제·비정규</x:v>
      </x:c>
      <x:c r="I407" s="17" t="str">
        <x:v>세부조건 확인</x:v>
      </x:c>
      <x:c r="J407" s="17" t="str">
        <x:v>제한 문구 미탐지</x:v>
      </x:c>
      <x:c r="K407" s="17" t="str">
        <x:v>상세공고 확인</x:v>
      </x:c>
      <x:c r="L407" s="17" t="str">
        <x:v>상세공고 확인</x:v>
      </x:c>
      <x:c r="M407" s="17" t="str">
        <x:v>상세공고 확인</x:v>
      </x:c>
      <x:c r="N407" s="17" t="str">
        <x:v>상세공고 확인</x:v>
      </x:c>
      <x:c r="O407" s="17" t="str">
        <x:v>상세공고 확인</x:v>
      </x:c>
      <x:c r="P407" s="17" t="str">
        <x:v>상세공고 확인</x:v>
      </x:c>
      <x:c r="Q407" s="17" t="str">
        <x:v>상세공고 확인</x:v>
      </x:c>
      <x:c r="R407" s="17" t="str">
        <x:v>상세공고 확인</x:v>
      </x:c>
      <x:c r="S407" s="17" t="str">
        <x:v>상세공고 확인</x:v>
      </x:c>
      <x:c r="T407" s="17" t="str">
        <x:v>상세공고 확인</x:v>
      </x:c>
      <x:c r="U407" s="17" t="str">
        <x:v>상세공고 확인</x:v>
      </x:c>
      <x:c r="V407" s="17" t="str">
        <x:v>목록 항목 확인</x:v>
      </x:c>
      <x:c r="W407" s="17" t="str">
        <x:v>공고 상세에서 확인</x:v>
      </x:c>
      <x:c r="X407" s="18" t="str">
        <x:v>https://job.alio.go.kr/recruitview.do?idx=304211</x:v>
      </x:c>
      <x:c r="Y407" s="1"/>
      <x:c r="Z407" s="1"/>
    </x:row>
    <x:row r="408" ht="54" customHeight="1">
      <x:c r="A408" s="17" t="n">
        <x:v>16</x:v>
      </x:c>
      <x:c r="B408" s="17" t="str">
        <x:v>국립생태원</x:v>
      </x:c>
      <x:c r="C408" s="17" t="str">
        <x:v>(수정) 2026년 국립생태원 신규직원 채용 공고</x:v>
      </x:c>
      <x:c r="D408" s="17" t="str">
        <x:v>충남 외 2</x:v>
      </x:c>
      <x:c r="E408" s="17" t="str">
        <x:v>무기계약직 외 2</x:v>
      </x:c>
      <x:c r="F408" s="17" t="str">
        <x:v>2026.08.24</x:v>
      </x:c>
      <x:c r="G408" s="17" t="str">
        <x:v>26.09.09 D+0</x:v>
      </x:c>
      <x:c r="H408" s="17" t="str">
        <x:v>무기계약·공무직</x:v>
      </x:c>
      <x:c r="I408" s="17" t="str">
        <x:v>세부조건 확인</x:v>
      </x:c>
      <x:c r="J408" s="17" t="str">
        <x:v>제한 문구 미탐지</x:v>
      </x:c>
      <x:c r="K408" s="17" t="str">
        <x:v>상세공고 확인</x:v>
      </x:c>
      <x:c r="L408" s="17" t="str">
        <x:v>상세공고 확인</x:v>
      </x:c>
      <x:c r="M408" s="17" t="str">
        <x:v>상세공고 확인</x:v>
      </x:c>
      <x:c r="N408" s="17" t="str">
        <x:v>상세공고 확인</x:v>
      </x:c>
      <x:c r="O408" s="17" t="str">
        <x:v>상세공고 확인</x:v>
      </x:c>
      <x:c r="P408" s="17" t="str">
        <x:v>상세공고 확인</x:v>
      </x:c>
      <x:c r="Q408" s="17" t="str">
        <x:v>상세공고 확인</x:v>
      </x:c>
      <x:c r="R408" s="17" t="str">
        <x:v>상세공고 확인</x:v>
      </x:c>
      <x:c r="S408" s="17" t="str">
        <x:v>상세공고 확인</x:v>
      </x:c>
      <x:c r="T408" s="17" t="str">
        <x:v>상세공고 확인</x:v>
      </x:c>
      <x:c r="U408" s="17" t="str">
        <x:v>상세공고 확인</x:v>
      </x:c>
      <x:c r="V408" s="17" t="str">
        <x:v>목록 항목 확인</x:v>
      </x:c>
      <x:c r="W408" s="17" t="str">
        <x:v>공고 상세에서 확인</x:v>
      </x:c>
      <x:c r="X408" s="18" t="str">
        <x:v>https://job.alio.go.kr/recruitview.do?idx=304226</x:v>
      </x:c>
      <x:c r="Y408" s="1"/>
      <x:c r="Z408" s="1"/>
    </x:row>
    <x:row r="409" ht="54" customHeight="1">
      <x:c r="A409" s="17" t="n">
        <x:v>15</x:v>
      </x:c>
      <x:c r="B409" s="17" t="str">
        <x:v>한국전력국제원자력대학원대학교</x:v>
      </x:c>
      <x:c r="C409" s="17" t="str">
        <x:v>2026학년도 전임교원 초빙공고</x:v>
      </x:c>
      <x:c r="D409" s="17" t="str">
        <x:v>울산</x:v>
      </x:c>
      <x:c r="E409" s="17" t="str">
        <x:v>정규직</x:v>
      </x:c>
      <x:c r="F409" s="17" t="str">
        <x:v>2026.08.18</x:v>
      </x:c>
      <x:c r="G409" s="17" t="str">
        <x:v>26.09.21 D-12</x:v>
      </x:c>
      <x:c r="H409" s="17" t="str">
        <x:v>정규직(세부 확인)</x:v>
      </x:c>
      <x:c r="I409" s="17" t="str">
        <x:v>세부조건 확인</x:v>
      </x:c>
      <x:c r="J409" s="17" t="str">
        <x:v>제한 문구 미탐지</x:v>
      </x:c>
      <x:c r="K409" s="17" t="str">
        <x:v>상세공고 확인</x:v>
      </x:c>
      <x:c r="L409" s="17" t="str">
        <x:v>상세공고 확인</x:v>
      </x:c>
      <x:c r="M409" s="17" t="str">
        <x:v>상세공고 확인</x:v>
      </x:c>
      <x:c r="N409" s="17" t="str">
        <x:v>상세공고 확인</x:v>
      </x:c>
      <x:c r="O409" s="17" t="str">
        <x:v>상세공고 확인</x:v>
      </x:c>
      <x:c r="P409" s="17" t="str">
        <x:v>상세공고 확인</x:v>
      </x:c>
      <x:c r="Q409" s="17" t="str">
        <x:v>상세공고 확인</x:v>
      </x:c>
      <x:c r="R409" s="17" t="str">
        <x:v>상세공고 확인</x:v>
      </x:c>
      <x:c r="S409" s="17" t="str">
        <x:v>상세공고 확인</x:v>
      </x:c>
      <x:c r="T409" s="17" t="str">
        <x:v>상세공고 확인</x:v>
      </x:c>
      <x:c r="U409" s="17" t="str">
        <x:v>상세공고 확인</x:v>
      </x:c>
      <x:c r="V409" s="17" t="str">
        <x:v>목록 항목 확인</x:v>
      </x:c>
      <x:c r="W409" s="17" t="str">
        <x:v>공고 상세에서 확인</x:v>
      </x:c>
      <x:c r="X409" s="18" t="str">
        <x:v>https://job.alio.go.kr/recruitview.do?idx=304031</x:v>
      </x:c>
      <x:c r="Y409" s="1"/>
      <x:c r="Z409" s="1"/>
    </x:row>
    <x:row r="410" ht="54" customHeight="1">
      <x:c r="A410" s="17" t="n">
        <x:v>14</x:v>
      </x:c>
      <x:c r="B410" s="17" t="str">
        <x:v>건축공간연구원</x:v>
      </x:c>
      <x:c r="C410" s="17" t="str">
        <x:v>건축공간연구원 정규직(부연구위원) 모집</x:v>
      </x:c>
      <x:c r="D410" s="17" t="str">
        <x:v>세종</x:v>
      </x:c>
      <x:c r="E410" s="17" t="str">
        <x:v>정규직</x:v>
      </x:c>
      <x:c r="F410" s="17" t="str">
        <x:v>2026.08.18</x:v>
      </x:c>
      <x:c r="G410" s="17" t="str">
        <x:v>26.09.09 D+0</x:v>
      </x:c>
      <x:c r="H410" s="17" t="str">
        <x:v>경력·전문직</x:v>
      </x:c>
      <x:c r="I410" s="17" t="str">
        <x:v>경력·전문 우선</x:v>
      </x:c>
      <x:c r="J410" s="17" t="str">
        <x:v>제한 문구 미탐지</x:v>
      </x:c>
      <x:c r="K410" s="17" t="str">
        <x:v>상세공고 확인</x:v>
      </x:c>
      <x:c r="L410" s="17" t="str">
        <x:v>상세공고 확인</x:v>
      </x:c>
      <x:c r="M410" s="17" t="str">
        <x:v>상세공고 확인</x:v>
      </x:c>
      <x:c r="N410" s="17" t="str">
        <x:v>상세공고 확인</x:v>
      </x:c>
      <x:c r="O410" s="17" t="str">
        <x:v>상세공고 확인</x:v>
      </x:c>
      <x:c r="P410" s="17" t="str">
        <x:v>상세공고 확인</x:v>
      </x:c>
      <x:c r="Q410" s="17" t="str">
        <x:v>상세공고 확인</x:v>
      </x:c>
      <x:c r="R410" s="17" t="str">
        <x:v>상세공고 확인</x:v>
      </x:c>
      <x:c r="S410" s="17" t="str">
        <x:v>상세공고 확인</x:v>
      </x:c>
      <x:c r="T410" s="17" t="str">
        <x:v>상세공고 확인</x:v>
      </x:c>
      <x:c r="U410" s="17" t="str">
        <x:v>상세공고 확인</x:v>
      </x:c>
      <x:c r="V410" s="17" t="str">
        <x:v>목록 항목 확인</x:v>
      </x:c>
      <x:c r="W410" s="17" t="str">
        <x:v>공고 상세에서 확인</x:v>
      </x:c>
      <x:c r="X410" s="18" t="str">
        <x:v>https://job.alio.go.kr/recruitview.do?idx=303987</x:v>
      </x:c>
      <x:c r="Y410" s="1"/>
      <x:c r="Z410" s="1"/>
    </x:row>
    <x:row r="411" ht="54" customHeight="1">
      <x:c r="A411" s="17" t="n">
        <x:v>13</x:v>
      </x:c>
      <x:c r="B411" s="17" t="str">
        <x:v>동남권원자력의학원</x:v>
      </x:c>
      <x:c r="C411" s="17" t="str">
        <x:v>(수정) [직원채용] 동남권원자력의학원 박사후 연수연구원(첨단방사선종양연구팀) 공개 채용</x:v>
      </x:c>
      <x:c r="D411" s="17" t="str">
        <x:v>부산</x:v>
      </x:c>
      <x:c r="E411" s="17" t="str">
        <x:v>비정규직</x:v>
      </x:c>
      <x:c r="F411" s="17" t="str">
        <x:v>2026.08.18</x:v>
      </x:c>
      <x:c r="G411" s="17" t="str">
        <x:v>26.09.10 D-1</x:v>
      </x:c>
      <x:c r="H411" s="17" t="str">
        <x:v>경력·전문직</x:v>
      </x:c>
      <x:c r="I411" s="17" t="str">
        <x:v>경력·전문 우선</x:v>
      </x:c>
      <x:c r="J411" s="17" t="str">
        <x:v>제한 문구 미탐지</x:v>
      </x:c>
      <x:c r="K411" s="17" t="str">
        <x:v>상세공고 확인</x:v>
      </x:c>
      <x:c r="L411" s="17" t="str">
        <x:v>상세공고 확인</x:v>
      </x:c>
      <x:c r="M411" s="17" t="str">
        <x:v>상세공고 확인</x:v>
      </x:c>
      <x:c r="N411" s="17" t="str">
        <x:v>상세공고 확인</x:v>
      </x:c>
      <x:c r="O411" s="17" t="str">
        <x:v>상세공고 확인</x:v>
      </x:c>
      <x:c r="P411" s="17" t="str">
        <x:v>상세공고 확인</x:v>
      </x:c>
      <x:c r="Q411" s="17" t="str">
        <x:v>상세공고 확인</x:v>
      </x:c>
      <x:c r="R411" s="17" t="str">
        <x:v>상세공고 확인</x:v>
      </x:c>
      <x:c r="S411" s="17" t="str">
        <x:v>상세공고 확인</x:v>
      </x:c>
      <x:c r="T411" s="17" t="str">
        <x:v>상세공고 확인</x:v>
      </x:c>
      <x:c r="U411" s="17" t="str">
        <x:v>상세공고 확인</x:v>
      </x:c>
      <x:c r="V411" s="17" t="str">
        <x:v>목록 항목 확인</x:v>
      </x:c>
      <x:c r="W411" s="17" t="str">
        <x:v>공고 상세에서 확인</x:v>
      </x:c>
      <x:c r="X411" s="18" t="str">
        <x:v>https://job.alio.go.kr/recruitview.do?idx=304454</x:v>
      </x:c>
      <x:c r="Y411" s="1"/>
      <x:c r="Z411" s="1"/>
    </x:row>
    <x:row r="412" ht="54" customHeight="1">
      <x:c r="A412" s="17" t="n">
        <x:v>12</x:v>
      </x:c>
      <x:c r="B412" s="17" t="str">
        <x:v>충남대학교병원</x:v>
      </x:c>
      <x:c r="C412" s="17" t="str">
        <x:v>[대전] 충남대학교병원 약사(시간제) 공개채용 공고(상시)</x:v>
      </x:c>
      <x:c r="D412" s="17" t="str">
        <x:v>대전</x:v>
      </x:c>
      <x:c r="E412" s="17" t="str">
        <x:v>비정규직</x:v>
      </x:c>
      <x:c r="F412" s="17" t="str">
        <x:v>2026.08.12</x:v>
      </x:c>
      <x:c r="G412" s="17" t="str">
        <x:v>27.08.11 D-336</x:v>
      </x:c>
      <x:c r="H412" s="17" t="str">
        <x:v>경력·전문직</x:v>
      </x:c>
      <x:c r="I412" s="17" t="str">
        <x:v>경력·전문 우선</x:v>
      </x:c>
      <x:c r="J412" s="17" t="str">
        <x:v>제한 문구 미탐지</x:v>
      </x:c>
      <x:c r="K412" s="17" t="str">
        <x:v>상세공고 확인</x:v>
      </x:c>
      <x:c r="L412" s="17" t="str">
        <x:v>상세공고 확인</x:v>
      </x:c>
      <x:c r="M412" s="17" t="str">
        <x:v>상세공고 확인</x:v>
      </x:c>
      <x:c r="N412" s="17" t="str">
        <x:v>상세공고 확인</x:v>
      </x:c>
      <x:c r="O412" s="17" t="str">
        <x:v>상세공고 확인</x:v>
      </x:c>
      <x:c r="P412" s="17" t="str">
        <x:v>상세공고 확인</x:v>
      </x:c>
      <x:c r="Q412" s="17" t="str">
        <x:v>상세공고 확인</x:v>
      </x:c>
      <x:c r="R412" s="17" t="str">
        <x:v>상세공고 확인</x:v>
      </x:c>
      <x:c r="S412" s="17" t="str">
        <x:v>상세공고 확인</x:v>
      </x:c>
      <x:c r="T412" s="17" t="str">
        <x:v>상세공고 확인</x:v>
      </x:c>
      <x:c r="U412" s="17" t="str">
        <x:v>상세공고 확인</x:v>
      </x:c>
      <x:c r="V412" s="17" t="str">
        <x:v>목록 항목 확인</x:v>
      </x:c>
      <x:c r="W412" s="17" t="str">
        <x:v>공고 상세에서 확인</x:v>
      </x:c>
      <x:c r="X412" s="18" t="str">
        <x:v>https://job.alio.go.kr/recruitview.do?idx=303805</x:v>
      </x:c>
      <x:c r="Y412" s="1"/>
      <x:c r="Z412" s="1"/>
    </x:row>
    <x:row r="413" ht="54" customHeight="1">
      <x:c r="A413" s="17" t="n">
        <x:v>11</x:v>
      </x:c>
      <x:c r="B413" s="17" t="str">
        <x:v>기초과학연구원</x:v>
      </x:c>
      <x:c r="C413" s="17" t="str">
        <x:v>제2026-2회 기초과학연구원 행성대기 그룹 연구직 및 박사후연구원 채용 공고</x:v>
      </x:c>
      <x:c r="D413" s="17" t="str">
        <x:v>대전</x:v>
      </x:c>
      <x:c r="E413" s="17" t="str">
        <x:v>비정규직</x:v>
      </x:c>
      <x:c r="F413" s="17" t="str">
        <x:v>2026.08.07</x:v>
      </x:c>
      <x:c r="G413" s="17" t="str">
        <x:v>26.09.17 D-8</x:v>
      </x:c>
      <x:c r="H413" s="17" t="str">
        <x:v>경력·전문직</x:v>
      </x:c>
      <x:c r="I413" s="17" t="str">
        <x:v>경력·전문 우선</x:v>
      </x:c>
      <x:c r="J413" s="17" t="str">
        <x:v>제한 문구 미탐지</x:v>
      </x:c>
      <x:c r="K413" s="17" t="str">
        <x:v>상세공고 확인</x:v>
      </x:c>
      <x:c r="L413" s="17" t="str">
        <x:v>상세공고 확인</x:v>
      </x:c>
      <x:c r="M413" s="17" t="str">
        <x:v>상세공고 확인</x:v>
      </x:c>
      <x:c r="N413" s="17" t="str">
        <x:v>상세공고 확인</x:v>
      </x:c>
      <x:c r="O413" s="17" t="str">
        <x:v>상세공고 확인</x:v>
      </x:c>
      <x:c r="P413" s="17" t="str">
        <x:v>상세공고 확인</x:v>
      </x:c>
      <x:c r="Q413" s="17" t="str">
        <x:v>상세공고 확인</x:v>
      </x:c>
      <x:c r="R413" s="17" t="str">
        <x:v>상세공고 확인</x:v>
      </x:c>
      <x:c r="S413" s="17" t="str">
        <x:v>상세공고 확인</x:v>
      </x:c>
      <x:c r="T413" s="17" t="str">
        <x:v>상세공고 확인</x:v>
      </x:c>
      <x:c r="U413" s="17" t="str">
        <x:v>상세공고 확인</x:v>
      </x:c>
      <x:c r="V413" s="17" t="str">
        <x:v>목록 항목 확인</x:v>
      </x:c>
      <x:c r="W413" s="17" t="str">
        <x:v>공고 상세에서 확인</x:v>
      </x:c>
      <x:c r="X413" s="18" t="str">
        <x:v>https://job.alio.go.kr/recruitview.do?idx=303306</x:v>
      </x:c>
      <x:c r="Y413" s="1"/>
      <x:c r="Z413" s="1"/>
    </x:row>
    <x:row r="414" ht="54" customHeight="1">
      <x:c r="A414" s="17" t="n">
        <x:v>10</x:v>
      </x:c>
      <x:c r="B414" s="17" t="str">
        <x:v>제주대학교병원</x:v>
      </x:c>
      <x:c r="C414" s="17" t="str">
        <x:v>제주대학교병원 휴직대체 계약직(약사_야간전담) 모집공고</x:v>
      </x:c>
      <x:c r="D414" s="17" t="str">
        <x:v>제주</x:v>
      </x:c>
      <x:c r="E414" s="17" t="str">
        <x:v>비정규직</x:v>
      </x:c>
      <x:c r="F414" s="17" t="str">
        <x:v>2026.08.05</x:v>
      </x:c>
      <x:c r="G414" s="17" t="str">
        <x:v>26.12.31 D-113</x:v>
      </x:c>
      <x:c r="H414" s="17" t="str">
        <x:v>경력·전문직</x:v>
      </x:c>
      <x:c r="I414" s="17" t="str">
        <x:v>경력·전문 우선</x:v>
      </x:c>
      <x:c r="J414" s="17" t="str">
        <x:v>제한 문구 미탐지</x:v>
      </x:c>
      <x:c r="K414" s="17" t="str">
        <x:v>상세공고 확인</x:v>
      </x:c>
      <x:c r="L414" s="17" t="str">
        <x:v>상세공고 확인</x:v>
      </x:c>
      <x:c r="M414" s="17" t="str">
        <x:v>상세공고 확인</x:v>
      </x:c>
      <x:c r="N414" s="17" t="str">
        <x:v>상세공고 확인</x:v>
      </x:c>
      <x:c r="O414" s="17" t="str">
        <x:v>상세공고 확인</x:v>
      </x:c>
      <x:c r="P414" s="17" t="str">
        <x:v>상세공고 확인</x:v>
      </x:c>
      <x:c r="Q414" s="17" t="str">
        <x:v>상세공고 확인</x:v>
      </x:c>
      <x:c r="R414" s="17" t="str">
        <x:v>상세공고 확인</x:v>
      </x:c>
      <x:c r="S414" s="17" t="str">
        <x:v>상세공고 확인</x:v>
      </x:c>
      <x:c r="T414" s="17" t="str">
        <x:v>상세공고 확인</x:v>
      </x:c>
      <x:c r="U414" s="17" t="str">
        <x:v>상세공고 확인</x:v>
      </x:c>
      <x:c r="V414" s="17" t="str">
        <x:v>목록 항목 확인</x:v>
      </x:c>
      <x:c r="W414" s="17" t="str">
        <x:v>공고 상세에서 확인</x:v>
      </x:c>
      <x:c r="X414" s="18" t="str">
        <x:v>https://job.alio.go.kr/recruitview.do?idx=303520</x:v>
      </x:c>
      <x:c r="Y414" s="1"/>
      <x:c r="Z414" s="1"/>
    </x:row>
    <x:row r="415" ht="54" customHeight="1">
      <x:c r="A415" s="17" t="n">
        <x:v>9</x:v>
      </x:c>
      <x:c r="B415" s="17" t="str">
        <x:v>충남대학교병원</x:v>
      </x:c>
      <x:c r="C415" s="17" t="str">
        <x:v>[대전] 소아청소년과(소아응급전담전) 계약직 의사 공개채용 모집공고(상시)</x:v>
      </x:c>
      <x:c r="D415" s="17" t="str">
        <x:v>대전</x:v>
      </x:c>
      <x:c r="E415" s="17" t="str">
        <x:v>비정규직</x:v>
      </x:c>
      <x:c r="F415" s="17" t="str">
        <x:v>2026.08.03</x:v>
      </x:c>
      <x:c r="G415" s="17" t="str">
        <x:v>27.06.30 D-294</x:v>
      </x:c>
      <x:c r="H415" s="17" t="str">
        <x:v>기간제·비정규</x:v>
      </x:c>
      <x:c r="I415" s="17" t="str">
        <x:v>세부조건 확인</x:v>
      </x:c>
      <x:c r="J415" s="17" t="str">
        <x:v>제한 문구 미탐지</x:v>
      </x:c>
      <x:c r="K415" s="17" t="str">
        <x:v>상세공고 확인</x:v>
      </x:c>
      <x:c r="L415" s="17" t="str">
        <x:v>상세공고 확인</x:v>
      </x:c>
      <x:c r="M415" s="17" t="str">
        <x:v>상세공고 확인</x:v>
      </x:c>
      <x:c r="N415" s="17" t="str">
        <x:v>상세공고 확인</x:v>
      </x:c>
      <x:c r="O415" s="17" t="str">
        <x:v>상세공고 확인</x:v>
      </x:c>
      <x:c r="P415" s="17" t="str">
        <x:v>상세공고 확인</x:v>
      </x:c>
      <x:c r="Q415" s="17" t="str">
        <x:v>상세공고 확인</x:v>
      </x:c>
      <x:c r="R415" s="17" t="str">
        <x:v>상세공고 확인</x:v>
      </x:c>
      <x:c r="S415" s="17" t="str">
        <x:v>상세공고 확인</x:v>
      </x:c>
      <x:c r="T415" s="17" t="str">
        <x:v>상세공고 확인</x:v>
      </x:c>
      <x:c r="U415" s="17" t="str">
        <x:v>상세공고 확인</x:v>
      </x:c>
      <x:c r="V415" s="17" t="str">
        <x:v>목록 항목 확인</x:v>
      </x:c>
      <x:c r="W415" s="17" t="str">
        <x:v>공고 상세에서 확인</x:v>
      </x:c>
      <x:c r="X415" s="18" t="str">
        <x:v>https://job.alio.go.kr/recruitview.do?idx=303398</x:v>
      </x:c>
      <x:c r="Y415" s="1"/>
      <x:c r="Z415" s="1"/>
    </x:row>
    <x:row r="416" ht="54" customHeight="1">
      <x:c r="A416" s="17" t="n">
        <x:v>8</x:v>
      </x:c>
      <x:c r="B416" s="17" t="str">
        <x:v>제주대학교병원</x:v>
      </x:c>
      <x:c r="C416" s="17" t="str">
        <x:v>「2026년도 블라인드 채용」 제주대학교병원 임상(진료)교수 모집공고(치과)</x:v>
      </x:c>
      <x:c r="D416" s="17" t="str">
        <x:v>제주</x:v>
      </x:c>
      <x:c r="E416" s="17" t="str">
        <x:v>정규직</x:v>
      </x:c>
      <x:c r="F416" s="17" t="str">
        <x:v>2026.07.31</x:v>
      </x:c>
      <x:c r="G416" s="17" t="str">
        <x:v>26.12.31 D-113</x:v>
      </x:c>
      <x:c r="H416" s="17" t="str">
        <x:v>경력·전문직</x:v>
      </x:c>
      <x:c r="I416" s="17" t="str">
        <x:v>경력·전문 우선</x:v>
      </x:c>
      <x:c r="J416" s="17" t="str">
        <x:v>제한 문구 미탐지</x:v>
      </x:c>
      <x:c r="K416" s="17" t="str">
        <x:v>상세공고 확인</x:v>
      </x:c>
      <x:c r="L416" s="17" t="str">
        <x:v>상세공고 확인</x:v>
      </x:c>
      <x:c r="M416" s="17" t="str">
        <x:v>상세공고 확인</x:v>
      </x:c>
      <x:c r="N416" s="17" t="str">
        <x:v>상세공고 확인</x:v>
      </x:c>
      <x:c r="O416" s="17" t="str">
        <x:v>상세공고 확인</x:v>
      </x:c>
      <x:c r="P416" s="17" t="str">
        <x:v>상세공고 확인</x:v>
      </x:c>
      <x:c r="Q416" s="17" t="str">
        <x:v>상세공고 확인</x:v>
      </x:c>
      <x:c r="R416" s="17" t="str">
        <x:v>상세공고 확인</x:v>
      </x:c>
      <x:c r="S416" s="17" t="str">
        <x:v>상세공고 확인</x:v>
      </x:c>
      <x:c r="T416" s="17" t="str">
        <x:v>상세공고 확인</x:v>
      </x:c>
      <x:c r="U416" s="17" t="str">
        <x:v>상세공고 확인</x:v>
      </x:c>
      <x:c r="V416" s="17" t="str">
        <x:v>목록 항목 확인</x:v>
      </x:c>
      <x:c r="W416" s="17" t="str">
        <x:v>공고 상세에서 확인</x:v>
      </x:c>
      <x:c r="X416" s="18" t="str">
        <x:v>https://job.alio.go.kr/recruitview.do?idx=303324</x:v>
      </x:c>
      <x:c r="Y416" s="1"/>
      <x:c r="Z416" s="1"/>
    </x:row>
    <x:row r="417" ht="54" customHeight="1">
      <x:c r="A417" s="17" t="n">
        <x:v>7</x:v>
      </x:c>
      <x:c r="B417" s="17" t="str">
        <x:v>경상국립대학교병원</x:v>
      </x:c>
      <x:c r="C417" s="17" t="str">
        <x:v>[창원경상국립대학교병원] 약무직 채용 공고</x:v>
      </x:c>
      <x:c r="D417" s="17" t="str">
        <x:v>경남</x:v>
      </x:c>
      <x:c r="E417" s="17" t="str">
        <x:v>정규직</x:v>
      </x:c>
      <x:c r="F417" s="17" t="str">
        <x:v>2026.07.31</x:v>
      </x:c>
      <x:c r="G417" s="17" t="str">
        <x:v>26.12.31 D-113</x:v>
      </x:c>
      <x:c r="H417" s="17" t="str">
        <x:v>정규직(세부 확인)</x:v>
      </x:c>
      <x:c r="I417" s="17" t="str">
        <x:v>세부조건 확인</x:v>
      </x:c>
      <x:c r="J417" s="17" t="str">
        <x:v>제한 문구 미탐지</x:v>
      </x:c>
      <x:c r="K417" s="17" t="str">
        <x:v>상세공고 확인</x:v>
      </x:c>
      <x:c r="L417" s="17" t="str">
        <x:v>상세공고 확인</x:v>
      </x:c>
      <x:c r="M417" s="17" t="str">
        <x:v>상세공고 확인</x:v>
      </x:c>
      <x:c r="N417" s="17" t="str">
        <x:v>상세공고 확인</x:v>
      </x:c>
      <x:c r="O417" s="17" t="str">
        <x:v>상세공고 확인</x:v>
      </x:c>
      <x:c r="P417" s="17" t="str">
        <x:v>상세공고 확인</x:v>
      </x:c>
      <x:c r="Q417" s="17" t="str">
        <x:v>상세공고 확인</x:v>
      </x:c>
      <x:c r="R417" s="17" t="str">
        <x:v>상세공고 확인</x:v>
      </x:c>
      <x:c r="S417" s="17" t="str">
        <x:v>상세공고 확인</x:v>
      </x:c>
      <x:c r="T417" s="17" t="str">
        <x:v>상세공고 확인</x:v>
      </x:c>
      <x:c r="U417" s="17" t="str">
        <x:v>상세공고 확인</x:v>
      </x:c>
      <x:c r="V417" s="17" t="str">
        <x:v>목록 항목 확인</x:v>
      </x:c>
      <x:c r="W417" s="17" t="str">
        <x:v>공고 상세에서 확인</x:v>
      </x:c>
      <x:c r="X417" s="18" t="str">
        <x:v>https://job.alio.go.kr/recruitview.do?idx=303321</x:v>
      </x:c>
      <x:c r="Y417" s="1"/>
      <x:c r="Z417" s="1"/>
    </x:row>
    <x:row r="418" ht="54" customHeight="1">
      <x:c r="A418" s="17" t="n">
        <x:v>6</x:v>
      </x:c>
      <x:c r="B418" s="17" t="str">
        <x:v>부산대학교병원</x:v>
      </x:c>
      <x:c r="C418" s="17" t="str">
        <x:v>권역호흡기전문질환센터 계약직의(예방의학과 전문의) 상시 모집</x:v>
      </x:c>
      <x:c r="D418" s="17" t="str">
        <x:v>부산</x:v>
      </x:c>
      <x:c r="E418" s="17" t="str">
        <x:v>비정규직</x:v>
      </x:c>
      <x:c r="F418" s="17" t="str">
        <x:v>2026.07.30</x:v>
      </x:c>
      <x:c r="G418" s="17" t="str">
        <x:v>26.12.31 D-113</x:v>
      </x:c>
      <x:c r="H418" s="17" t="str">
        <x:v>경력·전문직</x:v>
      </x:c>
      <x:c r="I418" s="17" t="str">
        <x:v>경력·전문 우선</x:v>
      </x:c>
      <x:c r="J418" s="17" t="str">
        <x:v>제한 문구 미탐지</x:v>
      </x:c>
      <x:c r="K418" s="17" t="str">
        <x:v>상세공고 확인</x:v>
      </x:c>
      <x:c r="L418" s="17" t="str">
        <x:v>상세공고 확인</x:v>
      </x:c>
      <x:c r="M418" s="17" t="str">
        <x:v>상세공고 확인</x:v>
      </x:c>
      <x:c r="N418" s="17" t="str">
        <x:v>상세공고 확인</x:v>
      </x:c>
      <x:c r="O418" s="17" t="str">
        <x:v>상세공고 확인</x:v>
      </x:c>
      <x:c r="P418" s="17" t="str">
        <x:v>상세공고 확인</x:v>
      </x:c>
      <x:c r="Q418" s="17" t="str">
        <x:v>상세공고 확인</x:v>
      </x:c>
      <x:c r="R418" s="17" t="str">
        <x:v>상세공고 확인</x:v>
      </x:c>
      <x:c r="S418" s="17" t="str">
        <x:v>상세공고 확인</x:v>
      </x:c>
      <x:c r="T418" s="17" t="str">
        <x:v>상세공고 확인</x:v>
      </x:c>
      <x:c r="U418" s="17" t="str">
        <x:v>상세공고 확인</x:v>
      </x:c>
      <x:c r="V418" s="17" t="str">
        <x:v>목록 항목 확인</x:v>
      </x:c>
      <x:c r="W418" s="17" t="str">
        <x:v>공고 상세에서 확인</x:v>
      </x:c>
      <x:c r="X418" s="18" t="str">
        <x:v>https://job.alio.go.kr/recruitview.do?idx=303209</x:v>
      </x:c>
      <x:c r="Y418" s="1"/>
      <x:c r="Z418" s="1"/>
    </x:row>
    <x:row r="419" ht="54" customHeight="1">
      <x:c r="A419" s="17" t="n">
        <x:v>5</x:v>
      </x:c>
      <x:c r="B419" s="17" t="str">
        <x:v>동남권원자력의학원</x:v>
      </x:c>
      <x:c r="C419" s="17" t="str">
        <x:v>(수정) [직원채용] 동남권원자력의학원 박사후 연수연구원(첨단방사선AI융합연구팀) 공개 채용</x:v>
      </x:c>
      <x:c r="D419" s="17" t="str">
        <x:v>부산</x:v>
      </x:c>
      <x:c r="E419" s="17" t="str">
        <x:v>비정규직</x:v>
      </x:c>
      <x:c r="F419" s="17" t="str">
        <x:v>2026.07.28</x:v>
      </x:c>
      <x:c r="G419" s="17" t="str">
        <x:v>26.09.09 D+0</x:v>
      </x:c>
      <x:c r="H419" s="17" t="str">
        <x:v>경력·전문직</x:v>
      </x:c>
      <x:c r="I419" s="17" t="str">
        <x:v>경력·전문 우선</x:v>
      </x:c>
      <x:c r="J419" s="17" t="str">
        <x:v>제한 문구 미탐지</x:v>
      </x:c>
      <x:c r="K419" s="17" t="str">
        <x:v>상세공고 확인</x:v>
      </x:c>
      <x:c r="L419" s="17" t="str">
        <x:v>상세공고 확인</x:v>
      </x:c>
      <x:c r="M419" s="17" t="str">
        <x:v>상세공고 확인</x:v>
      </x:c>
      <x:c r="N419" s="17" t="str">
        <x:v>상세공고 확인</x:v>
      </x:c>
      <x:c r="O419" s="17" t="str">
        <x:v>상세공고 확인</x:v>
      </x:c>
      <x:c r="P419" s="17" t="str">
        <x:v>상세공고 확인</x:v>
      </x:c>
      <x:c r="Q419" s="17" t="str">
        <x:v>상세공고 확인</x:v>
      </x:c>
      <x:c r="R419" s="17" t="str">
        <x:v>상세공고 확인</x:v>
      </x:c>
      <x:c r="S419" s="17" t="str">
        <x:v>상세공고 확인</x:v>
      </x:c>
      <x:c r="T419" s="17" t="str">
        <x:v>상세공고 확인</x:v>
      </x:c>
      <x:c r="U419" s="17" t="str">
        <x:v>상세공고 확인</x:v>
      </x:c>
      <x:c r="V419" s="17" t="str">
        <x:v>목록 항목 확인</x:v>
      </x:c>
      <x:c r="W419" s="17" t="str">
        <x:v>공고 상세에서 확인</x:v>
      </x:c>
      <x:c r="X419" s="18" t="str">
        <x:v>https://job.alio.go.kr/recruitview.do?idx=304303</x:v>
      </x:c>
      <x:c r="Y419" s="1"/>
      <x:c r="Z419" s="1"/>
    </x:row>
    <x:row r="420" ht="54" customHeight="1">
      <x:c r="A420" s="17" t="n">
        <x:v>4</x:v>
      </x:c>
      <x:c r="B420" s="17" t="str">
        <x:v>충남대학교병원</x:v>
      </x:c>
      <x:c r="C420" s="17" t="str">
        <x:v>[세종] 임상교수요원(류마티스내과) 공개채용 상시모집공고</x:v>
      </x:c>
      <x:c r="D420" s="17" t="str">
        <x:v>세종</x:v>
      </x:c>
      <x:c r="E420" s="17" t="str">
        <x:v>정규직</x:v>
      </x:c>
      <x:c r="F420" s="17" t="str">
        <x:v>2026.07.27</x:v>
      </x:c>
      <x:c r="G420" s="17" t="str">
        <x:v>26.12.31 D-113</x:v>
      </x:c>
      <x:c r="H420" s="17" t="str">
        <x:v>경력·전문직</x:v>
      </x:c>
      <x:c r="I420" s="17" t="str">
        <x:v>경력·전문 우선</x:v>
      </x:c>
      <x:c r="J420" s="17" t="str">
        <x:v>제한 문구 미탐지</x:v>
      </x:c>
      <x:c r="K420" s="17" t="str">
        <x:v>상세공고 확인</x:v>
      </x:c>
      <x:c r="L420" s="17" t="str">
        <x:v>상세공고 확인</x:v>
      </x:c>
      <x:c r="M420" s="17" t="str">
        <x:v>상세공고 확인</x:v>
      </x:c>
      <x:c r="N420" s="17" t="str">
        <x:v>상세공고 확인</x:v>
      </x:c>
      <x:c r="O420" s="17" t="str">
        <x:v>상세공고 확인</x:v>
      </x:c>
      <x:c r="P420" s="17" t="str">
        <x:v>상세공고 확인</x:v>
      </x:c>
      <x:c r="Q420" s="17" t="str">
        <x:v>상세공고 확인</x:v>
      </x:c>
      <x:c r="R420" s="17" t="str">
        <x:v>상세공고 확인</x:v>
      </x:c>
      <x:c r="S420" s="17" t="str">
        <x:v>상세공고 확인</x:v>
      </x:c>
      <x:c r="T420" s="17" t="str">
        <x:v>상세공고 확인</x:v>
      </x:c>
      <x:c r="U420" s="17" t="str">
        <x:v>상세공고 확인</x:v>
      </x:c>
      <x:c r="V420" s="17" t="str">
        <x:v>목록 항목 확인</x:v>
      </x:c>
      <x:c r="W420" s="17" t="str">
        <x:v>공고 상세에서 확인</x:v>
      </x:c>
      <x:c r="X420" s="18" t="str">
        <x:v>https://job.alio.go.kr/recruitview.do?idx=303089</x:v>
      </x:c>
      <x:c r="Y420" s="1"/>
      <x:c r="Z420" s="1"/>
    </x:row>
    <x:row r="421" ht="54" customHeight="1">
      <x:c r="A421" s="17" t="n">
        <x:v>3</x:v>
      </x:c>
      <x:c r="B421" s="17" t="str">
        <x:v>경상국립대학교병원</x:v>
      </x:c>
      <x:c r="C421" s="17" t="str">
        <x:v>[창원경상국립대학교병원] 전문직1등급(촉탁의) 채용공고</x:v>
      </x:c>
      <x:c r="D421" s="17" t="str">
        <x:v>경남</x:v>
      </x:c>
      <x:c r="E421" s="17" t="str">
        <x:v>비정규직</x:v>
      </x:c>
      <x:c r="F421" s="17" t="str">
        <x:v>2026.07.24</x:v>
      </x:c>
      <x:c r="G421" s="17" t="str">
        <x:v>26.12.31 D-113</x:v>
      </x:c>
      <x:c r="H421" s="17" t="str">
        <x:v>기간제·비정규</x:v>
      </x:c>
      <x:c r="I421" s="17" t="str">
        <x:v>세부조건 확인</x:v>
      </x:c>
      <x:c r="J421" s="17" t="str">
        <x:v>제한 문구 미탐지</x:v>
      </x:c>
      <x:c r="K421" s="17" t="str">
        <x:v>상세공고 확인</x:v>
      </x:c>
      <x:c r="L421" s="17" t="str">
        <x:v>상세공고 확인</x:v>
      </x:c>
      <x:c r="M421" s="17" t="str">
        <x:v>상세공고 확인</x:v>
      </x:c>
      <x:c r="N421" s="17" t="str">
        <x:v>상세공고 확인</x:v>
      </x:c>
      <x:c r="O421" s="17" t="str">
        <x:v>상세공고 확인</x:v>
      </x:c>
      <x:c r="P421" s="17" t="str">
        <x:v>상세공고 확인</x:v>
      </x:c>
      <x:c r="Q421" s="17" t="str">
        <x:v>상세공고 확인</x:v>
      </x:c>
      <x:c r="R421" s="17" t="str">
        <x:v>상세공고 확인</x:v>
      </x:c>
      <x:c r="S421" s="17" t="str">
        <x:v>상세공고 확인</x:v>
      </x:c>
      <x:c r="T421" s="17" t="str">
        <x:v>상세공고 확인</x:v>
      </x:c>
      <x:c r="U421" s="17" t="str">
        <x:v>상세공고 확인</x:v>
      </x:c>
      <x:c r="V421" s="17" t="str">
        <x:v>목록 항목 확인</x:v>
      </x:c>
      <x:c r="W421" s="17" t="str">
        <x:v>공고 상세에서 확인</x:v>
      </x:c>
      <x:c r="X421" s="18" t="str">
        <x:v>https://job.alio.go.kr/recruitview.do?idx=303058</x:v>
      </x:c>
      <x:c r="Y421" s="1"/>
      <x:c r="Z421" s="1"/>
    </x:row>
    <x:row r="422" ht="54" customHeight="1">
      <x:c r="A422" s="17" t="n">
        <x:v>2</x:v>
      </x:c>
      <x:c r="B422" s="17" t="str">
        <x:v>부산대학교병원</x:v>
      </x:c>
      <x:c r="C422" s="17" t="str">
        <x:v>2026년도 계약직의사 상시모집(6차) 공개채용 모집 공고</x:v>
      </x:c>
      <x:c r="D422" s="17" t="str">
        <x:v>경남</x:v>
      </x:c>
      <x:c r="E422" s="17" t="str">
        <x:v>비정규직</x:v>
      </x:c>
      <x:c r="F422" s="17" t="str">
        <x:v>2026.07.22</x:v>
      </x:c>
      <x:c r="G422" s="17" t="str">
        <x:v>26.12.31 D-113</x:v>
      </x:c>
      <x:c r="H422" s="17" t="str">
        <x:v>기간제·비정규</x:v>
      </x:c>
      <x:c r="I422" s="17" t="str">
        <x:v>세부조건 확인</x:v>
      </x:c>
      <x:c r="J422" s="17" t="str">
        <x:v>제한 문구 미탐지</x:v>
      </x:c>
      <x:c r="K422" s="17" t="str">
        <x:v>상세공고 확인</x:v>
      </x:c>
      <x:c r="L422" s="17" t="str">
        <x:v>상세공고 확인</x:v>
      </x:c>
      <x:c r="M422" s="17" t="str">
        <x:v>상세공고 확인</x:v>
      </x:c>
      <x:c r="N422" s="17" t="str">
        <x:v>상세공고 확인</x:v>
      </x:c>
      <x:c r="O422" s="17" t="str">
        <x:v>상세공고 확인</x:v>
      </x:c>
      <x:c r="P422" s="17" t="str">
        <x:v>상세공고 확인</x:v>
      </x:c>
      <x:c r="Q422" s="17" t="str">
        <x:v>상세공고 확인</x:v>
      </x:c>
      <x:c r="R422" s="17" t="str">
        <x:v>상세공고 확인</x:v>
      </x:c>
      <x:c r="S422" s="17" t="str">
        <x:v>상세공고 확인</x:v>
      </x:c>
      <x:c r="T422" s="17" t="str">
        <x:v>상세공고 확인</x:v>
      </x:c>
      <x:c r="U422" s="17" t="str">
        <x:v>상세공고 확인</x:v>
      </x:c>
      <x:c r="V422" s="17" t="str">
        <x:v>목록 항목 확인</x:v>
      </x:c>
      <x:c r="W422" s="17" t="str">
        <x:v>공고 상세에서 확인</x:v>
      </x:c>
      <x:c r="X422" s="18" t="str">
        <x:v>https://job.alio.go.kr/recruitview.do?idx=302871</x:v>
      </x:c>
      <x:c r="Y422" s="1"/>
      <x:c r="Z422" s="1"/>
    </x:row>
    <x:row r="423" ht="54" customHeight="1">
      <x:c r="A423" s="17" t="n">
        <x:v>1</x:v>
      </x:c>
      <x:c r="B423" s="17" t="str">
        <x:v>제주대학교병원</x:v>
      </x:c>
      <x:c r="C423" s="17" t="str">
        <x:v>2026년도 블라인드 채용 제주대학교병원 진료교수 모집공고(영상의학과)</x:v>
      </x:c>
      <x:c r="D423" s="17" t="str">
        <x:v>제주</x:v>
      </x:c>
      <x:c r="E423" s="17" t="str">
        <x:v>정규직</x:v>
      </x:c>
      <x:c r="F423" s="17" t="str">
        <x:v>2026.07.09</x:v>
      </x:c>
      <x:c r="G423" s="17" t="str">
        <x:v>26.12.31 D-113</x:v>
      </x:c>
      <x:c r="H423" s="17" t="str">
        <x:v>경력·전문직</x:v>
      </x:c>
      <x:c r="I423" s="17" t="str">
        <x:v>경력·전문 우선</x:v>
      </x:c>
      <x:c r="J423" s="17" t="str">
        <x:v>제한 문구 미탐지</x:v>
      </x:c>
      <x:c r="K423" s="17" t="str">
        <x:v>상세공고 확인</x:v>
      </x:c>
      <x:c r="L423" s="17" t="str">
        <x:v>상세공고 확인</x:v>
      </x:c>
      <x:c r="M423" s="17" t="str">
        <x:v>상세공고 확인</x:v>
      </x:c>
      <x:c r="N423" s="17" t="str">
        <x:v>상세공고 확인</x:v>
      </x:c>
      <x:c r="O423" s="17" t="str">
        <x:v>상세공고 확인</x:v>
      </x:c>
      <x:c r="P423" s="17" t="str">
        <x:v>상세공고 확인</x:v>
      </x:c>
      <x:c r="Q423" s="17" t="str">
        <x:v>상세공고 확인</x:v>
      </x:c>
      <x:c r="R423" s="17" t="str">
        <x:v>상세공고 확인</x:v>
      </x:c>
      <x:c r="S423" s="17" t="str">
        <x:v>상세공고 확인</x:v>
      </x:c>
      <x:c r="T423" s="17" t="str">
        <x:v>상세공고 확인</x:v>
      </x:c>
      <x:c r="U423" s="17" t="str">
        <x:v>상세공고 확인</x:v>
      </x:c>
      <x:c r="V423" s="17" t="str">
        <x:v>목록 항목 확인</x:v>
      </x:c>
      <x:c r="W423" s="17" t="str">
        <x:v>공고 상세에서 확인</x:v>
      </x:c>
      <x:c r="X423" s="18" t="str">
        <x:v>https://job.alio.go.kr/recruitview.do?idx=302536</x:v>
      </x:c>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1:X1"/>
    <x:mergeCell ref="A2:X2"/>
  </x:mergeCells>
  <x:conditionalFormatting sqref="I5:I423">
    <x:cfRule type="containsText" dxfId="5" priority="1" operator="containsText" text="우선검토"/>
    <x:cfRule type="containsText" dxfId="6" priority="2" operator="containsText" text="조건"/>
    <x:cfRule type="containsText" dxfId="7" priority="3" operator="containsText" text="경력"/>
  </x:conditionalFormatting>
  <x:conditionalFormatting sqref="V5:V423">
    <x:cfRule type="containsText" dxfId="8" priority="4" operator="containsText" text="상세 페이지"/>
  </x:conditionalFormatting>
  <x:pageMargins left="0.7" right="0.7" top="0.75" bottom="0.75" header="0.3" footer="0.3"/>
  <x:tableParts count="1">
    <x:tablePart xmlns:r="http://schemas.openxmlformats.org/officeDocument/2006/relationships" r:id="Rdb7ea991edd7421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26" hidden="0" customWidth="1"/>
    <x:col min="3" max="3" width="58" hidden="0" customWidth="1"/>
    <x:col min="4" max="4" width="16" hidden="0" customWidth="1"/>
    <x:col min="5" max="5" width="18" hidden="0" customWidth="1"/>
    <x:col min="6" max="6" width="24" hidden="0" customWidth="1"/>
    <x:col min="7" max="7" width="18" hidden="0" customWidth="1"/>
    <x:col min="8" max="8" width="13" hidden="0" customWidth="1"/>
    <x:col min="9" max="9" width="32" hidden="0" customWidth="1"/>
    <x:col min="10" max="10" width="58" hidden="0" customWidth="1"/>
    <x:col min="11" max="11" width="52" hidden="0" customWidth="1"/>
    <x:col min="12" max="12" width="22" hidden="0" customWidth="1"/>
    <x:col min="13" max="13" width="34" hidden="0" customWidth="1"/>
    <x:col min="14" max="14" width="62" hidden="0" customWidth="1"/>
    <x:col min="15" max="15" width="46" hidden="0" customWidth="1"/>
    <x:col min="16" max="16" width="50" hidden="0" customWidth="1"/>
    <x:col min="17" max="17" width="50" hidden="0" customWidth="1"/>
  </x:cols>
  <x:sheetData>
    <x:row r="1" ht="32" customHeight="1">
      <x:c r="A1" s="4" t="str">
        <x:v>일반 취준생 우선공고 상세검증 26건</x:v>
      </x:c>
      <x:c r="B1" s="4"/>
      <x:c r="C1" s="4"/>
      <x:c r="D1" s="4"/>
      <x:c r="E1" s="4"/>
      <x:c r="F1" s="4"/>
      <x:c r="G1" s="4"/>
      <x:c r="H1" s="4"/>
      <x:c r="I1" s="4"/>
      <x:c r="J1" s="4"/>
      <x:c r="K1" s="4"/>
      <x:c r="L1" s="4"/>
      <x:c r="M1" s="4"/>
      <x:c r="N1" s="4"/>
      <x:c r="O1" s="4"/>
      <x:c r="P1" s="4"/>
      <x:c r="Q1" s="4"/>
      <x:c r="R1" s="1"/>
      <x:c r="S1" s="1"/>
      <x:c r="T1" s="1"/>
      <x:c r="U1" s="1"/>
      <x:c r="V1" s="1"/>
      <x:c r="W1" s="1"/>
      <x:c r="X1" s="1"/>
      <x:c r="Y1" s="1"/>
      <x:c r="Z1" s="1"/>
    </x:row>
    <x:row r="2" ht="38" customHeight="1">
      <x:c r="A2" s="8" t="str">
        <x:v>JOB-ALIO 상세 페이지에서 직접 읽은 항목입니다. 첨부 PDF·FAQ·기관 채용홈페이지의 정정공고가 최종 기준이며, ‘미탐지’는 ‘없음’이 아닙니다.</x:v>
      </x:c>
      <x:c r="B2" s="8"/>
      <x:c r="C2" s="8"/>
      <x:c r="D2" s="8"/>
      <x:c r="E2" s="8"/>
      <x:c r="F2" s="8"/>
      <x:c r="G2" s="8"/>
      <x:c r="H2" s="8"/>
      <x:c r="I2" s="8"/>
      <x:c r="J2" s="8"/>
      <x:c r="K2" s="8"/>
      <x:c r="L2" s="8"/>
      <x:c r="M2" s="8"/>
      <x:c r="N2" s="8"/>
      <x:c r="O2" s="8"/>
      <x:c r="P2" s="8"/>
      <x:c r="Q2" s="8"/>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ht="36" customHeight="1">
      <x:c r="A4" s="14" t="str">
        <x:v>순번</x:v>
      </x:c>
      <x:c r="B4" s="14" t="str">
        <x:v>기관명</x:v>
      </x:c>
      <x:c r="C4" s="14" t="str">
        <x:v>공고명</x:v>
      </x:c>
      <x:c r="D4" s="14" t="str">
        <x:v>채용구분</x:v>
      </x:c>
      <x:c r="E4" s="14" t="str">
        <x:v>고용형태</x:v>
      </x:c>
      <x:c r="F4" s="14" t="str">
        <x:v>근무지</x:v>
      </x:c>
      <x:c r="G4" s="14" t="str">
        <x:v>학력</x:v>
      </x:c>
      <x:c r="H4" s="14" t="str">
        <x:v>채용인원</x:v>
      </x:c>
      <x:c r="I4" s="14" t="str">
        <x:v>NCS</x:v>
      </x:c>
      <x:c r="J4" s="14" t="str">
        <x:v>응시자격</x:v>
      </x:c>
      <x:c r="K4" s="14" t="str">
        <x:v>우대내용</x:v>
      </x:c>
      <x:c r="L4" s="14" t="str">
        <x:v>지역인재 탐지</x:v>
      </x:c>
      <x:c r="M4" s="14" t="str">
        <x:v>추가 자격증 언급</x:v>
      </x:c>
      <x:c r="N4" s="14" t="str">
        <x:v>전형절차</x:v>
      </x:c>
      <x:c r="O4" s="14" t="str">
        <x:v>면접정보</x:v>
      </x:c>
      <x:c r="P4" s="14" t="str">
        <x:v>입사지원 URL</x:v>
      </x:c>
      <x:c r="Q4" s="14" t="str">
        <x:v>JOB-ALIO 상세</x:v>
      </x:c>
      <x:c r="R4" s="1"/>
      <x:c r="S4" s="1"/>
      <x:c r="T4" s="1"/>
      <x:c r="U4" s="1"/>
      <x:c r="V4" s="1"/>
      <x:c r="W4" s="1"/>
      <x:c r="X4" s="1"/>
      <x:c r="Y4" s="1"/>
      <x:c r="Z4" s="1"/>
    </x:row>
    <x:row r="5" ht="76" customHeight="1">
      <x:c r="A5" s="17" t="n">
        <x:v>1</x:v>
      </x:c>
      <x:c r="B5" s="17" t="str">
        <x:v>국민연금공단</x:v>
      </x:c>
      <x:c r="C5" s="17" t="str">
        <x:v>2026년도 하반기 일반직 신입직원 공개채용 공고</x:v>
      </x:c>
      <x:c r="D5" s="17" t="str">
        <x:v>신입+경력</x:v>
      </x:c>
      <x:c r="E5" s="17" t="str">
        <x:v>정규직</x:v>
      </x:c>
      <x:c r="F5" s="17" t="str">
        <x:v>서울,인천,대전,대구,부산,울산,경기,강원,충남,충북,경북,경남,전북,제주,세종,전남광주</x:v>
      </x:c>
      <x:c r="G5" s="17" t="str">
        <x:v>학력무관,고졸</x:v>
      </x:c>
      <x:c r="H5" s="17" t="str">
        <x:v>90명</x:v>
      </x:c>
      <x:c r="I5" s="17" t="str">
        <x:v>경영.회계.사무,보건.의료,사회복지.종교,전기.전자</x:v>
      </x:c>
      <x:c r="J5" s="17" t="str">
        <x:v>(공통) 성별, 연령, 학력(사무직 6급보 제외) 제한 없음 [임용일 기준 공단 정년(60세) 이상자는 제외] 대한민국 국적을 보유한 사람 공단이 정한 임용일부터 교육 입소 및 근무가 가능한 사람 공단 인사규정 제11조(결격사유)에 해당하지 않는 사람 (6급 사무직 일반) 공통 지원자격 외 별도의 응시자격 없음 (6급 사무직 취업지원) 「국가유공자 등 예우 및 지원에 관한 법률」 등 보훈관계법률에 따른 취업지원대상자에 해당하는 사람 (6급 사무직 장애인) 「장애인고용촉진 및 직업재활법 시행령」 제3조 및 제4조에 따른 장애인에 해당하는 사람 (6급 사무직 사회형평) 국민기초생활수급자, 한부모가족, 북한이탈주민, 다문화가족, 자립준비청년, 의사상자 중 1가지 이상에 해당하는 사람 (6급 심사직) 간호사, 물리치료사, 임상병리사, 작업치료사 면허증 소지자로 면허 취득 이후 관련 업무 1년 이상 경력자* *「의료법」 제3조제2항제3호에 따른 병원급 의료기관의 임상 경력 또는 우리 공단 심사 경력(기초근평 의학적 평가 포함) ※ 경력환산은 365일을 1년으로 산정함 (6급 기술직 전기) 전기기사, 전기공사기사, 건축전기설비기술사 자격증 중 하나 이상 소지자로, 해당 자격증 취득 이후 관련분야 1년 이상 경력자 ※ 경력환산은 365일을 1년으로 산정함 (6급보 사무직 일반) 최종학력이 고등학교 졸업인 자 또는 이에 준하는 학력자 (6급보 사무직 사회형평) 최종학력이 고등학교 졸업인 자 또는 이에 준하는 학력자이면서 국민기초생활수급자, 한부모가족, 북한이탈주민, 다문화가족, 자립준비청년, 의사상자 중 1가지 이상에 해당하는 사람 * 자세한 사항은 첨부파일의 채용공고문을 참조</x:v>
      </x:c>
      <x:c r="K5" s="17" t="str">
        <x:v>[취업지원대상자] 모든 전형 단계 가점 5%, 10% [장애인] 서류전형, 필기전형 가점 10% [국민기초생활수급자, 한부모가족, 북한이탈주민, 다문화가족, 자립준비청년] 서류전형 가점 5% [의사상자] 서류전형 가점 3%,5% [청년인턴 경험자: 2025년 국민연금공단에서 3개월 이상 근무하고 청년인턴평가표상 미흡평가를 받지 않은 사람] 서류전형 가점 5% [청년인턴 경험자: 2025년 국민연금공단에서 3개월 이상 근무하고 청년인턴평가표상 미흡평가를 받지 않은 사람 중 우수 인턴으로 선정된 사람] 서류전형 가점 7% [2020년 이후 국민연금 대학생 홍보대사 수료자 중 우수활동자] 서류전형 가점 5% [국민연금공단 6급 시간선택제 근로자로 6개월 이상 근무하고 근무성적평정표 상 미흡평가를 받지 않은 사람] 서류전형 가점 5% [국민연금공단에서 특정 직렬 공무직으로 연속하여 6개월 이상 근무하고 근무성적평정표 상 미흡평가를 받지 않은 사람] 서류전형 가점 5% [혁신도시 조성 및 발전에 관한 특별법 제29조의2에 따른 이전지역(전북특별자치도) 인재] 이전지역인재 채용목표제를 따름 * 자세한 사항은 첨부파일의 채용공고문을 참조</x:v>
      </x:c>
      <x:c r="L5" s="17" t="str">
        <x:v>명시 있음</x:v>
      </x:c>
      <x:c r="M5" s="17" t="str">
        <x:v>의사, 간호사, 면허, 전기기사, 전기공사기사, 어학</x:v>
      </x:c>
      <x:c r="N5" s="17" t="str">
        <x:v>(서류전형) 10배수 [6급 사무직] 자기소개서(10점), 직무능력기술서(10점), 교육사항(20점), 자격사항(50점), 공인어학성적(10점) [6급 사무직(장애인 전형)] 자기소개서(10점), 직무능력기술서(10점) [6급 심사직, 기술직, 6급보 사무직] 자기소개서(10점), 직무능력기술서(10점), 교육사항(30점), 자격사항(50점) (인성검사) [6급 사무직, 심사직, 기술직, 6급보 사무직] 적격/부적격 판정(부적격자 불합격 처리) (필기시험) 2배수 [6급 사무직, 심사직, 기술직] 직업기초능력평가, 종합직무지식평가 [6급보 사무직] 직업기초능력평가 (면접전형) [6급 사무직, 심사직, 기술직, 6급보 사무직] 토론·상황·직무수행능력면접 (최종합격자 선발) [6급 사무직, 심사직, 기술직, 6급보 사무직] 필기시험성적과 면접전형 성적을 5:5로 합산하여 최종합격자 선발 * 자세한 사항은 첨부파일의 채용공고문을 참조</x:v>
      </x:c>
      <x:c r="O5" s="17" t="str">
        <x:v>(서류전형) 10배수 [6급 사무직] 자기소개서(10점), 직무능력기술서(10점), 교육사항(20점), 자격사항(50점), 공인어학성적(10점) [6급 사무직(장애인 전형)] 자기소개서(10점), 직무능력기술서(10점) [6급 심사직, 기술직, 6급보 사무직] 자기소개서(10점), 직무능력기술서(10점), 교육사항(30점), 자격사항(50점) (인성검사) [6급 사무직, 심사직, 기술직, 6급보 사무직] 적격/부적격 판정(부적격자 불합격 처리) (필기시험) 2배수 [6급 사무직, 심사직, 기술직] 직업기초능력평가, 종합직무지식평가 [6급보 사무직] 직업기초능력평가 (면접전형) [6급 사무직, 심사직, 기술직, 6급보 사무직] 토론·상황·직무수행능력면접 (최종합격자 선발) [6급 사무직, 심사직, 기술직, 6급보 사무직] 필기시험성적과 면접전형 성적을 5:5로 합산하여 최종합격자 선발 * 자세한 사항은 첨부파일의 채용공고문을 참조</x:v>
      </x:c>
      <x:c r="P5" s="17" t="str">
        <x:v>https://www.nps.or.kr/pnsgdnc/hiregdnc/getOHAE0004M0List.do?menuId=MN24000969</x:v>
      </x:c>
      <x:c r="Q5" s="18" t="str">
        <x:v>https://job.alio.go.kr/recruitview.do?idx=304656</x:v>
      </x:c>
      <x:c r="R5" s="1"/>
      <x:c r="S5" s="1"/>
      <x:c r="T5" s="1"/>
      <x:c r="U5" s="1"/>
      <x:c r="V5" s="1"/>
      <x:c r="W5" s="1"/>
      <x:c r="X5" s="1"/>
      <x:c r="Y5" s="1"/>
      <x:c r="Z5" s="1"/>
    </x:row>
    <x:row r="6" ht="76" customHeight="1">
      <x:c r="A6" s="17" t="n">
        <x:v>2</x:v>
      </x:c>
      <x:c r="B6" s="17" t="str">
        <x:v>한국산업은행</x:v>
      </x:c>
      <x:c r="C6" s="17" t="str">
        <x:v>한국산업은행 2027년 5급 신입행원(일반) 채용공고</x:v>
      </x:c>
      <x:c r="D6" s="17" t="str">
        <x:v>신입</x:v>
      </x:c>
      <x:c r="E6" s="17" t="str">
        <x:v>정규직</x:v>
      </x:c>
      <x:c r="F6" s="17" t="str">
        <x:v>서울,인천,대전,대구,부산,울산,경기,강원,충남,충북,경북,경남,전북,제주,세종,전남광주</x:v>
      </x:c>
      <x:c r="G6" s="17" t="str">
        <x:v>학력무관</x:v>
      </x:c>
      <x:c r="H6" s="17" t="str">
        <x:v>90명</x:v>
      </x:c>
      <x:c r="I6" s="17" t="str">
        <x:v>금융.보험</x:v>
      </x:c>
      <x:c r="J6" s="17" t="str">
        <x:v>○ 연령, 학력 및 전공 : 제한없음 * 단, 접수마감일 기준 만 60세 이상인 자 제외 ○ 병역의무를 필한 자 또는 면제받은 자 * 2026. 11. 30. 까지 전역 가능한 자 포함 ○ 채용확정(12월말 예정) 후 전일 근무 가능한 자 * 졸업, 재학, 이직절차, 군 전역 등의 사유로 입행 유예 불가 ○ 은행 인사내규상 결격사유에 해당되지 않는 자 ○「부패방지 및 국민권익위원회의 설치와 운영에 관한 법률」제82조 “비위면직자 등”에 해당되지 않는 자 ○ 접수기간중 공고되는 산업은행의 모든 채용공고 및 채용분야에 중복지원 불가 * 단,「2026년 3차 청년인턴 채용공고」와 중복지원 가능</x:v>
      </x:c>
      <x:c r="K6" s="17" t="str">
        <x:v>[공통사항] ○「장애인고용촉진 및 직업재활법」에 따른 장애인 ○「국가유공자등 예우 및 지원에 관한 법률」등에 의한 취업지원대상자는 관련 법령에 따라 우대 * 채용분야별 채용예정인원이3명이하인경우 가점 미부여 (단, 동점자 처리 시 우대) ○ 지방인재 (경영 및 경제 채용분야 지원자에 한함) - 영남, 충청·강원, 호남·제주 권역 소재 최종학교(대학원 제외) 졸업(예정)자 ※ 지방인재는 상기 권역별 소재한 부서 또는 영업점 근무를 통해 해당 지역 전문가로 육성함 * 단, 은행의 필요에 따라 본점, KDB Digital Square 또는 전국 영업점 직무를 수행할 수 있음 ○ 전문자격증 소지자 (접수마감일 기준 최종시험 합격자에 한함) - 대상 : 공인회계사, 보험계리사, 변리사, 세무사 * 국내/국외 모두 해당 ○ 산업은행 청년인턴 또는 장애인인턴 경험자 ○ 한국사능력검정시험 2급 이상 합격자 [AI분야에 한하여 적용] ○ 관련 분야* 석·박사학위 소지자 - 졸업자 및 학위취득자에 한함(수료자, 예정자 제외) * 해당학과가 『교육부 대학알리미(www.academyinfo.go.kr)/게시판/자료실/2026년 상반기 기준 학교별 학부/과(전공) 리스트』內 표준분류계열상 소계열분류가 응용소프트웨어공학, 인공지능공학, 전산학·컴퓨터공학, 정보·통신공학, 수학, 통계학인 경우(단, 표준분류계열상 대계열분류가 공학계열, 인문사회계열 또는 자연과학계열이면서 소계열분류가 N.C.E. 이나 실제 수학내용이 AI분야와 유관한 경우 또는 상기 리스트에 해당하지 않는 AI 관련 해외학위인 경우)</x:v>
      </x:c>
      <x:c r="L6" s="17" t="str">
        <x:v>미탐지(원문 재확인)</x:v>
      </x:c>
      <x:c r="M6" s="17" t="str">
        <x:v>한국사, 어학, TOEIC, 의사</x:v>
      </x:c>
      <x:c r="N6" s="17" t="str">
        <x:v>[서류심사] ○ 선발인원 ① (경영, 경제, IT, AI) 채용예정인원의 15배수 내외 ② (로봇·기계, 토목·건축, 바이오) 채용예정인원의 20배수 내외 * 동점자 처리기준에 의거 추가선발하거나, 적격자가 없는 경우 선발규모를 축소할 수 있음 ○ 지원동기 및 입행후 계획, 역량개발노력, 자기소개 등 ○ 어학성적 : 어학성적 충족여부 평가 - 지원서 작성시 기준점수 충족여부만 입력 - 기준점수 : TOEIC 750, NEW TEPS 358, TOEFL(iBT) 72, HSK 5급, JPT 800 (기타 어학성적 불인정) * 기준점수를 충족하지 못하는 경우에도 “미충족” 선택하여 지원 가능 ** ’26.1.21자 TOEFL(iBT) 점수체계 개정 기준 4점 ○ 합격자 발표 : 2026.9.29.(화) &lt; 어학성적 유효기간 (① 또는 ②) &gt; ① 국가공무원 채용시스템(gongmuwon.gosi.kr)에 사전등록하지 않은 어학성적 - `25. 1. 1자 이후 응시하여 지원서 접수마감일 기준 유효한 성적에 한하여 인정 ② 국가공무원 채용시스템(gongmuwon.gosi.kr)에 사전등록한 어학성적 - ‘21. 1. 1자 이후 응시하여 지원서 접수마감일까지 점수(등급)가 발표된 시험으로, 해당시험 유효기간 만료 전 국가공무원 채용 시스템을 통해 사전등록을 한 경우에 한하여 인정 ※ 사유불문하고 진위여부 검증이 되지 않을 경우 합격(채용)이 취소될 수 있음 [필기시험] ○ 선발인원 ① (경영, 경제, IT, AI) 채용예정인원의 3배수 내외 ② (로봇·기계, 토목·건축, 바이오) 채용예정인원의 4배수 내외 * 동점자 처리기준에 의거 추가선발하거나, 적격자가 없는 경우 선발규모를 축소할 수 있음 ○ 채용분야별 응시과목 ① (경영, 경제) 직무지식시험(경영학, 경제학 중 택1), 일반시사논술, NCS직업공통능력평가(의사소통, 수리, 문제해결, 디지털) ② (IT, AI, 로봇·기계, 토목·건축, 바이오) 직무지식시험(IT, AI(인공지능공학), 로봇·기계공학, 토목·건축공학, 생명공학 중 1과목 선택), NCS직업공통능력평가(의사소통, 수리, 문제해결, 디지털) ○ 필기시험 합격자 대상 온라인 방식으로 인성검사 실시하여 면접 참고자료로 활용 ○ 시험일자 : 2026.10.24.(토) ○ 합격자 발표 : 2026.10.30.(금) [1차면접] ○ 선발인원 ① (경영, 경제, IT, AI) 채용예정인원의 1.5배수 내외 ② (로봇·기계, 토목·건축, 바이오) 채용예정인원의 2배수 내외 * 동점자 처리기준에 의거 추가선발하거나, 적격자가 없는 경우 선발규모를 축소할 수 있음 ○ 면접유형 - (경영, 경제, 로봇·기계, 토목·건축, 바이오) 직무능력면접, P/T면접, 심층과제면접 - (IT) 직무능력면접, P/T면접, 코딩역량평가 - (AI) 직무능력면접, P/T면접, AI역량평가 * AI역량평가: 코딩 역량 기반 실전 AI 개발 및 활용능력을 이용하여 개인별로 주어진 과제 해결 ○ 평가기준 : 1차면접 점수(70%)와 필기시험 점수(30%)를 합산 ○ 면접일자 : 2026. 11월 중순 ○ 합격자 발표 : 2026.11.17.(화) [2차면접] ○ 선발인원 : 채용예정인원 - 채용분야별 일정인원*을 예비합격자로 선정 * (경영) 3명, (경제) 2명, (IT, AI, 로봇·기계, 토목·건축, 바이오) 각 1명 - 동점자 처리기준에 의거 추가선발하거나, 적격자가 없는 경우 선발규모를 축소할 수 있음 ○ 면접유형: 조별 인터뷰 ○ 면접일자 : 2026.11월 하순 ○ 채용예정자 발표 : 2026.12.2.(수)</x:v>
      </x:c>
      <x:c r="O6" s="17" t="str">
        <x:v>1자 이후 응시하여 지원서 접수마감일까지 점수(등급)가 발표된 시험으로, 해당시험 유효기간 만료 전 국가공무원 채용 시스템을 통해 사전등록을 한 경우에 한하여 인정 ※ 사유불문하고 진위여부 검증이 되지 않을 경우 합격(채용)이 취소될 수 있음 [필기시험] ○ 선발인원 ① (경영, 경제, IT, AI) 채용예정인원의 3배수 내외 ② (로봇·기계, 토목·건축, 바이오) 채용예정인원의 4배수 내외 * 동점자 처리기준에 의거 추가선발하거나, 적격자가 없는 경우 선발규모를 축소할 수 있음 ○ 채용분야별 응시과목 ① (경영, 경제) 직무지식시험(경영학, 경제학 중 택1), 일반시사논술, NCS직업공통능력평가(의사소통, 수리, 문제해결, 디지털) ② (IT, AI, 로봇·기계, 토목·건축, 바이오) 직무지식시험(IT, AI(인공지능공학), 로봇·기계공학, 토목·건축공학, 생명공학 중 1과목 선택), NCS직업공통능력평가(의사소통, 수리, 문제해결, 디지털) ○ 필기시험 합격자 대상 온라인 방식으로 인성검사 실시하여 면접 참고자료로 활용 ○ 시험일자 : 2026 / (금) [1차면접] ○ 선발인원 ① (경영, 경제, IT, AI) 채용예정인원의 1 / 5배수 내외 ② (로봇·기계, 토목·건축, 바이오) 채용예정인원의 2배수 내외 * 동점자 처리기준에 의거 추가선발하거나, 적격자가 없는 경우 선발규모를 축소할 수 있음 ○ 면접유형 - (경영, 경제, 로봇·기계, 토목·건축, 바이오) 직무능력면접, P/T면접, 심층과제면접 - (IT) 직무능력면접, P/T면접, 코딩역량평가 - (AI) 직무능력면접, P/T면접, AI역량평가 * AI역량평가: 코딩 역량 기반 실전 AI 개발 및 활용능력을 이용하여 개인별로 주어진 과제 해결 ○ 평가기준 : 1차면접 점수(70%)와 필기시험 점수(30%)를 합산 ○ 면접일자 : 2026 / (화) [2차면접] ○ 선발인원 : 채용예정인원 - 채용분야별 일정인원*을 예비합격자로 선정 * (경영) 3명, (경제) 2명, (IT, AI, 로봇·기계,…</x:v>
      </x:c>
      <x:c r="P6" s="17" t="str">
        <x:v>https://kdb.incruit.com/hire/viewhire.asp?projectid=126</x:v>
      </x:c>
      <x:c r="Q6" s="18" t="str">
        <x:v>https://job.alio.go.kr/recruitview.do?idx=304398</x:v>
      </x:c>
      <x:c r="R6" s="1"/>
      <x:c r="S6" s="1"/>
      <x:c r="T6" s="1"/>
      <x:c r="U6" s="1"/>
      <x:c r="V6" s="1"/>
      <x:c r="W6" s="1"/>
      <x:c r="X6" s="1"/>
      <x:c r="Y6" s="1"/>
      <x:c r="Z6" s="1"/>
    </x:row>
    <x:row r="7" ht="76" customHeight="1">
      <x:c r="A7" s="17" t="n">
        <x:v>3</x:v>
      </x:c>
      <x:c r="B7" s="17" t="str">
        <x:v>한국도로공사</x:v>
      </x:c>
      <x:c r="C7" s="17" t="str">
        <x:v>2026년 하반기 한국도로공사 일반직 신입(인턴)사원 채용 공고</x:v>
      </x:c>
      <x:c r="D7" s="17" t="str">
        <x:v>신입</x:v>
      </x:c>
      <x:c r="E7" s="17" t="str">
        <x:v>청년인턴(채용형)</x:v>
      </x:c>
      <x:c r="F7" s="17" t="str">
        <x:v>인천,대전,대구,울산,경기,강원,충남,충북,경북,경남,전북,전남광주</x:v>
      </x:c>
      <x:c r="G7" s="17" t="str">
        <x:v>학력무관,고졸</x:v>
      </x:c>
      <x:c r="H7" s="17" t="str">
        <x:v>100명</x:v>
      </x:c>
      <x:c r="I7" s="17" t="str">
        <x:v>경영.회계.사무,건설,기계,전기.전자,정보통신</x:v>
      </x:c>
      <x:c r="J7" s="17" t="str">
        <x:v>○ 5급 공채 [공통] o 공사 인사규정 제8조의 결격사유가 없는 자 o 학력, 성별, 연령 제한 없음 (단, 공사 정년에 도달하는 자 제외) o 인턴계약일(2026년 11월 중 예정)로부터 근무 가능자(사업장 전국 소재) o 병역사항 : 남자의 경우 병역필 또는 면제자(병역특례 근무 중인 자 제외) ※ 인턴계약일(2026년 11월 중 예정) 이전 전역 예정자 포함 [일반] o 어학성적 토익 700점 이상 등 (사회형평대상자 토익 500점 이상 등) o (AI인재, 기술직) 선발 분야의 기사 자격증 등 소지자 [보훈전형] o 「국가유공자 등 예우 및 지원에 관한 법률」등에 따른 취업지원대상자로서 취업지원대상자 증명서 발급 가능한 자 [장애인전형] o 「장애인고용촉진 및 직업재활법 시행령」 제3조에 따른 장애인으로 동시행령 제3조제2항의 증빙서류 제출이 가능한 자 ○ 8급공채 [공통] o 공사 인사규정 제8조의 결격사유가 없는 자 o 성별, 연령(자립준비청년전형 제외), 병역사항 및 어학성적 제한 없음 (단, 공사 정년에 도달하는 자 제외) ※ 병역 : 병역의무 기피한 자는 채용결격사유에 해당 o 인턴계약일(2026년 11월 중 예정)로 부터 근무 가능자(사업장 전국 소재) o 선발분야 기능사 이상 자격증 소지자 [고졸일반] o 원서접수 마감일 현재 최종학력이 고등학교 졸업(예정)인 자 ※ 전문대 이상 졸업(예정)자(최종학기를 이수(등록)한 자 등)는 지원 불가 ※ 고등학교 졸업예정자는 원서접수 마감일 현재 졸업예정증명서 발급이 가능한 자 [보훈전형] o 「국가유공자 등 예우 및 지원에 관한 법률」등에 따른 취업지원대상자로서 취업지원대상자 증명서 발급 가능한 자 [장애인전형] o 「장애인고용촉진 및 직업재활법 시행령」 제3조에 따른 장애인으로 동시행령 제3조제2항의 증빙서류 제출이 가능한 자 [자립준비청년전형] o 「아동복지법」 제16조 또는 제16조의3에 따라 보호조치가 종료되거나 해당 시설을 퇴소한 사람 중 만 34세 이하인 자</x:v>
      </x:c>
      <x:c r="K7" s="17" t="str">
        <x:v>o 직무관련 자격증 소지자 o 사회형평대상자(취업지원대상자, 장애인 등) o 세자녀 이상 가족 구성원 전원(부모 및 자녀 포함) o 자립준비청년 o 한국도로공사 체험형 청년인턴 최우수(우수) 및 일반 수료자 등</x:v>
      </x:c>
      <x:c r="L7" s="17" t="str">
        <x:v>미탐지(원문 재확인)</x:v>
      </x:c>
      <x:c r="M7" s="17" t="str">
        <x:v>어학, 토익</x:v>
      </x:c>
      <x:c r="N7" s="17" t="str">
        <x:v>○ 5급 공개채용 o 서류전형 : 적/부 - 합격배수 : 지원자격 충족 시 선발 o 필기전형 : 직업기초능력평가(30), 직무수행능력평가(70), 부가가점(해당 시) - 합격배수 : 최종선발예정인원 10명이상(1.5배수), 4명이상~9명이하(2.5배수), 2~3명(3배수), 1명(4배수) ※ 동점자 전원 선발, 선발인원 산정 시 소수점 첫째 자리에서 올림 o 면접전형(PT 및 역량 면접) : 필기(50), 면접(50), 법정가점(해당 시) - 합격배수 : 분야별 1배수 ※ 필기전형 점수의 경우, 부가점수 제외한 후 합산 ○ 8급 공개채용 o 서류전형 : 적/부 - 합격배수 : 지원자격 충족 시 선발 o 필기전형 : 직업기초능력평가(100), 부가가점(해당 시) - 합격배수 : 자립준비청년 전형(3배수), 그 외 전형(4배수) ※ 동점자 전원 선발, 선발인원 산정 시 소수점 첫째 자리에서 올림 o 면접전형(PT 및 역량 면접) : 필기(50), 면접(50), 법정가점(해당 시) - 합격배수 : 분야별 1배수 ※ 필기전형 점수의 경우, 부가점수 제외한 후 합산</x:v>
      </x:c>
      <x:c r="O7" s="17" t="str">
        <x:v>5배수), 2~3명(3배수), 1명(4배수) ※ 동점자 전원 선발, 선발인원 산정 시 소수점 첫째 자리에서 올림 o 면접전형(PT 및 역량 면접) : 필기(50), 면접(50), 법정가점(해당 시) - 합격배수 : 분야별 1배수 ※ 필기전형 점수의 경우, 부가점수 제외한 후 합산 ○ 8급 공개채용 o 서류전형 : 적/부 - 합격배수 : 지원자격 충족 시 선발 o 필기전형 : 직업기초능력평가(100), 부가가점(해당 시) - 합격배수 : 자립준비청년 전형(3배수), 그 외 전형(4배수) ※ 동점자 전원 선발, 선발인원 산정 시 소수점 첫째 자리에서 올림 o 면접전형(PT 및 역량 면접) : 필기(50), 면접(50), 법정가점(해당 시) - 합격배수 : 분야별 1배수 ※ 필기전형 점수의 경우, 부가점수 제외한 후 합산</x:v>
      </x:c>
      <x:c r="P7" s="17" t="str">
        <x:v>https://www.ex.co.kr/</x:v>
      </x:c>
      <x:c r="Q7" s="18" t="str">
        <x:v>https://job.alio.go.kr/recruitview.do?idx=304761</x:v>
      </x:c>
      <x:c r="R7" s="1"/>
      <x:c r="S7" s="1"/>
      <x:c r="T7" s="1"/>
      <x:c r="U7" s="1"/>
      <x:c r="V7" s="1"/>
      <x:c r="W7" s="1"/>
      <x:c r="X7" s="1"/>
      <x:c r="Y7" s="1"/>
      <x:c r="Z7" s="1"/>
    </x:row>
    <x:row r="8" ht="76" customHeight="1">
      <x:c r="A8" s="17" t="n">
        <x:v>4</x:v>
      </x:c>
      <x:c r="B8" s="17" t="str">
        <x:v>한국전력기술주식회사</x:v>
      </x:c>
      <x:c r="C8" s="17" t="str">
        <x:v>2026년도 하반기 정규직(신입사원) 채용공고</x:v>
      </x:c>
      <x:c r="D8" s="17" t="str">
        <x:v>신입</x:v>
      </x:c>
      <x:c r="E8" s="17" t="str">
        <x:v>정규직</x:v>
      </x:c>
      <x:c r="F8" s="17" t="str">
        <x:v>경북</x:v>
      </x:c>
      <x:c r="G8" s="17" t="str">
        <x:v>학력무관,고졸</x:v>
      </x:c>
      <x:c r="H8" s="17" t="str">
        <x:v>109명</x:v>
      </x:c>
      <x:c r="I8" s="17" t="str">
        <x:v>사업관리,경영.회계.사무,문화.예술.디자인.방송,건설,기계,전기.전자,정보통신,환경.에너지.안전</x:v>
      </x:c>
      <x:c r="J8" s="17" t="str">
        <x:v>1. 공통 응시자격 - 채용 전 과정 블라인드 방식 적용 - 입사 예정일에 근무가 가능한 자로, 회사 정년(만60세)에 도달하지 아니한 자 - 회사 인사규정 제8조 결격사유에 해당하지 않는 자(첨부 공고문 참조) - 현재 군 복무 중인 경우, 면접전형 시작일 이전 전역이 가능한 자 2. 채용분야별 응시자격 : 채용공고 참조</x:v>
      </x:c>
      <x:c r="K8" s="17" t="str">
        <x:v>1. 사회형평 인재(취업지원대상자, 장애인, 기초생활수급자, 자립준비청년(보호종료아동), 북한이탈주민, 다문화가족) 2. 당사 체험형 인턴 수료자 중 우수인턴 선정자 * 채용분야별 우대 대상 및 우대사항 관련 상세 내용 : 채용공고 참조</x:v>
      </x:c>
      <x:c r="L8" s="17" t="str">
        <x:v>미탐지(원문 재확인)</x:v>
      </x:c>
      <x:c r="M8" s="17" t="str"/>
      <x:c r="N8" s="17" t="str">
        <x:v>1. 전형절차 : 서류전형 → 필기전형 → 면접전형 → 최종합격 2. 전형별 합격 예정인원 - 채용인원 5명 이하 분야 : (서류) 30배수 / (필기) 5배수 / (최종) 1배수 - 채용인원 5명 초과 분야 : (서류) 30배수 / (필기) 3배수 / (최종) 1배수 * 보훈, 장애인 채용의 경우 응시자격 충족자 전원 서류전형 합격</x:v>
      </x:c>
      <x:c r="O8" s="17" t="str">
        <x:v>전형절차 : 서류전형 → 필기전형 → 면접전형 → 최종합격 2</x:v>
      </x:c>
      <x:c r="P8" s="17" t="str">
        <x:v>https://kepco-enc.cairos.co.kr/kepco-enc/</x:v>
      </x:c>
      <x:c r="Q8" s="18" t="str">
        <x:v>https://job.alio.go.kr/recruitview.do?idx=304717</x:v>
      </x:c>
      <x:c r="R8" s="1"/>
      <x:c r="S8" s="1"/>
      <x:c r="T8" s="1"/>
      <x:c r="U8" s="1"/>
      <x:c r="V8" s="1"/>
      <x:c r="W8" s="1"/>
      <x:c r="X8" s="1"/>
      <x:c r="Y8" s="1"/>
      <x:c r="Z8" s="1"/>
    </x:row>
    <x:row r="9" ht="76" customHeight="1">
      <x:c r="A9" s="17" t="n">
        <x:v>5</x:v>
      </x:c>
      <x:c r="B9" s="17" t="str">
        <x:v>중소기업은행</x:v>
      </x:c>
      <x:c r="C9" s="17" t="str">
        <x:v>2026년 하반기 IBK기업은행 일반직원(정규직) 수시채용 공고</x:v>
      </x:c>
      <x:c r="D9" s="17" t="str">
        <x:v>신입+경력</x:v>
      </x:c>
      <x:c r="E9" s="17" t="str">
        <x:v>정규직</x:v>
      </x:c>
      <x:c r="F9" s="17" t="str">
        <x:v>서울,인천,대전,대구,부산,울산,경기,강원,충남,충북,경북,경남,전북,제주,세종,전남광주,해외</x:v>
      </x:c>
      <x:c r="G9" s="17" t="str">
        <x:v>학력무관,대졸(4년),석사,박사</x:v>
      </x:c>
      <x:c r="H9" s="17" t="str">
        <x:v>15명</x:v>
      </x:c>
      <x:c r="I9" s="17" t="str">
        <x:v>금융.보험,정보통신</x:v>
      </x:c>
      <x:c r="J9" s="17" t="str">
        <x:v>□ 채용인원 : IT 사업관리·컨설팅(2명) / 플랫폼 아키텍처 설계·운영(2명) / 사이버위협 분석·대응(2명) / 글로벌 투자금융(2명) / 글로벌 금융(통번역사)(1명) / 자금운용(1명) / 보험계리사(2명) / 공인회계사(KICPA)(3명) □ 기본요건 - 남성의 경우 병역필* 또는 면제자* * 2026. 11. 30. 이전 전역 가능한 자 포함 - 채용 확정(12월 초·중순 예정) 후 전일 근무 가능한 자* * 졸업, 재학, 이직 절차, 군 전역 등의 사유로 입행 유예 불가 - 당행 인사규정 「채용의 제한」 대상자 등(“유의사항” 참조)이 아닌 자 □ 응시자격 - IT 사업관리·컨설팅 · 학사학위 이상 소지자(전공무관)로서 “IT 사업관리” 또는 “IT 컨설팅” 관련 업무* 경력 5년 이상 보유자 * 사업기획, 투자심의, 사업관리(PM, PMO), 정보화컨설팅, 대가 산정 등 - 플랫폼 아키텍처 설계·운영 · 학사학위 이상 소지자(관련 전공*)로서 “컨테이너 기반 아키텍처 설계·운영” 관련 업무 경력 5년 이상 보유자 - 사이버위협 분석·대응 ※ 다음 ①, ② 中 1개 이상 해당하는 자 ① 석사학위 이상 소지자(전공무관)로서 “침해대응” 또는 “모의해킹” 관련 업무 경력 3년 이상 보유자 ② 학사학위 소지자(전공무관)로서 “침해대응” 또는 “모의해킹” 관련 업무 경력 5년 이상 보유자 - 글로벌 투자금융 · 학사학위 이상 소지자(전공무관)로서 “IB” 또는 “투자·운용” 관련 업무* 경력 2년 이상 보유자 * IB : 인수금융, 기업금융, 구조화, PF, 부동산·인프라금융, 오브젝트금융 등 투자·운용 : 채권, FX, 선물·옵션, 대체투자, 포트폴리오 리스크관리 - 글로벌 금융(통번역사) · 통역번역(통번역)대학원(한영) 졸업 또는 수료자로서 “글로벌사업” 관련 업무* 경력 3년 이상 보유자 * 글로벌사업 전략 수립 및 기획, 해외법인(지사) 신설, 해외기관 협력사업 발굴 및 FI사업 추진 등 - 자금운용 · 학사학위 이상 소지자(전공무관)로서 “자금운용” 관련 업무 경력 5년 이상 보유자 - 보험계리사 · 보험계리사 등록증 소지자로서, “퇴직연금계리(IFRS계리평가 또는 재정검증)” 관련 업무 경력 1년 이상 보유자 - 공인회계사(KICPA) · 공인회계사(KICPA) 등록증 소지자</x:v>
      </x:c>
      <x:c r="K9" s="17" t="str">
        <x:v>□ 「국가유공자 등 예우 및 지원에 관한 법률」에 따라 지원자의 수가 채용예정인원과 같거나 적은 경우 취업지원대상자에게 가점을 부여합니다.</x:v>
      </x:c>
      <x:c r="L9" s="17" t="str">
        <x:v>미탐지(원문 재확인)</x:v>
      </x:c>
      <x:c r="M9" s="17" t="str">
        <x:v>의사, 어학</x:v>
      </x:c>
      <x:c r="N9" s="17" t="str">
        <x:v>□ 채용절차 및 방법 지원서 접수 &gt; 서류심사 &gt; 실기시험 &gt; 면접시험 &gt; 최종 합격자 발표(신체검사) 1. 지원서 접수 - 접수기간 : '26. 9. 4.(금) ∼ 9. 21.(월) 10시 - 접수방법 : 채용전용 홈페이지(http://ibk.incruit.com)에 지원서 등록 2. 서류심사 - 합격인원 : 분야별 채용인원의 6배수 이내 - 서류심사 합격자 발표 : ’26. 10월 초순 예정(홈페이지 발표) 3. 실기시험 - 일정/장소 : ’26. 10. 12.(월) ~ 10. 20.(화) 中 예정/본점 ※ 일정, 장소 변동가능 - 합격인원 : 분야별 채용인원의 3배수 이내 - 실기시험 합격자 발표 : ’26. 10월 하순 예정 4. 면접시험 - 일정/장소 : ’26. 10. 26.(월) ~ 10. 30.(금) 中 예정/본점 ※ 일정, 장소 변동가능 - 합격인원 : 15명(분야별 채용인원의 1배수 이내) - 면접시험 합격자 발표 : ’26. 11월 중순 예정 ※ 유의사항 - 전염병 등 국내외 특수한 상황 발생 또는 IBK기업은행의 사정 등에 따라 전형방법 및 일정 등은 변경될 수 있음 - 전형별 합격여부는 채용전용 홈페이지를 통해 발표예정(유선 확인 불가) - 합격자 발표 미확인, 연락불능 등으로 각 전형에 미참여한 경우 또는 입력사항 기재착오, 누락 등으로 인한 불이익은 지원자에게 책임이 있음 - 최종 합격자 발표 후 일정기간 內 입행포기자 등 발생 時 분야별 면접시험 점수의 차순위자에게 추가 합격기회를 부여할 예정 (채용전형별 최소 합격기준을 충족하는 자에 한하며 동점시 동점자 처리기준에 따름) - 본 채용전형은 블라인드 채용으로 전형 全과정에서 학교명, 출신지역, 가족관계, 성별, 나이 등 직·간접적으로 편견이 개입될 수 있는 인적사항을 노출하는 경우 불이익이 있을 수 있음 - 개인사정에 따른 각 전형의 일정 변경은 불가함 - 근무 및 처우 등 채용공고에 기재하지 않은 사항은 당행 내규에 따름 - 응시인원 미달 또는 전형결과 적격자가 없다고 판단되는 경우 선발하지 않거나, 선발 예정인원보다 적게 선발할 수 있음 - 증빙서류를 사전에 발급·점검한 후 입행지원서의 지원자격 사항 등을 정확히 입력하시기 바람 - 제출한 서류에 대한 진위 여부 등을 확인 후 최종 입행처리 예정 - 국가유공자 등 예우 및 지원에 관한 법률에 따라 지원자의 수가 채용 예정인원과 같거나 그보다 적은 경우 취업지원대상자에게 가점 부여 - 채용공고에 기재되지 않은 각종 세부 내용은 FAQ(채용전용 홈페이지) 참조 ※ 수행 직무, 동점자 처리기준, 제출서류, 기타 유의사항 등 자세한 내용은 채용공고문을 참고하여 주시기 바랍니다. ※ 인사부 채용담당자 연락처(02-729-7364, 7929, 6395)</x:v>
      </x:c>
      <x:c r="O9" s="17" t="str">
        <x:v>□ 채용절차 및 방법 지원서 접수 &gt; 서류심사 &gt; 실기시험 &gt; 면접시험 &gt; 최종 합격자 발표(신체검사) 1 / 면접시험 - 일정/장소 : ’26 / (금) 中 예정/본점 ※ 일정, 장소 변동가능 - 합격인원 : 15명(분야별 채용인원의 1배수 이내) - 면접시험 합격자 발표 : ’26 / 11월 중순 예정 ※ 유의사항 - 전염병 등 국내외 특수한 상황 발생 또는 IBK기업은행의 사정 등에 따라 전형방법 및 일정 등은 변경될 수 있음 - 전형별 합격여부는 채용전용 홈페이지를 통해 발표예정(유선 확인 불가) - 합격자 발표 미확인, 연락불능 등으로 각 전형에 미참여한 경우 또는 입력사항 기재착오, 누락 등으로 인한 불이익은 지원자에게 책임이 있음 - 최종 합격자 발표 후 일정기간 內 입행포기자 등 발생 時 분야별 면접시험 점수의 차순위자에게 추가 합격기회를 부여할 예정 (채용전형별 최소 합격기준을 충족하는 자에 한하며 동점시 동점자 처리기준에 따름) - 본 채용전형은 블라인드 채용으로 전형 全과정에서 학교명, 출신지역, 가족관계, 성별, 나이 등 직·간접적으로 편견이 개입될 수 있는 인적사항을 노출하는 경우 불이익이 있을 수 있음 - 개인사정에 따른 각 전형의 일정 변경은 불가함 - 근무 및 처우 등 채용공고에 기재하지 않은 사항은 당행 내규에 따름 - 응시인원 미달 또는 전형결과 적격자가 없다고 판단되는 경우 선발하지 않거나, 선발 예정인원보다 적게 선발할 수 있음 - 증빙서류를 사전에 발급·점검한 후 입행지원서의 지원자격 사항 등을 정확히 입력하시기 바람 - 제출한 서류에 대한 진위 여부 등을 확인 후 최종 입행처리 예정 - 국가유공자 등 예우 및 지원에 관한 법률에 따라 지원자의 수가 채용 예정인원과 같거나 그보다 적은 경우 취업지원대상자에게 가점 부여 - 채용공고에 기재되지 않은 각종 세부 내용은 FAQ(채용전용 홈페이지) 참조 ※ 수행 직무, 동점자 처리기준, 제출서류, 기타 유의사항 등 자세한 내용은 채용공고문을 참고하여 주시기 바랍니다</x:v>
      </x:c>
      <x:c r="P9" s="17" t="str">
        <x:v>https://ibk.incruit.com/</x:v>
      </x:c>
      <x:c r="Q9" s="18" t="str">
        <x:v>https://job.alio.go.kr/recruitview.do?idx=304557</x:v>
      </x:c>
      <x:c r="R9" s="1"/>
      <x:c r="S9" s="1"/>
      <x:c r="T9" s="1"/>
      <x:c r="U9" s="1"/>
      <x:c r="V9" s="1"/>
      <x:c r="W9" s="1"/>
      <x:c r="X9" s="1"/>
      <x:c r="Y9" s="1"/>
      <x:c r="Z9" s="1"/>
    </x:row>
    <x:row r="10" ht="76" customHeight="1">
      <x:c r="A10" s="17" t="n">
        <x:v>6</x:v>
      </x:c>
      <x:c r="B10" s="17" t="str">
        <x:v>부산항만공사</x:v>
      </x:c>
      <x:c r="C10" s="17" t="str">
        <x:v>부산항만공사 정규직(신입) 채용 공고</x:v>
      </x:c>
      <x:c r="D10" s="17" t="str">
        <x:v>신입</x:v>
      </x:c>
      <x:c r="E10" s="17" t="str">
        <x:v>정규직</x:v>
      </x:c>
      <x:c r="F10" s="17" t="str">
        <x:v>부산</x:v>
      </x:c>
      <x:c r="G10" s="17" t="str">
        <x:v>학력무관,고졸</x:v>
      </x:c>
      <x:c r="H10" s="17" t="str">
        <x:v>11명</x:v>
      </x:c>
      <x:c r="I10" s="17" t="str">
        <x:v>경영.회계.사무,건설</x:v>
      </x:c>
      <x:c r="J10" s="17" t="str">
        <x:v>[공통] ○ 블라인드 채용 가이드라인에 따라 학력ㆍ성별ㆍ전공 등 제한 없음- 단, 임용예정일(2026.11.30.) 기준 공사 정년(60세) 미만인 자 ○ 남성의 경우 병역필 또는 면제자- 고졸 분야 지원 시 병역 미필자 가능, 현역인 경우 최종합격자 발표일 이전 전역 가능한 자 ○ 부산항만공사 취업규칙 제9조 등에 따른 채용 결격사유가 없는 자 ○ 임용 즉시 근무 가능한 자 ○ 모집분야별 중복지원 불가 및 중복지원 시 불합격 처리 ○ [한국사] 국사편찬위원회 한국사능력검정시험 3급 이상 합격자- 유효기간 해당사항 없음 [사무(일반, 취업지원), 기술(토목,건축)] 공인 영어성적 기준 점수(TOEIC 기준 700점 등) 이상인 자 [사무] ㅇ 사무(고졸) : 최종학력이 고등학교 졸업 또는 졸업예정인 자, 공고마감일(2026.9.17.) 기준 고졸 검정고시 합격일로부터 1년이 경과하지 않은 자 ㅇ 사무(취업지원) : 「국가유공자 등 예우 및 지원에 관한 법률」 등 보훈관계법률에 의한 취업지원(보호) 대상자 [기술] ㅇ 기술(토목) : 「국가기술자격법」에서 정하는 토목산업기사 이상 자격증 보유자 ㅇ 기술(건축) : 「국가기술자격법」에서 정하는 건축산업기사 이상 자격증 보유자</x:v>
      </x:c>
      <x:c r="K10" s="17" t="str">
        <x:v>ㅇ 취업지원대상자 : 필기, 면접전형 가점(총점의 5% 또는 10%) ㅇ 장애인 : 필기, 면접전형 가점(총점의 5%) ㅇ 중증장애인 : 필기, 면접전형 가점(총점의 7%) ㅇ 저소득층 : 필기, 면접전형 가점(총점의 3%) ㅇ 다문화가족 : 필기, 면접전형 가점(총점의 3%) ㅇ 북한이탈주민 : 필기, 면접전형 가점(총점의 3%) ㅇ 자립준비청년 : 필기, 면접전형 가점(총점의 5%) ㅇ 우수인턴 : 필기, 면접전형 가점(총점의 1~3%)</x:v>
      </x:c>
      <x:c r="L10" s="17" t="str">
        <x:v>미탐지(원문 재확인)</x:v>
      </x:c>
      <x:c r="M10" s="17" t="str">
        <x:v>한국사, TOEIC, 토목산업기사, 건축산업기사</x:v>
      </x:c>
      <x:c r="N10" s="17" t="str">
        <x:v>1차(필기·서류전형) : 인성검사 적합자에 한하여 직업공통능력평가 및 직무수행능력평가(고졸, 취업지원 분야 제외)에서 득점한 점수와 가점(해당자에 한함)을 합산한 총점의 고득점자순으로 서류 적/부 판단 (5배수 선발 예정) 2차(면접전형) : 토론면접(30%), 역량(집단·개별)면접(70%) (1배수 선발 예정) ※ 자세한 사항은 첨부파일의 채용공고문 참고</x:v>
      </x:c>
      <x:c r="O10" s="17" t="str">
        <x:v>1차(필기·서류전형) : 인성검사 적합자에 한하여 직업공통능력평가 및 직무수행능력평가(고졸, 취업지원 분야 제외)에서 득점한 점수와 가점(해당자에 한함)을 합산한 총점의 고득점자순으로 서류 적/부 판단 (5배수 선발 예정) 2차(면접전형) : 토론면접(30%), 역량(집단·개별)면접(70%) (1배수 선발 예정) ※ 자세한 사항은 첨부파일의 채용공고문 참고</x:v>
      </x:c>
      <x:c r="P10" s="17" t="str">
        <x:v>https://www.busanpa.com/board/list.bpa?boardId=BBS_0000046&amp;menuCd=DOM_000000107001001000&amp;contentsSid=47</x:v>
      </x:c>
      <x:c r="Q10" s="18" t="str">
        <x:v>https://job.alio.go.kr/recruitview.do?idx=304555</x:v>
      </x:c>
      <x:c r="R10" s="1"/>
      <x:c r="S10" s="1"/>
      <x:c r="T10" s="1"/>
      <x:c r="U10" s="1"/>
      <x:c r="V10" s="1"/>
      <x:c r="W10" s="1"/>
      <x:c r="X10" s="1"/>
      <x:c r="Y10" s="1"/>
      <x:c r="Z10" s="1"/>
    </x:row>
    <x:row r="11" ht="76" customHeight="1">
      <x:c r="A11" s="17" t="n">
        <x:v>7</x:v>
      </x:c>
      <x:c r="B11" s="17" t="str">
        <x:v>한국전력공사</x:v>
      </x:c>
      <x:c r="C11" s="17" t="str">
        <x:v>2026년도 하반기 4직급 대졸수준 신입사원 채용공고</x:v>
      </x:c>
      <x:c r="D11" s="17" t="str">
        <x:v>신입</x:v>
      </x:c>
      <x:c r="E11" s="17" t="str">
        <x:v>정규직</x:v>
      </x:c>
      <x:c r="F11" s="17" t="str">
        <x:v>서울,인천,대전,대구,부산,울산,경기,강원,충남,충북,경북,경남,전북,제주,세종,전남광주</x:v>
      </x:c>
      <x:c r="G11" s="17" t="str">
        <x:v>학력무관</x:v>
      </x:c>
      <x:c r="H11" s="17" t="str">
        <x:v>490명</x:v>
      </x:c>
      <x:c r="I11" s="17" t="str">
        <x:v>경영.회계.사무,건설,전기.전자,정보통신</x:v>
      </x:c>
      <x:c r="J11" s="17" t="str">
        <x:v>1. 학력·전공 ○ 사무 : 제한 없음 ○ 기술 : 해당분야 전공자 또는 관련분야 자격증 보유자 2. 외국어 ○ 영어, 일어, 중국어 700점 이상 (TOEIC 기준) ○ 유효성적 : '24. 11. 28.부터 응시하고 접수 마감일까지 발표한 국내 정기시험 성적만 인정 (단, TOEIC, TOEIC-S, OPIc, TEPS, TEPS-S, JPT, HSK는 국가공무원 채용시스템에 등록된 어학성적에 한하여 유효기간을 시험의 실시연도 +5년까지 인정) ○ 고급자격증 보유자는 외국어 성적 면제 ○ 해외학위자도 국내 외국어 유효성적을 보유해야 지원 가능 3. 연령 : 제한없음(단, 공사 정년(60세)에 도달한 자는 지원불가) 4. 병역 : 병역법 제76조에서 정한 병역의무 불이행 사실이 없는 자 5. 기타 ○ 당사 인사관리규정 제11조 신규채용자의 결격사유가 없는 자 ○ 지원서 접수마감일 현재 한전 4직급 직원으로 재직 중이지 않은 자(단, 상위 채용수준으로는 지원가능) ○ 입사일부터 근무 가능한 자 ○ 전국권(이전지역인재) 지원시 전남광주 소재 학교(대학까지의 최종학력 기준, 대학원 이상 제외) 졸업(예정)·중퇴·재학·휴학중인 자만 지원 가능 ○ 보훈 분야는 「국가유공자법」에서 정한 취업지원대상자만 지원 가능 ○ 장애인 분야(사무)는 「장애인고용법」에서 정한 장애인만 지원 가능 ※ 자세한 사항은 첨부파일의 공고문 참조</x:v>
      </x:c>
      <x:c r="K11" s="17" t="str">
        <x:v>○ 취업지원대상자(국가유공자 등) : 1차전형 면제, 이후 단계별 5% 또는 10% 가점 ○ 장애인(장애인 제한경쟁 제외) : 1차전형 면제, 이후 단계별 10% 가점 ○ 고급자격증 보유자 : 1차전형 면제, 2차전형 10% 가점 ○ 한전 전기공학 장학생 : 1차전형 면제 (배전,송변전 분야에 한함) ○ 비수도권 및 본사 이전지역인재 - 비수도권 : 1차전형 1% 가점 - 이전지역 : 1차전형 3% 가점 ○ 한전 장애인 인턴(장애인 제한경쟁에 한함) : 장애인 인턴 12개월 이상 근무자 단계별 5% 가점 ○ 양성평등 : 1차전형 합격자의 20% 선발 ○ 한전 체험형인턴 : 인턴근무 평가 성적에 따라 2차전형 3%~5% 가점 ※ '24년 체험형인턴 수료자부터 적용, 이전 체험형인턴은 1차전형 3%~5% 가점 ○ 기초생활수급자 : 1차전형 면제 ○ 한전 기간제 근로자 - 6개월이상~1년미만 근무자 : 1차전형 5% 가점 - 1년 이상 근무자 : 1차전형 10% 가점 ○ 한전 시간선택제 근로자 : 1차전형 10% 가점(접수마감일 현재 재직직원) ○ KEPCO 프렌즈 우수활동자(舊 대학생 서포터즈) : 1차전형 10% 가점 ○ (한전 대표주관)공공데이터활용 아이디어 경진대회/공모전 입상자 - 대상 : 1차전형 면제 - 최우수상 : 1차전형 10% 가점 ○ 한전 발명기술혁신대전 입상자 - 금상 : 1차전형 면제 - 은상, 동상 : 1차전형 10% 가점 ○ 한전 청년청렴 Auditor 우수활동자 : 1차전형 10% 가점 ※ '25년도 선정 우수활동자부터 적용 ○ 북한이탈주민, 다문화가족 : 1차전형 5% 가점 ○ 자립준비청년 : 1차전형 면제 ※ 자세한 사항은 첨부파일의 공고문 참조</x:v>
      </x:c>
      <x:c r="L11" s="17" t="str">
        <x:v>명시 있음</x:v>
      </x:c>
      <x:c r="M11" s="17" t="str">
        <x:v>외국어, TOEIC, 어학</x:v>
      </x:c>
      <x:c r="N11" s="17" t="str">
        <x:v>1. [1차] 서류전형 ○ 외국어성적(100점), 자격증가점(사무20점, 기술40점) / 사무 : 50배수, 전기(배전, 송변전) : 10배수, 기술(전기 외) : 15배수 ※ 장애인 및 보훈 전형 전원 합격 2. [2차] 필기전형 ○ 직무능력검사(100점), 인성·인재상·조직적합도 검사 결과(적·부) / 2~3배수(공고문 참조) 3. [3차] 면접전형 ○ 직무면접(50점), 경험면접(50점) / 1배수 ※ 자세한 사항은 첨부파일의 공고문 참조</x:v>
      </x:c>
      <x:c r="O11" s="17" t="str">
        <x:v>[3차] 면접전형 ○ 직무면접(50점), 경험면접(50점) / 1배수 ※ 자세한 사항은 첨부파일의 공고문 참조</x:v>
      </x:c>
      <x:c r="P11" s="17" t="str">
        <x:v>http://recruit.kepco.co.kr/</x:v>
      </x:c>
      <x:c r="Q11" s="18" t="str">
        <x:v>https://job.alio.go.kr/recruitview.do?idx=304551</x:v>
      </x:c>
      <x:c r="R11" s="1"/>
      <x:c r="S11" s="1"/>
      <x:c r="T11" s="1"/>
      <x:c r="U11" s="1"/>
      <x:c r="V11" s="1"/>
      <x:c r="W11" s="1"/>
      <x:c r="X11" s="1"/>
      <x:c r="Y11" s="1"/>
      <x:c r="Z11" s="1"/>
    </x:row>
    <x:row r="12" ht="76" customHeight="1">
      <x:c r="A12" s="17" t="n">
        <x:v>8</x:v>
      </x:c>
      <x:c r="B12" s="17" t="str">
        <x:v>한국콘텐츠진흥원</x:v>
      </x:c>
      <x:c r="C12" s="17" t="str">
        <x:v>2026년 4분기 한국콘텐츠진흥원 신입직원 채용 공고</x:v>
      </x:c>
      <x:c r="D12" s="17" t="str">
        <x:v>신입</x:v>
      </x:c>
      <x:c r="E12" s="17" t="str">
        <x:v>정규직</x:v>
      </x:c>
      <x:c r="F12" s="17" t="str">
        <x:v>전남광주</x:v>
      </x:c>
      <x:c r="G12" s="17" t="str">
        <x:v>학력무관</x:v>
      </x:c>
      <x:c r="H12" s="17" t="str">
        <x:v>9명</x:v>
      </x:c>
      <x:c r="I12" s="17" t="str">
        <x:v>사업관리</x:v>
      </x:c>
      <x:c r="J12" s="17" t="str">
        <x:v>- 연령, 성별, 학력, 전공 제한 없음 (단, 입사예정일 기준 우리원 정년(만 60세)에 도달하는 자는 지원 불가 - 병역법 제 76조에서 정한 병역의무 불이행 사실이 없는 자 - 직무기술서에 따른 업무가 가능한 자 - 입사일 즉시 근무 가능한 자 - 콘진원 인사규정 제 8조의 결격사유에 해당하지 않는 자</x:v>
      </x:c>
      <x:c r="K12" s="17" t="str">
        <x:v>1. (대상) 취업지원대상자, 장애인, 청년, 경력단절여성, 기초생활수급자 (방식) 서류전형 및 필기전형, 역량면접 예비합격 동점자 및 최종면접 동점자 발생 시 우선합격 2. (대상) 2026년 한국콘텐츠진흥원 우수인턴, 전문자격증 소지자 (방식) 서류전형 면제 3. (대상) 취업지원대상자, 장애인, 청년, 경력단절여성, 기초생활수급자 (방식) 가점 부여</x:v>
      </x:c>
      <x:c r="L12" s="17" t="str">
        <x:v>미탐지(원문 재확인)</x:v>
      </x:c>
      <x:c r="M12" s="17" t="str"/>
      <x:c r="N12" s="17" t="str">
        <x:v>- 서류전형: 20배수 이내 합격 - 필기전형(NCS 및 인성검사): 5배수 이내 합격 - 역량면접: 2.5배수 이내 합격 - 인성면접: 1배수 이내 합격 (채용전형 종료 후 대상자에게 신체검사 및 서류검증 진행)</x:v>
      </x:c>
      <x:c r="O12" s="17" t="str">
        <x:v>- 서류전형: 20배수 이내 합격 - 필기전형(NCS 및 인성검사): 5배수 이내 합격 - 역량면접: 2 / 5배수 이내 합격 - 인성면접: 1배수 이내 합격 (채용전형 종료 후 대상자에게 신체검사 및 서류검증 진행)</x:v>
      </x:c>
      <x:c r="P12" s="17" t="str">
        <x:v>https://www.kocca.kr/shortUrl/cxCq</x:v>
      </x:c>
      <x:c r="Q12" s="18" t="str">
        <x:v>https://job.alio.go.kr/recruitview.do?idx=304527</x:v>
      </x:c>
      <x:c r="R12" s="1"/>
      <x:c r="S12" s="1"/>
      <x:c r="T12" s="1"/>
      <x:c r="U12" s="1"/>
      <x:c r="V12" s="1"/>
      <x:c r="W12" s="1"/>
      <x:c r="X12" s="1"/>
      <x:c r="Y12" s="1"/>
      <x:c r="Z12" s="1"/>
    </x:row>
    <x:row r="13" ht="76" customHeight="1">
      <x:c r="A13" s="17" t="n">
        <x:v>9</x:v>
      </x:c>
      <x:c r="B13" s="17" t="str">
        <x:v>신용보증기금</x:v>
      </x:c>
      <x:c r="C13" s="17" t="str">
        <x:v>2026년도 하반기 신용보증기금 신입직원 채용</x:v>
      </x:c>
      <x:c r="D13" s="17" t="str">
        <x:v>신입</x:v>
      </x:c>
      <x:c r="E13" s="17" t="str">
        <x:v>정규직</x:v>
      </x:c>
      <x:c r="F13" s="17" t="str">
        <x:v>서울,인천,대전,대구,부산,울산,경기,강원,충남,충북,경북,경남,전북,제주,세종,전남광주</x:v>
      </x:c>
      <x:c r="G13" s="17" t="str">
        <x:v>학력무관</x:v>
      </x:c>
      <x:c r="H13" s="17" t="str">
        <x:v>77명</x:v>
      </x:c>
      <x:c r="I13" s="17" t="str">
        <x:v>경영.회계.사무,금융.보험,정보통신</x:v>
      </x:c>
      <x:c r="J13" s="17" t="str">
        <x:v>ㅁ 공통사항(지원자 전체) ㅇ 학력, 연령*, 성별 및 전공 : 제한 없음 * 단, 접수마감일 기준 신용보증기금 정년(만 60세)을 초과한 자는 지원 불가 ㅇ 채용확정 후('26년 12월 말 예정) 전일 근무 가능한 자(입사 유예 불가) ㅇ 채용제한 사유에 해당되지 않는 자(붙임1 참조) ㅇ 병역법 제76조에서 정한 병역의무 불이행 사실이 없는 자 * 채용확정일('26년 12월 말 예정) 이전 전역(예정)자 지원 가능 ※ 채용단위(정규직 5급(상경계, 비상경계, 인공지능, ICT, 보훈), 정규직6급(고교 경영금융, 고교 정보통신)별 자세한 내용은 첨부된 채용 공고를 참고해 주시기 바랍니다.</x:v>
      </x:c>
      <x:c r="K13" s="17" t="str">
        <x:v>1. 가점항목 ㅁ 각 가점항목 (사회형평, 자격증, 경력)에 해당하는 가점을 합산하여 적용. 단, 자격증과 경력 가점항목 내 세부 가점대상이 중복될 경우 가장 높은 가점 하나만 적용 ㅁ 가점은 매 전형단계별 만점을 기준으로 부여 ㅁ 전형단계별 평가점수가 만점의 40% 미만인 경우 가점 미적용 ㅁ 전형단계별 가점을 포함한 총점이 만점을 초과하는 경우 만점까지 산정함 ㅁ 가점은 항목별 ‘8. 증빙서류 제출’에서 제시된 서류 제출이 가능한 경우에만 입력 &lt;사회형평 가점항목&gt; (중복인정) ㅇ 취업지원대상자- 서류전형: 5%, 10%, 필기전형: 5%, 10%, 면접전형: 5%, 10% ㅇ 장애인- 서류전형: 5%, 필기전형: 5% ㅇ 자립준비청년- 서류전형: 1%, 필기전형: 1% ㅇ 기초생활수급자 및 차상위계층- 서류전형: 1%, 필기전형: 1% ㅇ 한부모 가족- 서류전형: 1%, 필기전형: 1% ㅇ 다문화 가족- 서류전형: 1%, 필기전형: 1% ㅇ 북한이탈주민- 서류전형: 1%, 필기전형: 1% &lt;자격증 가점항목&gt; (세부 가점 자격증 중복 시 가장 높은 가점 1개만 적용&gt; ㅇ 한국사 자격증(2급 이상)- 서류전형: 2% ㅇ 전문자격증(공인회계사(KICPA), 국내 변호사, 변리사)- 서류전형: 10%, 필기전형: 7% ㅇ 전문자격증(세무사, CFA Level3, 공인노무사, 보험계리사)- 서류전형: 10%, 필기전형: 5% ㅇ ICT자격증(데이터아키텍처전문가(DAP) 데이터분석전문가(ADP)정보보안기사)- 서류전형: 5%, 필기전형: 5% ㅇ ICT자격증(정보처리기사, 빅데이터분석기사)- 서류전형: 3%, 필기전형: 3% &lt;경력 가점항목&gt; (세부 가점 경력 중복 시 가장 높은 가점 1개만 적용) ㅇ 최근 1년 이내 공공기관 청년인턴 경험자(60일 이상 근무)- 서류전형: 1% ㅇ 최근 1년 이내 신용보증기금 청년인턴 경험자(60일 이상 근무)- 서류전형: 1%, 필기전형: 1% ㅇ 최근 1년 이내 신용보증기금 우수 인턴- 서류전형: 5%, 필기전형: 2% ㅇ 최근 1년 이내 신용보증기금 최우수 인턴- 서류전형: 면제, 필기전형: 3% 2. 우대사항 ㅇ 지역인재 채용목표제 운영 (대상 채용단위: 상경계, 비상경계, 인공지능, ICT, 보훈, 고교 경영금융) - 이전지역(대구·경북) 인재 채용목표제 30% (「혁신도시 조성 및 발전에 관한 특별법」) - 비수도권 지역인재 채용목표제 35% (「지방대학 및 지역균형인…</x:v>
      </x:c>
      <x:c r="L13" s="17" t="str">
        <x:v>명시 있음</x:v>
      </x:c>
      <x:c r="M13" s="17" t="str">
        <x:v>한국사, 정보보안기사, 정보처리기사, 빅데이터분석기사, 의사</x:v>
      </x:c>
      <x:c r="N13" s="17" t="str">
        <x:v>1. 입사지원 ㅇ 접수기간 : ’26.9.2.(수) ~ 9.16.(수) 16:00 (접수기간 내 24시간 접수 가능) ㅇ 접수방법 : 채용 홈페이지(http://kodit.saramin.co.kr)를 통한 온라인 접수 2. 서류전형 ㅇ 평가대상 : (1단계) 입사지원자 전원, (2단계) 1단계 평가 통과자 ㅇ 우대사항 : 최근 1년 이내 신용보증기금 최우수 인턴 수료자 서류전형 면제 - 자세한 내용 및 그 외 우대사항은 ‘7. 가점 및 우대사항’ 참조 3. 필기전형 ㅁ 공통사항 ㅇ 응시대상 : 서류전형 합격자 중 응시정보 등록자 ㅇ 응시일자 : ’26. 10. 17.(토) 예정 (1·2차 필기 동시 실시) ㅇ 응시장소 : 서울, 대구 예정 (보훈, 고교 경영금융, 고교 정보통신 채용단위는 일괄적으로 고사장을 지정하여 운영) ㅇ 우대사항 : ‘7. 가점 및 우대사항’ 참조 ㅇ 전형평가(상경계, 비상경계, 인공지능, ICT) : 1·2차 허들형 평가 ㅇ 전형평가(보 훈) : 1차 직업기초능력(NCS)과 2차 논술 필기 평가 합산 ㅇ 전형평가(고교 경영금융, 고교 정보통신) : 직업기초능력(NCS)과 직무전공 평가 합산 ㅇ 최종 합격자 선정배수 : 3배수(단, 고교 정보통신은 5배수) ㅇ 기타 유의사항 - 답안지 작성이 끝났더라도 시험 종료 시까지 퇴실할 수 없음 ㅁ 1차 객관식 필기 평가 ㅇ 평가대상 : 서류전형 합격자 중 응시정보 등록자 ㅇ 평가내용 - 직업기초능력 : 의사소통능력, 문제해결능력, 수리능력, 자원관리능력 - 직무전공 등 : 직무수행능력을 평가하기 위한 전공시험 등 □ 2차 논술 필기 평가 ㅇ 평가내용 : 직무분야 전공 및 직무수행과 연관된 주제 4. 면접전형 ㅇ 응시대상 : 필기전형 합격자 중 기한까지 자기소개서 작성(직무관련 교육사항 포함), 온라인 인성검사 및 관련 증빙서류 제출을 완료한 자 ㅇ 응시일자 : ’26. 11. 16.(월) ~ 11. 27.(금) 예정 (세부일정은 필기전형 합격자 발표 시 안내) ㅇ 응시장소 : 필기전형 합격자 발표 시 안내 ㅇ 우대사항 : ‘7. 가점 및 우대사항’ 참조 ㅇ 평가내용 : 3단계 면접 실시 - 과제수행면접 : 조별 과제수행을 통해 문제해결력 및 협업능력 평가 - 실무면접 : 업무수행계획서와 교육 및 자격사항 등을 중심으로 직무수행역량 평가 - 심층면접 : 자기소개서 및 경력사항 등을 중심으로 기본역량 및 조직적합도 평가 ㅇ 과락 및 합격자 선정 : - (과락) 가점 적용 전 3단계 면접전형 평가점수(원점수)를 합산한 점수가 만점의 40% 미만 - (합격자 선정) 3단계 면접전형 평가점수(원점수)에 가점을 합산한 종합점수 고득점 순 (1배수) ㅇ 결원충원 : 입사포기자 발생 시 입사일 (’26년 12월 말 예정) 직전 최종 영업일 (18시)까지 채용단위별로 예비순번에 따라 추가합격 실시 - 지원자 미달, 과락 점수를 초과하는 득점자가 없는 경우, 예비합격자까지 모두 입사를 포기하는 경우 등 채용단위별로 적격자가 없는 경우 채용하지 않을 수 있음 5. 기타 ㅇ 최종합격 이후 수습직원으로 채용되며, 수습기간(6개월 이내) 종료 후 수습직원 평가 결과에 따라 수습 해제 및 고용계약 계속 여부 결정 ※ 자세한 내용은 첨부된 채용 공고를 참고해 주시기 바랍니다.</x:v>
      </x:c>
      <x:c r="O13" s="17" t="str">
        <x:v>면접전형 ㅇ 응시대상 : 필기전형 합격자 중 기한까지 자기소개서 작성(직무관련 교육사항 포함), 온라인 인성검사 및 관련 증빙서류 제출을 완료한 자 ㅇ 응시일자 : ’26 / 가점 및 우대사항’ 참조 ㅇ 평가내용 : 3단계 면접 실시 - 과제수행면접 : 조별 과제수행을 통해 문제해결력 및 협업능력 평가 - 실무면접 : 업무수행계획서와 교육 및 자격사항 등을 중심으로 직무수행역량 평가 - 심층면접 : 자기소개서 및 경력사항 등을 중심으로 기본역량 및 조직적합도 평가 ㅇ 과락 및 합격자 선정 : - (과락) 가점 적용 전 3단계 면접전형 평가점수(원점수)를 합산한 점수가 만점의 40% 미만 - (합격자 선정) 3단계 면접전형 평가점수(원점수)에 가점을 합산한 종합점수 고득점 순 (1배수) ㅇ 결원충원 : 입사포기자 발생 시 입사일 (’26년 12월 말 예정) 직전 최종 영업일 (18시)까지 채용단위별로 예비순번에 따라 추가합격 실시 - 지원자 미달, 과락 점수를 초과하는 득점자가 없는 경우, 예비합격자까지 모두 입사를 포기하는 경우 등 채용단위별로 적격자가 없는 경우 채용하지 않을 수 있음 5</x:v>
      </x:c>
      <x:c r="P13" s="17" t="str">
        <x:v>http://kodit.saramin.co.kr/</x:v>
      </x:c>
      <x:c r="Q13" s="18" t="str">
        <x:v>https://job.alio.go.kr/recruitview.do?idx=304432</x:v>
      </x:c>
      <x:c r="R13" s="1"/>
      <x:c r="S13" s="1"/>
      <x:c r="T13" s="1"/>
      <x:c r="U13" s="1"/>
      <x:c r="V13" s="1"/>
      <x:c r="W13" s="1"/>
      <x:c r="X13" s="1"/>
      <x:c r="Y13" s="1"/>
      <x:c r="Z13" s="1"/>
    </x:row>
    <x:row r="14" ht="76" customHeight="1">
      <x:c r="A14" s="17" t="n">
        <x:v>10</x:v>
      </x:c>
      <x:c r="B14" s="17" t="str">
        <x:v>인천국제공항공사</x:v>
      </x:c>
      <x:c r="C14" s="17" t="str">
        <x:v>2026년 신입직원(일반직, 안전보안직) 채용 공고</x:v>
      </x:c>
      <x:c r="D14" s="17" t="str">
        <x:v>신입</x:v>
      </x:c>
      <x:c r="E14" s="17" t="str">
        <x:v>정규직</x:v>
      </x:c>
      <x:c r="F14" s="17" t="str">
        <x:v>인천</x:v>
      </x:c>
      <x:c r="G14" s="17" t="str">
        <x:v>학력무관</x:v>
      </x:c>
      <x:c r="H14" s="17" t="str">
        <x:v>43명</x:v>
      </x:c>
      <x:c r="I14" s="17" t="str">
        <x:v>사업관리,경영.회계.사무,법률.경찰.소방.교도.국방,문화.예술.디자인.방송,건설,기계,전기.전자,정보통신,환경.에너지.안전</x:v>
      </x:c>
      <x:c r="J14" s="17" t="str">
        <x:v>[공통사항] ㅇ학력, 전공, 연령, 성별, 경력 제한 없음 (단, 연령의 경우 채용예정일 기준 공사 규정에 따른 정년 이내여야 하며 안전보안직의 경우 자격기준에서 임용조건으로 규정하는 연령 경력 조건을 충족하여야 함) ㅇ공사 인사규정 제20조에 따른 임용 결격사유에 해당하지 않는 자 ㅇ최종합격자 발표 이후 즉시 근무 가능한 자 [일반직 사무 및 기술분야] ㅇ공통사항에 해당하는 응시자격을 모두 갖추고 아래의 응시 자격을 모두 충족하는 자에 한해 지원가능 (1) 남자의 경우 채용예정일 기준 군필 또는 면제자 (2) 공인어학성적 : 아래 어학성적기준 중 하나를 충족하는 자 - (영어) TOEIC 800점 이상 또는 TOEFL-IBT 91점 이상 또는 TEPS 309점 이상 - (일본어) JPT 800점 이상 - (중국어) HSK 5급 210점 이상 [일반직 전문 및 사회형평분야] ㅇ일반직 사무 및 기술에 해당하는 응시자격을 모두 갖추고 아래 자격기준에 해당하는 자 (1) 전문분야(관제) : 항공교통관제사 자격증 소지자로서 항공영어구술능력증명 4등급 이상인자 (2) 사회형평(보훈) : 보훈 관계 법령에 의한 취업지원대상자 (3) 사회형평(장애) : 장애인 고용촉진 및 직업재활법 제2조에 의한 장애인 ※ 전문분야(관제)의 경우, 1차면접 당일 유효한 항공신체검사증명서(3종)를 제출하여야 함 ※ 장애분야에 지원한 장애인의 경우 시험별로 TOEIC 650점, TOEFL-IBT 74점, TEPS 245점, JPT 650점, HSK 4급 255점 이상의 기준을 적용 ※ ‘청력을 잃은 장애의 정도가 심한 청각장애인’인 응시자의 어학성적은 붙임5 파일에 규정된 각 어학성적별 ‘어학성적 인정점수’와 ‘제출 원점수’ 중 유리한 점수 적용 [안전보안직] ㅇ공통사항에 해당하는 응시자격을 모두 갖추고 아래의 응시 자격 및 하단의 분야별 자격기준을 모두 충족하는 자에 한해 지원가능 (1)남자의 경우 채용예정일 기준 군필 또는 면제자 (2)공인어학성적 : 아래 어학성적기준 중 하나를 충족하는 자 - (영어) TOEIC 600점 이상 또는 TOEFL-IBT 68점 이상 또는 TEPS 227점 이상 - (일본어) JPT 600점 이상 - (중국어) HSK 4급 210점 이상 ※ 경력기간은 입사지원서에 기재한 직무관련 경력사항을 바탕으로 채용공고일 기준 기산 ㅇ입사지원서 접수 마감일 현재 만 18세 이상의 대한민국 국적인 자로서, 아래의 자격기준을 모두 충족하는 자 1. 정신적 육체적으로 양호한 상태일 것 2. 신체요건 (1) 두부 안면 경부 몸통 또는 사지에 검색업무 수행에 지장을 주는 변형 기형 또는 기능장애가 없을 것 (2) 양쪽 눈이 교정하지 않은 상태에서 0.2이상 이거나, 양쪽 눈이 교정안경에 의하여 교정한 경우 0.8이상 일 것 (3) 색맹 또는 색약이 아닐 것(다만, 색약의 경우 보정렌즈 등 교정기구를 통해 교정이 가능한 경우 제외) (4) 후각 및 청력이 정상일 것 (5) 말하고 쓰는 능력이 정상일 것 (6) 약물 의존 또는 알코올중독이 없을 것 ㅇ2년 이상의 보안검색 실무경험이 있는 자 * 국가민간항공보안 교육훈련지침 제20조에 따라 관련 교육을 이수하고 보안검색 실무를 수행한 경험에 한함 * 보안검색이란 불법방해행위를 하는데 사…</x:v>
      </x:c>
      <x:c r="K14" s="17" t="str">
        <x:v>[일반직 - 사무,기술,전문,사회형평] ㅇ취업지원대상자(보훈) : 관계법령에 의한 5% 또는 10% 가점(전체 전형) ㅇ자격증 보유자 : 채용공고문(붙임1)상 우대자격증에 의한 3%, 5%, 10% 가점(서류전형) ㅇ어학스피킹 성적 보유자 : 채용공고문(붙임2)상 어학스피킹 우대사항에 의한 1~2% 가점(서류전형) ㅇ저소득/한부모가정 : 국민기초생활수급자(주민등록상 세대원 포함) 또는 한부모가족지원법에 따른 보호대상자 5% 가점(서류 및 필기전형) ㅇ다문화가정 : 다문화가족지원법 제2조에 의한 다문화가족의 자녀 대상 5% 가점(서류 및 필기전형) ㅇ북한이탈주민 : 북한이탈주민의 보호 및 정착지원에 관한 법률 제2조에 의한 북한이탈주민 대상 5% 가점(서류 및 필기전형) ㅇ자립준비청년(보호종료아동) : 아동복지법 제15조, 제16조에 따른 보호조치 종료 또는 해당시설에서 퇴소한 자(청년고용법에 따른 청년에 한함) 5% 가점(서류 및 필기전형) ㅇ우리공사 우수인턴 : 최우수/우수인턴 선정자(인턴종료 3년이내, 1회에 한함) - 최우수 인턴 : (서류전형) 면제 (필기전형) 3%가점 / 우수인턴 : (서류전형) 면제 (필기전형) 1%가점 ㅇ우리공사 장애인턴 : 장애인턴 수료자가 장애전형 지원 시 1% 가점(인턴종료 3년이내, 1회에 한함)(서류 및 필기전형) ㅇ비수도권 지역인재 : 서류/필기전형 합격자가 제시비율에 달하도록 추가합격(서류 및 필기전형) ※ 우대사항은 기본 응시자격 충족을 전제로 전형별 실격기준에 해당하지 않는 자에 한해 적용하며, 구분이 상이한 우대사항(6개 구분)의 가점은 모두 합산하되 동일한 구분 내에서는 가장 유리한 가점 1개만 인정 ※ 국가유공자법 제31조 제3항에 따라 최종 모집인원이 3명 이하인 분야의 전형단계별 합격자 결정 시 보훈 가점 미반영(순위에만 적용), 단, 사회형평 보훈전형의 경우 가점 적용 ※ 지역인재는 대학까지의 최종학력 기준(대학원 이상 제외) 서울/인천/경기/해외/북한 지역을 제외한 비수도권 지방학교를 졸업(예정)/중퇴한자 또는 재학/휴학 중인자(붙임3 참조) ※ 우수인턴의 경우 23년～26년 우리공사 인턴 수료자 중 최우수, 우수인턴 선정자 ※ 장애인턴의 경우 25년～26년 우리공사 장애인턴 수료자 ※ 상기 우대사항은 입사지원서 접수 마감일까지 공식적으로 발표되어 입사지원서 접수 마감일 및 채용예정일 기준으로 모두 유효하여야 함 [안전보안직] ㅇ취업지원대상자(보훈) …</x:v>
      </x:c>
      <x:c r="L14" s="17" t="str">
        <x:v>명시 있음</x:v>
      </x:c>
      <x:c r="M14" s="17" t="str">
        <x:v>어학, TOEIC, 의사</x:v>
      </x:c>
      <x:c r="N14" s="17" t="str">
        <x:v>[일반직(사무,기술,전문,사회형평)] ㅇ서류전형 : 20~50배수 - 공인어학성적 및 우대사항(100), 응시자격 충족여부(적/부) ㅇ필기전형 : 3~4배수 - 직업기초능력평가(NCS)(50), 직무수행능력평가(전공시험)(50) * 전문분야(관제)는 전공시험 미시행(NCS 100%) ㅇ1차면접 : 1.5~2배수 - 직무면접(직무PT, 직무상황대처, 영어)(100) - 평가기준 : 문제해결능력, 직무지식, 의사소통능력 등 ㅇ2차면접 : 1배수 - 종합면접(입사지원서 및 인재상 기반 종합 질의응답)(100) - 평가기준 : 의사소통능력, 대인관계능력, 열정, 인성 등 ㅇ결격조회 : 서류 진위확인, 신원조사, 신체검사 등 결격사유 확인(적/부) [안전보안직] ㅇ서류전형 : 30배수 - 공인어학성적 및 우대사항(100), 응시자격 충족여부(적/부) ㅇ필기전형 : 4배수 - 직업기초능력평가(NCS)(100) ㅇ1차면접 : 2배수 - 직무면접(직무PT, 직무상황대처)(100) - 평가기준 : 문제해결능력, 직무지식, 의사소통능력 등 ㅇ2차면접 : 1배수 - 종합면접(입사지원서 및 인재상 기반 종합 질의응답)(100) - 평가기준 : 의사소통능력, 대인관계능력, 열정, 인성 등 ㅇ결격조회 : 서류 진위확인, 신원조사, 신체검사 등 결격사유 확인(적/부)</x:v>
      </x:c>
      <x:c r="O14" s="17" t="str">
        <x:v>[일반직(사무,기술,전문,사회형평)] ㅇ서류전형 : 20~50배수 - 공인어학성적 및 우대사항(100), 응시자격 충족여부(적/부) ㅇ필기전형 : 3~4배수 - 직업기초능력평가(NCS)(50), 직무수행능력평가(전공시험)(50) * 전문분야(관제)는 전공시험 미시행(NCS 100%) ㅇ1차면접 : 1 / 5~2배수 - 직무면접(직무PT, 직무상황대처, 영어)(100) - 평가기준 : 문제해결능력, 직무지식, 의사소통능력 등 ㅇ2차면접 : 1배수 - 종합면접(입사지원서 및 인재상 기반 종합 질의응답)(100) - 평가기준 : 의사소통능력, 대인관계능력, 열정, 인성 등 ㅇ결격조회 : 서류 진위확인, 신원조사, 신체검사 등 결격사유 확인(적/부) [안전보안직] ㅇ서류전형 : 30배수 - 공인어학성적 및 우대사항(100), 응시자격 충족여부(적/부) ㅇ필기전형 : 4배수 - 직업기초능력평가(NCS)(100) ㅇ1차면접 : 2배수 - 직무면접(직무PT, 직무상황대처)(100) - 평가기준 : 문제해결능력, 직무지식, 의사소통능력 등 ㅇ2차면접 : 1배수 - 종합면접(입사지원서 및 인재상 기반 종합 질의응답)(100) - 평가기준 : 의사소통능력, 대인관계능력, 열정, 인성 등 ㅇ결격조회 : 서류 진위확인, 신원조사, 신체검사 등 결격사유 확인(적/부)</x:v>
      </x:c>
      <x:c r="P14" s="17" t="str">
        <x:v>https://www.airport.kr/co_ko/849/subview.do</x:v>
      </x:c>
      <x:c r="Q14" s="18" t="str">
        <x:v>https://job.alio.go.kr/recruitview.do?idx=304492</x:v>
      </x:c>
      <x:c r="R14" s="1"/>
      <x:c r="S14" s="1"/>
      <x:c r="T14" s="1"/>
      <x:c r="U14" s="1"/>
      <x:c r="V14" s="1"/>
      <x:c r="W14" s="1"/>
      <x:c r="X14" s="1"/>
      <x:c r="Y14" s="1"/>
      <x:c r="Z14" s="1"/>
    </x:row>
    <x:row r="15" ht="76" customHeight="1">
      <x:c r="A15" s="17" t="n">
        <x:v>11</x:v>
      </x:c>
      <x:c r="B15" s="17" t="str">
        <x:v>한국가스공사</x:v>
      </x:c>
      <x:c r="C15" s="17" t="str">
        <x:v>2026년 하반기 일반직(신입, 경력), 연구직 및 별정직 채용공고</x:v>
      </x:c>
      <x:c r="D15" s="17" t="str">
        <x:v>신입+경력</x:v>
      </x:c>
      <x:c r="E15" s="17" t="str">
        <x:v>정규직</x:v>
      </x:c>
      <x:c r="F15" s="17" t="str">
        <x:v>서울,인천,대전,대구,부산,울산,경기,강원,충남,충북,경북,경남,전북,제주,전남광주</x:v>
      </x:c>
      <x:c r="G15" s="17" t="str">
        <x:v>학력무관,석사</x:v>
      </x:c>
      <x:c r="H15" s="17" t="str">
        <x:v>151명</x:v>
      </x:c>
      <x:c r="I15" s="17" t="str">
        <x:v>경영.회계.사무,법률.경찰.소방.교도.국방,보건.의료,건설,기계,화학,전기.전자,정보통신,환경.에너지.안전,연구</x:v>
      </x:c>
      <x:c r="J15" s="17" t="str">
        <x:v>&lt;일반직 신입&gt; □ 학력, 전공, 연령 제한 없음(단, 공사 임금피크제도에 따라 만 58세 미만인 자), 유효 어학성적 보유자 □ 『병역법』제76조에서 정한 병역의무 불이행 사실이 없는 자에 한함 &lt;일반직 사회형평(장애)&gt; □ 학력, 전공, 연령 제한 없음(단, 공사 임금피크제도에 따라 만 58세 미만인 자), 유효 어학성적 보유자 □ 장애인고용촉진 및 직업재활법 시행령에 따른 장애인 기준에 해당하는 자 □ 『병역법』제76조에서 정한 병역의무 불이행 사실이 없는 자에 한함 &lt;일반직 사회형평(보훈)&gt; □ 학력, 전공, 연령 제한 없음(단, 공사 임금피크제도에 따라 만 58세 미만인 자), 유효 어학성적 보유자 □ 국가유공자법에 따른 취업지원대상자 □ 『병역법』제76조에서 정한 병역의무 불이행 사실이 없는 자에 한함 &lt;일반직 경력&gt; □ 학력, 전공, 연령 제한없음(단, 공사 임금피크제도에 따라 만 58세 미만인 자), 관련 자격 및 경력 보유자(상세내역은 공고문 참조) □ 『병역법』제76조에서 정한 병역의무 불이행 사실이 없는 자에 한함 &lt;연구직&gt; □ 연령 제한없음(단, 공사 임금피크제도에 따라 만 58세 미만인 자), 유효 어학성적 보유자, 관련 학위 보유자(상세내역은 공고문 참조) □ 『병역법』제76조에서 정한 병역의무 불이행 사실이 없는 자에 한함 &lt;별정직&gt; □ 학력, 전공, 연령 제한없음(단, 공사 임금피크제도에 따라 만 58세 미만인 자), 관련 자격 및 경력 보유자(상세내역은 공고문 참조) □ 『병역법』제76조에서 정한 병역의무 불이행 사실이 없는 자에 한함 ○ 보다 자세한 사항은 첨부파일의 공고문을 참조</x:v>
      </x:c>
      <x:c r="K15" s="17" t="str">
        <x:v>고급자격증 보유자, 본사이전지역인재, 한국가스공사 체험형 인턴 수료자 취업지원대상자(국가보훈), 장애인, 저소득층, 북한이탈주민, 다문화가족, 경력단절여성, 자립준비청년 등 우대 (모집분야별 우대사항 적용이 상이하여 자세한 내용은 공고문을 참조)</x:v>
      </x:c>
      <x:c r="L15" s="17" t="str">
        <x:v>명시 있음</x:v>
      </x:c>
      <x:c r="M15" s="17" t="str">
        <x:v>어학</x:v>
      </x:c>
      <x:c r="N15" s="17" t="str">
        <x:v>&lt;일반직 신입, 사회형평(장애, 보훈)&gt; □ 서류전형 : 사무 50배수, 기술 30배수 선발 □ 필기전형 : 2~3배수 선발 / 인성검사 적합자 중 NCS직업기초능력(50%), 직무수행능력(50%) 및 가점합산 □ 면접전형 : 1배수 선발 / 직무면접(50%), 직업기초면접(50%) 및 가점합산 &lt;일반직 경력&gt; □ 서류전형 : 적격자 전원 선발 □ 필기전형 : 5배수 선발 / 인성검사 적합자 중 NCS직업기초능력 및 가점합산 □ 면접전형 : 1배수 선발 / 직무면접(50%), 직업기초면접(50%) 및 가점합산 &lt;연구직&gt; □ 서류전형 : 5배수 선발 / 지원자격 적합자 중 학위점수(60%), 연구역량기술서(40%) 및 가점합산 □ 인성검사 및 논문심사 : 3배수 선발 / 인성검사 적합자 중 논문심사(논문검토(50%) + 논문발표(50%)) 및 가점합산 □ 면접전형 : 1배수 선발 / 논문심사점수(50%), 직업기초면접(50%) 및 가점합산 &lt;별정직&gt; □ 서류전형 : 적격자 전원선발 □ 필기전형 : 3~5배수 선발 / 인성검사 적합자 중 NCS직업기초능력 및 가점합산 □ 면접전형 : 1배수 선발 / 직무면접(50%), 직업기초면접(50%) 및 가점합산 ○ 보다 자세한 사항은 첨부파일의 공고문을 참조</x:v>
      </x:c>
      <x:c r="O15" s="17" t="str">
        <x:v>&lt;일반직 신입, 사회형평(장애, 보훈)&gt; □ 서류전형 : 사무 50배수, 기술 30배수 선발 □ 필기전형 : 2~3배수 선발 / 인성검사 적합자 중 NCS직업기초능력(50%), 직무수행능력(50%) 및 가점합산 □ 면접전형 : 1배수 선발 / 직무면접(50%), 직업기초면접(50%) 및 가점합산 &lt;일반직 경력&gt; □ 서류전형 : 적격자 전원 선발 □ 필기전형 : 5배수 선발 / 인성검사 적합자 중 NCS직업기초능력 및 가점합산 □ 면접전형 : 1배수 선발 / 직무면접(50%), 직업기초면접(50%) 및 가점합산 &lt;연구직&gt; □ 서류전형 : 5배수 선발 / 지원자격 적합자 중 학위점수(60%), 연구역량기술서(40%) 및 가점합산 □ 인성검사 및 논문심사 : 3배수 선발 / 인성검사 적합자 중 논문심사(논문검토(50%) + 논문발표(50%)) 및 가점합산 □ 면접전형 : 1배수 선발 / 논문심사점수(50%), 직업기초면접(50%) 및 가점합산 &lt;별정직&gt; □ 서류전형 : 적격자 전원선발 □ 필기전형 : 3~5배수 선발 / 인성검사 적합자 중 NCS직업기초능력 및 가점합산 □ 면접전형 : 1배수 선발 / 직무면접(50%), 직업기초면접(50%) 및 가점합산 ○ 보다 자세한 사항은 첨부파일의 공고문을 참조</x:v>
      </x:c>
      <x:c r="P15" s="17" t="str">
        <x:v>https://www.kogas.or.kr/</x:v>
      </x:c>
      <x:c r="Q15" s="18" t="str">
        <x:v>https://job.alio.go.kr/recruitview.do?idx=304489</x:v>
      </x:c>
      <x:c r="R15" s="1"/>
      <x:c r="S15" s="1"/>
      <x:c r="T15" s="1"/>
      <x:c r="U15" s="1"/>
      <x:c r="V15" s="1"/>
      <x:c r="W15" s="1"/>
      <x:c r="X15" s="1"/>
      <x:c r="Y15" s="1"/>
      <x:c r="Z15" s="1"/>
    </x:row>
    <x:row r="16" ht="76" customHeight="1">
      <x:c r="A16" s="17" t="n">
        <x:v>12</x:v>
      </x:c>
      <x:c r="B16" s="17" t="str">
        <x:v>한국해양진흥공사</x:v>
      </x:c>
      <x:c r="C16" s="17" t="str">
        <x:v>한국해양진흥공사 하반기 정규직(신입사원) 채용</x:v>
      </x:c>
      <x:c r="D16" s="17" t="str">
        <x:v>신입</x:v>
      </x:c>
      <x:c r="E16" s="17" t="str">
        <x:v>정규직</x:v>
      </x:c>
      <x:c r="F16" s="17" t="str">
        <x:v>부산</x:v>
      </x:c>
      <x:c r="G16" s="17" t="str">
        <x:v>학력무관</x:v>
      </x:c>
      <x:c r="H16" s="17" t="str">
        <x:v>12명</x:v>
      </x:c>
      <x:c r="I16" s="17" t="str">
        <x:v>사업관리,경영.회계.사무,금융.보험</x:v>
      </x:c>
      <x:c r="J16" s="17" t="str">
        <x:v>(공통자격) · 성별·연령별 제한 없음(단, 임용예정일 기준 공사 정년(만60세) 미만인자) · 남성의 경우 병역필 또는 면제자 · 「국가공무원법」 제33조 각 호의 어느 하나에 해당하지 않는 자 · 한국해양진흥공사 「인사규정」 제7조(결격사유)에 해당되지 않는 자 · 해외여행에 결격사유가 없으며, 채용 확정 후 즉시 업무 종사가 가능한 자 · 일정 수준의 어학능력 보유자 - TOEIC 700점 이상, NEW TEPS 340점 이상, TOEFL iBT 79점 이상, TOEIC-S IM2 이상, IELTS 5.5 이상, 오픽(영어) IM2 중 하나에 해당하는 자 (채용분야별 자격기준) 1. 일반(공통) 및 정보기술(IT) · 공통자격 기준을 모두 충족하는 자 · 경력 무관. 단, 일정 수준의 어학능력 보유자 2. 일반(보훈) · 공통자격 기준을 모두 충족하는 자 · 경력 무관. 단, 일정 수준의 어학능력 보유자 · 취업지원대상자에 해당하는 자(증명서 발급이 가능한 자)</x:v>
      </x:c>
      <x:c r="K16" s="17" t="str">
        <x:v>1. 취업지원대상자(서류, 필기전형 및 면접전형 5% 또는 10% 가점) 2. 등록장애인(서류, 필기전형 및 면접전형 2%, 중증장애인은 5% 가점) 3. 기초생활수급자 및 차상위계층(서류 및 필기전형 5% 가점) 4. 북한이탈주민(서류전형 2% 가점) 5. 다문화가족구성원(서류전형 2% 가점) 6. 자립준비청년/보호종료아동(서류전형 2% 가점) 7. 비수도권지역인재(서류전형 2% 가점) 8. 경력단절여성(서류전형 5% 가점) 9. 전문자격증 소지자 1) CFA, FRM, 세무사, 보험계리사(서류 및 필기전형 3% 가점) 2) 국내변호사, 한국공인회계사, 공인노무사(서류 및 필기전형 5% 가점) 10. 우수인턴(인턴수료일 기준 만2년 이내 응시자 서류전형 면제)</x:v>
      </x:c>
      <x:c r="L16" s="17" t="str">
        <x:v>명시 있음</x:v>
      </x:c>
      <x:c r="M16" s="17" t="str">
        <x:v>어학, TOEIC</x:v>
      </x:c>
      <x:c r="N16" s="17" t="str">
        <x:v>1. 1차(서류전형): 50배수 / 응시기준을 충족하는 지원자 중 평가 고득점 순으로 합격자 선발 2. 2차(필기전형): 6배수 / 직업기초능력평가, 직무수행능력평가 3. 3차(1차 면접전형): 3배수 / 온라인 인성검사 응시 후 실무면접 4. 4차(2차 면접전형): 1배수 / 심층면접 5. 5차(결격사유조회 및 신체검사): 적부 판단</x:v>
      </x:c>
      <x:c r="O16" s="17" t="str">
        <x:v>3차(1차 면접전형): 3배수 / 온라인 인성검사 응시 후 실무면접 4 / 4차(2차 면접전형): 1배수 / 심층면접 5</x:v>
      </x:c>
      <x:c r="P16" s="17" t="str">
        <x:v>https://kobc.scout.co.kr/</x:v>
      </x:c>
      <x:c r="Q16" s="18" t="str">
        <x:v>https://job.alio.go.kr/recruitview.do?idx=304450</x:v>
      </x:c>
      <x:c r="R16" s="1"/>
      <x:c r="S16" s="1"/>
      <x:c r="T16" s="1"/>
      <x:c r="U16" s="1"/>
      <x:c r="V16" s="1"/>
      <x:c r="W16" s="1"/>
      <x:c r="X16" s="1"/>
      <x:c r="Y16" s="1"/>
      <x:c r="Z16" s="1"/>
    </x:row>
    <x:row r="17" ht="76" customHeight="1">
      <x:c r="A17" s="17" t="n">
        <x:v>13</x:v>
      </x:c>
      <x:c r="B17" s="17" t="str">
        <x:v>예금보험공사</x:v>
      </x:c>
      <x:c r="C17" s="17" t="str">
        <x:v>2026년도 예금보험공사 신입직원 채용안내</x:v>
      </x:c>
      <x:c r="D17" s="17" t="str">
        <x:v>신입</x:v>
      </x:c>
      <x:c r="E17" s="17" t="str">
        <x:v>정규직</x:v>
      </x:c>
      <x:c r="F17" s="17" t="str">
        <x:v>서울</x:v>
      </x:c>
      <x:c r="G17" s="17" t="str">
        <x:v>학력무관,고졸</x:v>
      </x:c>
      <x:c r="H17" s="17" t="str">
        <x:v>35명</x:v>
      </x:c>
      <x:c r="I17" s="17" t="str">
        <x:v>경영.회계.사무,금융.보험,영업판매,정보통신</x:v>
      </x:c>
      <x:c r="J17" s="17" t="str">
        <x:v>&lt;공통&gt; ① 학력, 연령, 전공 제한 없음 ※ 단 ,입사예정일(’26.12.28.)기준 공사 정년(만 60세) 미만인 자 ② 군필자(’26.12.27일 이전 전역이 가능한 자) 또는 면제자 - 고졸(일반행정) 분야의 경우 해당하지 않음 ③ 공사 내규상 채용 결격사유에 해당하지 않는 자 ④ 채용 확정 후 즉시 근무 가능한 자 ⑤ 채용 분야별 중복지원은 불가 &lt;고졸&gt; ㅇ 다음 조건을 모두 충족하는 자 ① 2027년초 특성화고(마이스터고 등도 포함*) 졸업예정자 * 특성화고·마이스터고 포털 사이트(www.hifive.go.kr)에 등록된 학교 기준 ② 학교장의 추천을 받은 자(학교별 1명*) * 학교별 1명만 추천 가능하며, 2명 이상 추천 시 해당 학교 지원자 모두 불합격 처리</x:v>
      </x:c>
      <x:c r="K17" s="17" t="str">
        <x:v>ㅇ 보훈 관련 법률에 따른 취업지원 대상자(서류, 필기, 면접전형에서 5% 또는 10% 가점) ㅇ 장애인고용촉진 및 직업재활법에 의한 장애인(서류, 필기, 1차 면접전형에서 10% 가점, 2차 면접전형에서 5% 가점) ㅇ 국민기초생활 보장법에 의한 수급자(본인 또는 자녀)(서류, 필기, 1차 면접전형에서 3% 가점) ㅇ 한부모가족 지원법에 의한 한부모가족 지원대상자(서류, 필기, 1차 면접전형에서 3% 가점) ㅇ 의사상자 등(서류, 필기, 면접전형에서 3% 또는 5% 가점) ㅇ 북한이탈주민의 보호 및 정착지원에 관한 법률에 의한 보호대상자(서류, 필기, 1차 면접전형에서 2% 가점) ㅇ 다문화가족지원법에 의한 다문화가족 구성원(서류, 필기, 1차 면접전형에서 2% 가점) ㅇ 아동복지법에 의한 자립준비청년(보호종료아동)(서류, 필기, 1차 면접전형에서 2% 가점) ㅇ 비수도권 지역인재(서류, 필기, 1차 면접전형에서 비수도권 지역인재가 채용분야별 합격기준인원에 미달할 경우 일정 기준 이상 득점한 지역인재 추가합격 처리) ㅇ 자격증(CFA(lv3), 감정평가사, 공인노무사, 공인회계사, 변호사, 보험계리사, 정보관리기술사, 정보통신기술사, 컴퓨터시스템응용기술사) 보유자(필기전형에서 5% 가점) ㅇ 예금보험공사 인턴 수료자(서류전형에서 5% 가점) ㅇ 예금보험공사 우수인턴 수료자(서류전형 면제) ※ 우대내용별 세부조건은 첨부파일의 채용공고문 참조</x:v>
      </x:c>
      <x:c r="L17" s="17" t="str">
        <x:v>명시 있음</x:v>
      </x:c>
      <x:c r="M17" s="17" t="str">
        <x:v>의사</x:v>
      </x:c>
      <x:c r="N17" s="17" t="str">
        <x:v>ㅇ 전형절차 : 지원서접수 → 서류전형 → 필기전형 → 1차 면접전형 → 2차 면접전형 → 신체검사 및 신원조사 ㅇ 평가방법(금융일반, 디지털) - 1차(서류전형) : 25배수, 직무관련 교육·자격(100),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3배수, NCS 직업기초능력평가(45), 직무수행능력평가(255) - 3차(1차 면접전형) : 1.5배수, 1차 면접전형 결과(75), 필기전형 결과(25) - 4차(2차 면접전형) : 1배수, 2차 면접전형 결과(100) - 최종(신체검사, 신원조사) : 채용결격사유 확인(적·부) ㅇ 평가방법(고졸(일반행정) 분야) - 1차(서류전형) :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4배수, NCS 직업기초능력평가(100) - 3차(1차 면접전형) : 2배수, 1차 면접전형 결과(75), 필기전형 결과(25) - 4차(2차 면접전형) : 1배수, 2차 면접전형 결과(100) - 최종(신체검사, 신원조사) : 채용결격사유 확인(적·부) ※ 보다 자세한 사항은 첨부파일의 채용공고문 참조</x:v>
      </x:c>
      <x:c r="O17" s="17" t="str">
        <x:v>ㅇ 전형절차 : 지원서접수 → 서류전형 → 필기전형 → 1차 면접전형 → 2차 면접전형 → 신체검사 및 신원조사 ㅇ 평가방법(금융일반, 디지털) - 1차(서류전형) : 25배수, 직무관련 교육·자격(100),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3배수, NCS 직업기초능력평가(45), 직무수행능력평가(255) - 3차(1차 면접전형) : 1 / 5배수, 1차 면접전형 결과(75), 필기전형 결과(25) - 4차(2차 면접전형) : 1배수, 2차 면접전형 결과(100) - 최종(신체검사, 신원조사) : 채용결격사유 확인(적·부) ㅇ 평가방법(고졸(일반행정) 분야) - 1차(서류전형) :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4배수, NCS 직업기초능력평가(100) - 3차(1차 면접전형) : 2배수, 1차 면접전형 결과(75), 필기전형 결과(25) - 4차(2차 면접전형) : 1배수, 2차 면접전형 결과(100) - 최종(신체검사, 신원조사) : 채용결격사유 확인(적·부) ※ 보다 자세한 사항은 첨부파일의 채용공고문 참조</x:v>
      </x:c>
      <x:c r="P17" s="17" t="str">
        <x:v>https://www.kdic.or.kr/</x:v>
      </x:c>
      <x:c r="Q17" s="18" t="str">
        <x:v>https://job.alio.go.kr/recruitview.do?idx=304400</x:v>
      </x:c>
      <x:c r="R17" s="1"/>
      <x:c r="S17" s="1"/>
      <x:c r="T17" s="1"/>
      <x:c r="U17" s="1"/>
      <x:c r="V17" s="1"/>
      <x:c r="W17" s="1"/>
      <x:c r="X17" s="1"/>
      <x:c r="Y17" s="1"/>
      <x:c r="Z17" s="1"/>
    </x:row>
    <x:row r="18" ht="76" customHeight="1">
      <x:c r="A18" s="17" t="n">
        <x:v>14</x:v>
      </x:c>
      <x:c r="B18" s="17" t="str">
        <x:v>중소기업은행</x:v>
      </x:c>
      <x:c r="C18" s="17" t="str">
        <x:v>2026년 하반기 IBK기업은행 신입행원 채용공고</x:v>
      </x:c>
      <x:c r="D18" s="17" t="str">
        <x:v>신입</x:v>
      </x:c>
      <x:c r="E18" s="17" t="str">
        <x:v>정규직</x:v>
      </x:c>
      <x:c r="F18" s="17" t="str">
        <x:v>서울,인천,대전,대구,부산,울산,경기,강원,충남,충북,경북,경남,전북,제주,세종,전남광주,해외</x:v>
      </x:c>
      <x:c r="G18" s="17" t="str">
        <x:v>학력무관</x:v>
      </x:c>
      <x:c r="H18" s="17" t="str">
        <x:v>175명</x:v>
      </x:c>
      <x:c r="I18" s="17" t="str">
        <x:v>금융.보험</x:v>
      </x:c>
      <x:c r="J18" s="17" t="str">
        <x:v>ㅇ 금융일반, 디지털, IT 분야 - 학력, 연령, 성별 등 제한사항 없음 - 남성의 경우 병역필* 또는 면제자* * 2026. 11. 30. 이전 전역 가능한 자 포함. 고졸인재 분야 지원자는 해당 없음 - 채용 확정(12월 초·중순 예정) 후 전일 근무 가능한 자* * 졸업, 재학, 이직 절차, 군 전역 등의 사유로 입행 유예 불가 - 당행 인사규정 「채용의 제한」 대상자 등(공고문 內 “유의사항” 참조)이 아닌 자 ※ 지역인재의 경우, 공고문 참조 ㅇ 고졸인재 분야 - 고등학교 졸업 예정자 (졸업 예정월：’27년 2월) - 채용 확정(12월 초·중순 예정) 후 전일 근무 가능한 자* * 졸업, 재학, 이직 절차, 군 전역 등의 사유로 입행 유예 불가 - 당행 인사규정 「채용의 제한」 대상자 등(공고문 內 “유의사항” 참조)이 아닌 자</x:v>
      </x:c>
      <x:c r="K18" s="17" t="str">
        <x:v>(공통우대) 취업지원대상자(보훈대상자 등), 장애인, IBK청년인턴(우수인턴限), 우대자격증 소지자 / (분야별 별도우대) 석·박사학위, 학교장 추천</x:v>
      </x:c>
      <x:c r="L18" s="17" t="str">
        <x:v>명시 있음</x:v>
      </x:c>
      <x:c r="M18" s="17" t="str">
        <x:v>의사</x:v>
      </x:c>
      <x:c r="N18" s="17" t="str">
        <x:v>◆ 전형절차 및 방법 지원서접수 &gt; 서류심사(1차) &gt; 필기시험(2차) &gt; 실기시험(3차) &gt; 면접시험(최종) 1. 지원서접수 - 접수기간 : 2026.8.28.(금) ~ 9.14.(월), 10시 - 접수방법 : IBK홈페이지 또는 채용전용 홈페이지(http://ibk.incruit.com)에 지원서 작성 및 접수등록 ※ 면접시험을 제외한 全 전형은 제로베이스 평가 (前단계 평가점수 누적 합산되지 않음) ※ 각 절차별 동점자 발생 시 동점자 처리기준에 따라 합격자 결정 2. 서류심사(1차) - 합격인원 : 적부심사 통과자 전원 - 합격발표 : ’26. 9월말 예정 - 평가방법 : 적부심사(채용분야별 입행지원서 내용의 불량·불성실* 검증) * 은행명 오류, 표절, 무관·반복·부족한 답변, 블라인드 저촉 등 3. 필기시험(2차) - 일정/장소 : ’26.10.17.(토) 예정 / 전국 5개 지역 ※ 일정, 장소 변동가능 - 합격인원 : 분야별 채용예정인원의 7배수(디지털, IT 분야 限 8배수) ※ 분야별 고득점 順 (단, 만점의 40% 미만 득점자는 제외) - 합격발표 : ’26. 10월 중순 이후 예정 - 시험시간 : 10시 ~ 12시(120분) / 고졸인재 분야 10시 ~ 11시(60분) - 평가항목 : (구)직업기초능력, 직무수행능력 ※ 배점(100점) 1) 금융일반, 디지털, IT : 1.5점(직업기초), 1점(직무수행 객관식), 2점(직무수행 주관식) 2) 고졸인재 : 2.5점(직업기초) 4. 실기시험(3차) - 일정/장소 : ’26. 10월말 ~ 11월 초·중순 예정 / 기업은행 기흥연수원(당일) ※ 일정, 장소 변동가능 - 합격인원 : 분야별 채용 예정 인원의 약 1.7배수(분야별 고득점 順) - 합격발표 : ’26.11월 중순 이후 예정 - 평가방법 : 공통 및 개별 프로그램 바탕 실무역량, 의사전달력, 논리력, 협동심, 윤리의식 등의 평가항목 기준으로 종합평가(평가위원 점수합계) - 공통 프로그램 : 개인발표, 팀토론, 심층인터뷰 - 개별 프로그램 : (금융일반, 고졸인재) 조직적합도평가 / (디지털/IT) 코딩테스트 ※ 실기시험 前 AI역량검사 및 인성검사(온라인) 실시 예정 → 미완료 지원자는 실기시험 응시 불가 ※ 은행 내·외부 사정에 따라 실기시험 일정 및 평가방법 변동 가능 5. 면접시험(최종) - 일정/장소 : ’26. 11월 중·하순 예정 / 기업은행 본점 ※ 일정, 장소 변동가능 - 합격인원 : 175명(분야별 고득점* 順) * 분야별 최종합격자는 면접시험 점수(70%)와 실기시험 점수(30%)를 합산하여 결정 - 합격발표 : ’26. 11월말 ~ 12월초 예정 (최종합격자 발표 후 일주일 이내 연수원 입소 예정) - 평가방법 : 多대多 질의응답을 통해 인성, 윤리의식, 직무·조직적합도 등의 평가항목을 기준으로 종합평가(평가위원 점수합계) ◆ 임용 관련 기타사항 - 입행지원서의 내용이 허위로 기재되었거나 신입행원 연수에 불참하는 경우 또는 신체검사 결과 근무가 불가능한 정도의 결격사유가 발생하는 경우 등 입행 결격사유 발생 시 합격 또는 채용이 취소될 수 있음 - 합격자 발표 이후, 부정한 방법으로 합격 또는 채용된 자, 허위/위조 등의 서류를 제출하는 경우 향후 합격 또는 채용이 취소될 수 있음 - 근무 및 처우 등 채용공고에 기재하지 않은 사항은 당행 내규에 따름 - 입행지원서 상, 직무관련 경험사항(증빙가능한 경험限)에 대한 호봉인정 기준은 다음과 같음 (1) 금융일반 : 국가기관, 지방자치단체, 타금융기관(제1금융권限)에서 근무한 자 中 채용될 직종과 같은 직종에 종사한 기간 일부 인정 (2) 디지털/IT : 기술·기능분야에서…</x:v>
      </x:c>
      <x:c r="O18" s="17" t="str">
        <x:v>◆ 전형절차 및 방법 지원서접수 &gt; 서류심사(1차) &gt; 필기시험(2차) &gt; 실기시험(3차) &gt; 면접시험(최종) 1 / com)에 지원서 작성 및 접수등록 ※ 면접시험을 제외한 全 전형은 제로베이스 평가 (前단계 평가점수 누적 합산되지 않음) ※ 각 절차별 동점자 발생 시 동점자 처리기준에 따라 합격자 결정 2 / 면접시험(최종) - 일정/장소 : ’26 / 11월 중·하순 예정 / 기업은행 본점 ※ 일정, 장소 변동가능 - 합격인원 : 175명(분야별 고득점* 順) * 분야별 최종합격자는 면접시험 점수(70%)와 실기시험 점수(30%)를 합산하여 결정 - 합격발표 : ’26</x:v>
      </x:c>
      <x:c r="P18" s="17" t="str">
        <x:v>https://ibk.incruit.com/</x:v>
      </x:c>
      <x:c r="Q18" s="18" t="str">
        <x:v>https://job.alio.go.kr/recruitview.do?idx=304338</x:v>
      </x:c>
      <x:c r="R18" s="1"/>
      <x:c r="S18" s="1"/>
      <x:c r="T18" s="1"/>
      <x:c r="U18" s="1"/>
      <x:c r="V18" s="1"/>
      <x:c r="W18" s="1"/>
      <x:c r="X18" s="1"/>
      <x:c r="Y18" s="1"/>
      <x:c r="Z18" s="1"/>
    </x:row>
    <x:row r="19" ht="76" customHeight="1">
      <x:c r="A19" s="17" t="n">
        <x:v>15</x:v>
      </x:c>
      <x:c r="B19" s="17" t="str">
        <x:v>한국투자공사</x:v>
      </x:c>
      <x:c r="C19" s="17" t="str">
        <x:v>한국투자공사 2026년 신입직원 채용</x:v>
      </x:c>
      <x:c r="D19" s="17" t="str">
        <x:v>신입</x:v>
      </x:c>
      <x:c r="E19" s="17" t="str">
        <x:v>정규직</x:v>
      </x:c>
      <x:c r="F19" s="17" t="str">
        <x:v>서울</x:v>
      </x:c>
      <x:c r="G19" s="17" t="str">
        <x:v>학력무관</x:v>
      </x:c>
      <x:c r="H19" s="17" t="str">
        <x:v>10명</x:v>
      </x:c>
      <x:c r="I19" s="17" t="str">
        <x:v>경영.회계.사무</x:v>
      </x:c>
      <x:c r="J19" s="17" t="str">
        <x:v>- 학력, 연령, 성별 등에 관계없이 지원 가능(채용 확정 후 즉시 근무 가능한 자) - 남자의 경우 병역 기피 사실이 없는 자 - 국가공무원법 제33조 각호 및 공사 인사규정에 명시된 채용 결격사유에 해당되지 않는 자 - 해외투자 전문기관인 공사의 직무수행에 필수적인 아래의 어학요건을 최소 1개 이상 충족하는 등 모집부문별 자격요건을 만족하는 자 * 투자분야 : TOEIC 900점(또는 New TEPS 370점, TOEFL(IBT) 105점, TOEIC Speaking 160점(AL), OPIc (IH)) 이상 * 리스크분야/경영분야/IT분야 : TOEIC 850점(또는 New TEPS 336점, TOEFL(IBT) 98점, TOEIC Speaking 140점(IH), OPIc (IM3)) 이상</x:v>
      </x:c>
      <x:c r="K19" s="17" t="str">
        <x:v>○ 사회형평 - 「국가유공자 등 예우 및 지원에 관한 법률」 등 보훈 관계법률에 따른 가점 대상자 - 「장애인고용촉진 및 직업재활법」에 의거한 장애인 - 비수도권 지역인재 ○ 직무유관 자격증 보유자 ○ 어학 구사능력 우수자 ○ 한국투자공사 청년인턴 우수 수료자 * 취업지원대상자의 경우 관련 법령에 따라 우대하며, 기타 우대사항의 경우 필기전형 시 만점의 5% 적용 * 항목별(사회형평/직무유관 자격증 보유자/어학 구사능력 우수자/한국투자공사 청년인턴 우수 수료자) 우대가점을 합산하여 전형별로 가점 부여 * 동일 항목 내 세부항목의 복수 해당사항은 최고 가점 하나만 적용 * 필기전형의 경우 우대가점 10%를 상한으로 적용 * 가점 적용 전 전형 내 평가항목별 평가점수가 만점의 40% 미만이 있는 경우 모든 가점 미적용 ※ 입사지원서에 우대사항 항목을 선택한 지원자에 한해 우대가점이 적용되며, 관련 증빙서류 제출이 요구되므로 증빙서류 발급 가능여부를 사전에 반드시 확인하시기 바랍니다.</x:v>
      </x:c>
      <x:c r="L19" s="17" t="str">
        <x:v>명시 있음</x:v>
      </x:c>
      <x:c r="M19" s="17" t="str">
        <x:v>어학, TOEIC</x:v>
      </x:c>
      <x:c r="N19" s="17" t="str">
        <x:v>○ 전형절차 : 서류전형 &gt; 필기전형 &gt; 온라인 인성검사 &gt; 1차 면접전형 &gt; 2차 면접전형 &gt; 최종합격자 발표 ○ 서류전형 - 선발인원: 모집부문별 채용인원의 30배수 - 선발방법: 응시자격을 충족한 적격 지원자를 대상으로 서류평가 - 동점자 처리기준: 전원 합격 처리 ○ 필기전형 - 선발인원: 모집부문별 채용인원의 10배수 - 평가방법: 직무능력평가(200점) - 평가기준: 모집부문별 상위 득점자 순으로 선발 - 동점자 처리기준: 취업지원대상자(보훈), 직무능력평가 고득점자 순으로 선발하되, 동점자 중 취업지원대상자가 없고 직무능력평가가 동점일 경우에는 동점자 전원 1차 면접기회 부여(동 기준에 한하여 선발인원 초과 가능) ※ 필기전형 합격자를 대상으로 온라인 인성검사 실시 ○ 1차 면접전형 - 선발인원: 모집부문별 채용인원의 3배수 - 평가방법 및 기준: 실무자 직무역량 면접 실시(PT면접, 코딩역량평가 포함) * 투자 : 실무자면접(70) + 영어 PT면접(30) * 리스크 : 실무자면접(70) + PT면접(30) * 경영 : 실무자면접(70) + PT면접(30) * IT : 실무자면접(60) + PT면접(20) + 코딩역량평가(20) - 동점자 처리기준: 모집부문별 동점자 전원에게 2차 면접기회 부여(동 기준에 한해 선발인원 가능) - 모집부문별 적격자가 없다고 판단되는 경우, 선발인원 미만으로 선발하거나 미선발 가능 ○ 2차 면접전형 - 선발인원: 모집부문별 채용인원의 1배수 - 평가방법: 임원 면접 실시 - 평가기준: 지원자의 인성, 역량 등 조직적합성에 대해 종합적으로 평가 - 동점자 처리기준: 취업지원대상자(보훈), 1차 면접 고득점자, 필기전형 고득점자 순으로 선발 - 모집부문별 적격자가 없다고 판단되는 경우, 1배수 미만으로 선발하거나 미선발 가능 ○ 고용형태 : 정직원 (수습기간 3개월) - 단, 최초 2년 계약 이후 업무실적 등을 평가하여 계속 고용 여부 결정</x:v>
      </x:c>
      <x:c r="O19" s="17" t="str">
        <x:v>○ 전형절차 : 서류전형 &gt; 필기전형 &gt; 온라인 인성검사 &gt; 1차 면접전형 &gt; 2차 면접전형 &gt; 최종합격자 발표 ○ 서류전형 - 선발인원: 모집부문별 채용인원의 30배수 - 선발방법: 응시자격을 충족한 적격 지원자를 대상으로 서류평가 - 동점자 처리기준: 전원 합격 처리 ○ 필기전형 - 선발인원: 모집부문별 채용인원의 10배수 - 평가방법: 직무능력평가(200점) - 평가기준: 모집부문별 상위 득점자 순으로 선발 - 동점자 처리기준: 취업지원대상자(보훈), 직무능력평가 고득점자 순으로 선발하되, 동점자 중 취업지원대상자가 없고 직무능력평가가 동점일 경우에는 동점자 전원 1차 면접기회 부여(동 기준에 한하여 선발인원 초과 가능) ※ 필기전형 합격자를 대상으로 온라인 인성검사 실시 ○ 1차 면접전형 - 선발인원: 모집부문별 채용인원의 3배수 - 평가방법 및 기준: 실무자 직무역량 면접 실시(PT면접, 코딩역량평가 포함) * 투자 : 실무자면접(70) + 영어 PT면접(30) * 리스크 : 실무자면접(70) + PT면접(30) * 경영 : 실무자면접(70) + PT면접(30) * IT : 실무자면접(60) + PT면접(20) + 코딩역량평가(20) - 동점자 처리기준: 모집부문별 동점자 전원에게 2차 면접기회 부여(동 기준에 한해 선발인원 가능) - 모집부문별 적격자가 없다고 판단되는 경우, 선발인원 미만으로 선발하거나 미선발 가능 ○ 2차 면접전형 - 선발인원: 모집부문별 채용인원의 1배수 - 평가방법: 임원 면접 실시 - 평가기준: 지원자의 인성, 역량 등 조직적합성에 대해 종합적으로 평가 - 동점자 처리기준: 취업지원대상자(보훈), 1차 면접 고득점자, 필기전형 고득점자 순으로 선발 - 모집부문별 적격자가 없다고 판단되는 경우, 1배수 미만으로 선발하거나 미선발 가능 ○ 고용형태 : 정직원 (수습기간 3개월) - 단, 최초 2년 계약 이후 업무실적 등을 평가하여 계속 고용 여부 결정</x:v>
      </x:c>
      <x:c r="P19" s="17" t="str">
        <x:v>https://www.kic.kr/ko/careers/recruit/cn5ngi</x:v>
      </x:c>
      <x:c r="Q19" s="18" t="str">
        <x:v>https://job.alio.go.kr/recruitview.do?idx=304335</x:v>
      </x:c>
      <x:c r="R19" s="1"/>
      <x:c r="S19" s="1"/>
      <x:c r="T19" s="1"/>
      <x:c r="U19" s="1"/>
      <x:c r="V19" s="1"/>
      <x:c r="W19" s="1"/>
      <x:c r="X19" s="1"/>
      <x:c r="Y19" s="1"/>
      <x:c r="Z19" s="1"/>
    </x:row>
    <x:row r="20" ht="76" customHeight="1">
      <x:c r="A20" s="17" t="n">
        <x:v>16</x:v>
      </x:c>
      <x:c r="B20" s="17" t="str">
        <x:v>중소벤처기업진흥공단</x:v>
      </x:c>
      <x:c r="C20" s="17" t="str">
        <x:v>2026년 하반기 중소벤처기업진흥공단 일반직(신입·경력) 채용 공고</x:v>
      </x:c>
      <x:c r="D20" s="17" t="str">
        <x:v>신입+경력</x:v>
      </x:c>
      <x:c r="E20" s="17" t="str">
        <x:v>정규직</x:v>
      </x:c>
      <x:c r="F20" s="17" t="str">
        <x:v>서울,인천,대전,대구,부산,울산,경기,강원,충남,충북,경북,경남,전북,제주,세종,전남광주,해외</x:v>
      </x:c>
      <x:c r="G20" s="17" t="str">
        <x:v>학력무관</x:v>
      </x:c>
      <x:c r="H20" s="17" t="str">
        <x:v>60명</x:v>
      </x:c>
      <x:c r="I20" s="17" t="str">
        <x:v>사업관리,경영.회계.사무,금융.보험,법률.경찰.소방.교도.국방,문화.예술.디자인.방송,영업판매,기계,재료,화학,전기.전자,정보통신,환경.에너지.안전</x:v>
      </x:c>
      <x:c r="J20" s="17" t="str">
        <x:v>ㅇ 학력, 전공, 연령, 성별 등에 제한없음 (단, 공고일 기준 만 60세 이상 지원 불가, 만 57세 이상 임금피크제 적용) ㅇ 임용(12월 30일 예정) 즉시 근무 가능한 자(사유불문 입사유예 불가) ㅇ 남성의 경우 병역필(임용예정일 이전 전역예정자 포함) 또는 면제자 ㅇ 「국가공무원법」 제33조(결격사유) 및 「중진공 인사규정」상 채용결격사유에 해당되지 않는 자 ※ 제한경쟁채용 응시자격 1) 준법지원(경력-변호사) : 「변호사법」 제4조에 따른 국내변호사 자격증 소지자로서, 직무경력 3년 이상인 자 2) 회계세무(경력-회계사) : 국내 공인회계사(KICPA) 자격증 소지자로서, 직무경력(회계감사, 세무회계 등) 2년 이상인 자 3) 취업지원대상자(보훈) : 「국가유공자 등 예우 및 지원에 관한 법률」 상 취업지원대상자 ※ 신입·경력 전체 모집분야 중 1개만 지원 가능(중복 지원 불가) ※ 자세한 사항은 채용 공고문 참조</x:v>
      </x:c>
      <x:c r="K20" s="17" t="str">
        <x:v>ㅇ 기초생활수급자·차상위계층, 한부모가족, 경력단절여성, 다문화가족, 북한이탈주민, 자립준비청년, 의사상자, 청년 : 서류전형 가점 5점 ㅇ 장애인 : 서류전형 면제, ㅇ 취업지원대상자(보훈) : 서류전형 면제, 필기전형·면접전형 가점(5점 또는 10점) ㅇ 중진공 청년인턴 최우수 표창 수상자('24-'26년) : 서류전형 면제(1회 恨) ㅇ 공공기관 체험형 청년인턴 근무경력 3개월 이상(중진공 포함)('24-'26년) : 서류전형 우대 ㅇ (채용목표제) 이전지역인재, 비수도권 지역인재, 장애·취업지원대상자(보훈) 대상 채용목표제 기준 적용 ※ 우대사항 적용 대상자도 정상적인 원서접수 제출 완료는 필수이며, 응시자격 미충족 및 비계량평가 부적격 판정 시 불합격 처리, 추후 입사지원서 진위여부 검증 시 증빙서류를 미제출하거나, 지원서 내용 등이 허위로 판명된 경우 합격취소 처리되므로 유의 ※ 자세한 사항은 채용 공고문 참조</x:v>
      </x:c>
      <x:c r="L20" s="17" t="str">
        <x:v>명시 있음</x:v>
      </x:c>
      <x:c r="M20" s="17" t="str">
        <x:v>의사, 어학</x:v>
      </x:c>
      <x:c r="N20" s="17" t="str">
        <x:v>[모집분야/인원] ※ 분야별 모집인원 채용 공고 참조 ㅇ 일반직 총 60명 (공개경쟁채용 47명, 제한경쟁채용 13명) 1) 공개경쟁 : 경영기획_전국 12명, 기업평가(경영)_전국 5명, 기업평가(경영)_강원권 1명, 기업평가(경영)_충청권 1명, 기업평가(경영)_호남권 1명, 기업평가(기술)_전국 8명, 기업평가(기술)_강원권 1명, 기업평가(기술)_충청권 1명, 기업평가(기술)_호남권 1명, 글로벌_전국 3명, 채권관리·준법지원_전국 4명, 통계금융공학_전국 2명, IT융합(IT전산) 5명, IT융합(빅데이터·AI) 2명 2) 제한경쟁 : 준법지원(경력-변호사)_대전 1명, 회계세무(경력-회계사)_전국 2명, 취업지원대상자(보훈)_전국 10명 [전형절차/일정] ※ 전형절차 및 일정·장소 등은 기관 내부사정 등에 따라 변동될 수 있음 1) 채용공고 (8.26.(수)) : 잡알리오, 중진공 누리집, 나라일터 등 2) 원서접수 (8.28.(금) 10:00~9.10.(목) 17:00) : 지원서 온라인 접수(https://kosmes.applyin.co.kr) 3) 서류전형 (9.11.(금)~10.1.(목), 30배수 선발) : 계량평가 50% + 비계량평가 50% 및 가점, 합산 점수 고득점 순 선발 * 계량(교육이수, 자격사항, 어학성적(영어)), 비계량(자기소개서, 직무수행계획서, 경력경험기술서) ** 제한경쟁채용(변호사·회계사)은 채용예정인원의 5배수 선발 및 필기 전형 면제 4) 필기전형 (10.10.(토), 5배수 선발) : 직업기초능력평가 60% + 전공지식평가 40%, 합산 점수 고득점 순 선발 * 직업기초능력평가(NCS문항, 객관식 50문항), 전공지식평가(선택과목 택1, 객관식 40문항) ** 과락기준 : 직업기초능력평가 50점 미만 또는 전공지식평가 40점 미만 과락 처리 (장애·보훈 지원자는 각 과목별 40점 미만) *** 제한경쟁채용(변호사·회계사) 대상자는 필기전형 면제 5) 1차 면접 (10.26.(월)~10.28.(수), 2~3배수 선발) : 직무과제수행면접 30% + 직무역량면접 70%, 합산 점수 고득점 순 선발 * 과락기준 : 합산 점수 60점 미만 과락 처리 ※ 1차면접 대상 인원 규모에 따라 면접 일정은 상기 기간 중 2일간 운영될 수 있음, 필기전형 합격자 발표 시, 합격자를 대상으로 세부 일정 및 응시 장소 별도 안내하며, 필기전형 합격자는 기한 내 1차면접 전형 응시 여부 응답 필수(미응답 시 응시 불가) 6) 2차 면접 (11.24.(화)~11.27.(금), 최종 합격자 선발) : 중진공 핵심가치, 인재상 부합 여부 등 종합평가 * 과락기준 : 합산 점수 60점 미만 과락 처리 ※ 2차면접 대상 인원 규모에 따라 면접 일정은 상기 기간 중 3일간 운영될 수 있음, 1차면접 합격자 발표 시, 합격자를 대상으로 세부 일정 및 응시 장소 별도 안내하며, 1차면접 합격자는 기한 내 2차면접 전형 응시 여부 응답 필수(미응답 시 응시 불가) 7) 합격발표 (12.18.(금)) 8) 임용 (12.30.(수)) ※ 예비합격자 제도 운영(필기전형·1차면접·2차면접, 채용예정인원에 따라 1~2배수) * 전형과정별(최종전형 제외) 예비합격자는 별도 안내하지 않음, 최종전형 예비합격자는 발표 다음날로부터 1개월까지 운영 ※ 이의신청 : 채용결과에 이의가 있을 경우 전형별 합격자 발표일로부터 3일 이내 중진공 채용 누리집으로 접수 ※ 자세한 사항은 채용 공고문 참조</x:v>
      </x:c>
      <x:c r="O20" s="17" t="str">
        <x:v>(토), 5배수 선발) : 직업기초능력평가 60% + 전공지식평가 40%, 합산 점수 고득점 순 선발 * 직업기초능력평가(NCS문항, 객관식 50문항), 전공지식평가(선택과목 택1, 객관식 40문항) ** 과락기준 : 직업기초능력평가 50점 미만 또는 전공지식평가 40점 미만 과락 처리 (장애·보훈 지원자는 각 과목별 40점 미만) *** 제한경쟁채용(변호사·회계사) 대상자는 필기전형 면제 5) 1차 면접 (10 / (수), 2~3배수 선발) : 직무과제수행면접 30% + 직무역량면접 70%, 합산 점수 고득점 순 선발 * 과락기준 : 합산 점수 60점 미만 과락 처리 ※ 1차면접 대상 인원 규모에 따라 면접 일정은 상기 기간 중 2일간 운영될 수 있음, 필기전형 합격자 발표 시, 합격자를 대상으로 세부 일정 및 응시 장소 별도 안내하며, 필기전형 합격자는 기한 내 1차면접 전형 응시 여부 응답 필수(미응답 시 응시 불가) 6) 2차 면접 (11 / (금), 최종 합격자 선발) : 중진공 핵심가치, 인재상 부합 여부 등 종합평가 * 과락기준 : 합산 점수 60점 미만 과락 처리 ※ 2차면접 대상 인원 규모에 따라 면접 일정은 상기 기간 중 3일간 운영될 수 있음, 1차면접 합격자 발표 시, 합격자를 대상으로 세부 일정 및 응시 장소 별도 안내하며, 1차면접 합격자는 기한 내 2차면접 전형 응시 여부 응답 필수(미응답 시 응시 불가) 7) 합격발표 (12 / (수)) ※ 예비합격자 제도 운영(필기전형·1차면접·2차면접, 채용예정인원에 따라 1~2배수) * 전형과정별(최종전형 제외) 예비합격자는 별도 안내하지 않음, 최종전형 예비합격자는 발표 다음날로부터 1개월까지 운영 ※ 이의신청 : 채용결과에 이의가 있을 경우 전형별 합격자 발표일로부터 3일 이내 중진공 채용 누리집으로 접수 ※ 자세한 사항은 채용 공고문 참조</x:v>
      </x:c>
      <x:c r="P20" s="17" t="str">
        <x:v>https://kosmes.applyin.co.kr/</x:v>
      </x:c>
      <x:c r="Q20" s="18" t="str">
        <x:v>https://job.alio.go.kr/recruitview.do?idx=304230</x:v>
      </x:c>
      <x:c r="R20" s="1"/>
      <x:c r="S20" s="1"/>
      <x:c r="T20" s="1"/>
      <x:c r="U20" s="1"/>
      <x:c r="V20" s="1"/>
      <x:c r="W20" s="1"/>
      <x:c r="X20" s="1"/>
      <x:c r="Y20" s="1"/>
      <x:c r="Z20" s="1"/>
    </x:row>
    <x:row r="21" ht="76" customHeight="1">
      <x:c r="A21" s="17" t="n">
        <x:v>17</x:v>
      </x:c>
      <x:c r="B21" s="17" t="str">
        <x:v>한국전기안전공사</x:v>
      </x:c>
      <x:c r="C21" s="17" t="str">
        <x:v>2026년 하반기 채용형 인턴 채용</x:v>
      </x:c>
      <x:c r="D21" s="17" t="str">
        <x:v>신입</x:v>
      </x:c>
      <x:c r="E21" s="17" t="str">
        <x:v>청년인턴(채용형)</x:v>
      </x:c>
      <x:c r="F21" s="17" t="str">
        <x:v>서울,인천,대전,부산,울산,경기,강원,충남,충북,경남,전북,제주,세종,전남광주</x:v>
      </x:c>
      <x:c r="G21" s="17" t="str">
        <x:v>학력무관</x:v>
      </x:c>
      <x:c r="H21" s="17" t="str">
        <x:v>87명</x:v>
      </x:c>
      <x:c r="I21" s="17" t="str">
        <x:v>사업관리,경영.회계.사무,전기.전자,환경.에너지.안전</x:v>
      </x:c>
      <x:c r="J21" s="17" t="str">
        <x:v>1. 공통사항 - 성별, 연령 제한 없음 (단, 임용일 기준 공사 연령정년인 만 60세 초과자 제외) - 입사일 당일부터 근무 가능자 (입사연기 불가) - 공사 「인사규정」 제6조의 결격사유에 해당하지 않는 자 - 「병역법」 제76조에 정한 병역의무 불이행 사실이 없는 자 - 모집분야별, 근무지별 중복지원 불가 / 중복지원 시 불합격 처리 2. 경영관리(보훈) : 「국가유공자 등 예우 및 지원에 관한 법률」 제29조에 의한 취업지원대상자 3. 경영관리(일반) : 제한 없음 4. 기술(보훈) : 가, 나에 해당하는 자격을 모두 갖춘 자 가. 「국가유공자 등 예우 및 지원에 관한 법률」 제29조에 의한 취업지원대상자 나. 다음 중 1개 이상의 자격을 갖춘 자 - 전기분야 기능사 이상 자격이 있는 사람 - 고등학교에서 전기 관련 학과를 졸업한 자 또는 이와 같은 수준 이상의 학력이 있는 자 5. 기술(일반) : 다음 중 1개 이상의 자격을 갖춘 자 - 전기분야 기능사 이상 자격이 있는 사람 - 고등학교에서 전기 관련 학과를 졸업한 자 또는 이와 같은 수준 이상의 학력이 있는 자</x:v>
      </x:c>
      <x:c r="K21" s="17" t="str">
        <x:v>1. 「국가유공자 등의 예우 및 지원에 관한 법률」 제31조에 따른 취업지원 대상자 2. 「장애인복지법 시행령」 제2조제1항의 장애인 또는 「국가유공자 등 예우 및 지원에 관한 법률 시행령」 제14조제3항의 상이등급 기준에 해당하는 자 3. 「국민기초생활 보장법」에 따른 수급자 4. 「한부모가족지원법」에 따른 보호대상자 5. 「북한이탈주민의 보호 및 정착지원에 관한 법률」에 따른 북한이탈주민등록자 6. 「다문화가족지원법」 제2조에 따른 다문화가족의 자녀 7. 「아동복지법」에 따른 자립지원 대상자로, 접수마감일 기준 보호조치가 종료되거나 보호시설을 퇴소한 지 5년 이내인 자 8. 한국전기안전공사 체험형 인턴 수료자 9. 한국전기안전공사가 주관한 대국민 공모전 입상자 (장관상 이상)</x:v>
      </x:c>
      <x:c r="L21" s="17" t="str">
        <x:v>미탐지(원문 재확인)</x:v>
      </x:c>
      <x:c r="M21" s="17" t="str"/>
      <x:c r="N21" s="17" t="str">
        <x:v>1. 전형절차 및 방법 가. 1차 서류전형 : 8배수 선발 1) 서류전형 배점 고득점자 순으로 8배수로 합격자 선정 2) 사회형평인재 서류전형 합격배수(8배수) 외 서류합격처리 - 경영관리 : 사회형평인재 해당 지원자 전원 서류합격 처리 - 기술 : ① 해당 채용분야의 지원자격 충족 + ② 사회형평인재 해당자 서류합격 처리 나. 2차 시험전형 : 2배수 선발(채용인원이 2명 이하인 경우 3배수) 1) 직업기초능력평가(30%) + 직무수행능력평가(70%)로 성적순 결정 2) 직업기초능력 및 직무수행능력평가 각 40점 미만 득점자는 결격 처리 3) 시험전형 합격자 대상 인성검사(온라인) 실시 다. 3차 면접전형(구조화된 면접 실시) 1) 상황면접(5분/다대일) + 역량면접(1인당 10분/다대다) 2) 면접위원 합산점수가 평균 60점 미만인 자는 결격 처리 3) 자기소개서 미제출 또는 인성검사 미응시자의 경우 면접응시 불가 라. 최종합격자 결정 : 시험전형(50%) + 면접전형(50%) 2. 전형일정 가. 채용공고 : 9. 8.(화) ~ 9. 22.(화) / 공사 채용홈페이지, Job알리오 등 나. 지원서 접수 : 9. 14.(월) 10:00 ~ 9. 22.(화) 17:00 / 공사 채용홈페이지 다. 서류전형 합격자 발표 : 10. 19.(월) / SMS, 공사 홈페이지 라. 시험전형 : 10. 24.(토) / 서울 마. 시험전형 합격자 발표 : 10. 30.(금) / SMS, 공사 홈페이지 바. 자기소개서 제출, 온라인 인성검사 실시 : 10. 30.(금) ~ 11. 3.(화) 14:00 / 공사 채용홈페이지 사. 면접전형 : 11. 16.(월) ~ 11. 20.(금) / 서울 아. 최종합격자 발표 : 12. 14.(월) / SMS, 공사 홈페이지</x:v>
      </x:c>
      <x:c r="O21" s="17" t="str">
        <x:v>3차 면접전형(구조화된 면접 실시) 1) 상황면접(5분/다대일) + 역량면접(1인당 10분/다대다) 2) 면접위원 합산점수가 평균 60점 미만인 자는 결격 처리 3) 자기소개서 미제출 또는 인성검사 미응시자의 경우 면접응시 불가 라 / 최종합격자 결정 : 시험전형(50%) + 면접전형(50%) 2 / 면접전형 : 11</x:v>
      </x:c>
      <x:c r="P21" s="17" t="str">
        <x:v>https://kesco.or.kr/recruit/main.do</x:v>
      </x:c>
      <x:c r="Q21" s="18" t="str">
        <x:v>https://job.alio.go.kr/recruitview.do?idx=304762</x:v>
      </x:c>
      <x:c r="R21" s="1"/>
      <x:c r="S21" s="1"/>
      <x:c r="T21" s="1"/>
      <x:c r="U21" s="1"/>
      <x:c r="V21" s="1"/>
      <x:c r="W21" s="1"/>
      <x:c r="X21" s="1"/>
      <x:c r="Y21" s="1"/>
      <x:c r="Z21" s="1"/>
    </x:row>
    <x:row r="22" ht="76" customHeight="1">
      <x:c r="A22" s="17" t="n">
        <x:v>18</x:v>
      </x:c>
      <x:c r="B22" s="17" t="str">
        <x:v>주택관리공단(주)</x:v>
      </x:c>
      <x:c r="C22" s="17" t="str">
        <x:v>채용형 인턴 채용공고(주택관리공단 경기북부지사)</x:v>
      </x:c>
      <x:c r="D22" s="17" t="str">
        <x:v>신입+경력</x:v>
      </x:c>
      <x:c r="E22" s="17" t="str">
        <x:v>청년인턴(채용형)</x:v>
      </x:c>
      <x:c r="F22" s="17" t="str">
        <x:v>경기</x:v>
      </x:c>
      <x:c r="G22" s="17" t="str">
        <x:v>학력무관</x:v>
      </x:c>
      <x:c r="H22" s="17" t="str">
        <x:v>1명</x:v>
      </x:c>
      <x:c r="I22" s="17" t="str">
        <x:v>건설,기계,전기.전자,환경.에너지.안전</x:v>
      </x:c>
      <x:c r="J22" s="17" t="str">
        <x:v>○ 응시자격 · 학력, 어학, 성별, 연령 : 제한없음 · 병역 : ?병역법? 제76조에서 정한 병역의무 불이행 사실이 없는 자 * 단, 최종 합격자 발표일까지 전역예정자로서 전형절차에 응시 가능자 지원 가능 · 기타 : 공단 직원채용 결격사유에 해당되지 않는 자</x:v>
      </x:c>
      <x:c r="K22" s="17" t="str">
        <x:v>○ 우대내용 · 공동주택관리의 행정, 기술업무 수행에 필요한 자격증소지자 · 장애인, 국민기초생활수급자 등 · 청년고용촉진 특별법에 의한 청년(만 15세 이상 34세 이하) 및 고졸자 · 본사 이전지역(경남, 울산) 인재 - 최종학력이 경상남도 또는 울산광역시 지역 고등학교 이상 졸업자(대학원 제외) · 공동주택 시설물 선임관련 기능사이상 자격소지자(선임 가능자) · 장애인 : 서류, 면접전형시 만점의 5% · 국민기초생활보장 수급자 : 서류, 면접전형시 만점의 5% · 우리공단근무(체험형인턴) : 서류전형시 만점의 3% · 기타 자세한 내용은 공고문 참조</x:v>
      </x:c>
      <x:c r="L22" s="17" t="str">
        <x:v>명시 있음</x:v>
      </x:c>
      <x:c r="M22" s="17" t="str">
        <x:v>어학</x:v>
      </x:c>
      <x:c r="N22" s="17" t="str">
        <x:v>○ 채용절차 1. 채용공고 2. 입사지원서 작성 및 제출 3. 1차 서류전형 4. 1차 서류전형 합격자 발표 5. 2차 면접전형 6. 2차 면접전형 합격자 발표 7. 결격사유 확인 8. 최종합격자 발표 9. 임용 ○ 채용방법 - 국가직무능력표준(NCS)에 기반하여 직업능력(직업기초능력+직무수행능력)평가</x:v>
      </x:c>
      <x:c r="O22" s="17" t="str">
        <x:v>2차 면접전형 6 / 2차 면접전형 합격자 발표 7</x:v>
      </x:c>
      <x:c r="P22" s="17" t="str">
        <x:v>http://www.kohom.or.kr/</x:v>
      </x:c>
      <x:c r="Q22" s="18" t="str">
        <x:v>https://job.alio.go.kr/recruitview.do?idx=304739</x:v>
      </x:c>
      <x:c r="R22" s="1"/>
      <x:c r="S22" s="1"/>
      <x:c r="T22" s="1"/>
      <x:c r="U22" s="1"/>
      <x:c r="V22" s="1"/>
      <x:c r="W22" s="1"/>
      <x:c r="X22" s="1"/>
      <x:c r="Y22" s="1"/>
      <x:c r="Z22" s="1"/>
    </x:row>
    <x:row r="23" ht="76" customHeight="1">
      <x:c r="A23" s="17" t="n">
        <x:v>19</x:v>
      </x:c>
      <x:c r="B23" s="17" t="str">
        <x:v>주택관리공단(주)</x:v>
      </x:c>
      <x:c r="C23" s="17" t="str">
        <x:v>채용형 인턴 채용공고(주택관리공단 대구경북지사)</x:v>
      </x:c>
      <x:c r="D23" s="17" t="str">
        <x:v>신입+경력</x:v>
      </x:c>
      <x:c r="E23" s="17" t="str">
        <x:v>청년인턴(채용형)</x:v>
      </x:c>
      <x:c r="F23" s="17" t="str">
        <x:v>대구</x:v>
      </x:c>
      <x:c r="G23" s="17" t="str">
        <x:v>학력무관</x:v>
      </x:c>
      <x:c r="H23" s="17" t="str">
        <x:v>1명</x:v>
      </x:c>
      <x:c r="I23" s="17" t="str">
        <x:v>건설,기계,전기.전자,환경.에너지.안전</x:v>
      </x:c>
      <x:c r="J23" s="17" t="str">
        <x:v>○ 응시자격 · 학력, 어학, 성별, 연령 : 제한없음 · 병역 : ?병역법? 제76조에서 정한 병역의무 불이행 사실이 없는 자 * 단, 최종 합격자 발표일까지 전역예정자로서 전형절차에 응시 가능자 지원 가능 · 기타 : 공단 직원채용 결격사유에 해당되지 않는 자</x:v>
      </x:c>
      <x:c r="K23" s="17" t="str">
        <x:v>○ 우대내용 · 공동주택관리의 행정, 기술업무 수행에 필요한 자격증소지자 · 장애인, 국민기초생활수급자 등 · 청년고용촉진 특별법에 의한 청년(만 15세 이상 34세 이하) 및 고졸자 · 본사 이전지역(경남, 울산) 인재 - 최종학력이 경상남도 또는 울산광역시 지역 고등학교 이상 졸업자(대학원 제외) · 공동주택 시설물 선임관련 기능사이상 자격소지자(선임 가능자) · 장애인 : 서류, 면접전형시 만점의 5% · 국민기초생활보장 수급자 : 서류, 면접전형시 만점의 5% · 우리공단근무(체험형인턴) : 서류전형시 만점의 3% · 기타 자세한 내용은 공고문 참조</x:v>
      </x:c>
      <x:c r="L23" s="17" t="str">
        <x:v>명시 있음</x:v>
      </x:c>
      <x:c r="M23" s="17" t="str">
        <x:v>어학</x:v>
      </x:c>
      <x:c r="N23" s="17" t="str">
        <x:v>○ 채용절차 1. 채용공고 2. 입사지원서 작성 및 제출 3. 1차 서류전형 4. 1차 서류전형 합격자 발표 5. 2차 면접전형 6. 2차 면접전형 합격자 발표 7. 결격사유 확인 8. 최종합격자 발표 9. 임용 ○ 채용방법 - 국가직무능력표준(NCS)에 기반하여 직업능력(직업기초능력+직무수행능력)평가</x:v>
      </x:c>
      <x:c r="O23" s="17" t="str">
        <x:v>2차 면접전형 6 / 2차 면접전형 합격자 발표 7</x:v>
      </x:c>
      <x:c r="P23" s="17" t="str">
        <x:v>http://www.kohom.or.kr/</x:v>
      </x:c>
      <x:c r="Q23" s="18" t="str">
        <x:v>https://job.alio.go.kr/recruitview.do?idx=304587</x:v>
      </x:c>
      <x:c r="R23" s="1"/>
      <x:c r="S23" s="1"/>
      <x:c r="T23" s="1"/>
      <x:c r="U23" s="1"/>
      <x:c r="V23" s="1"/>
      <x:c r="W23" s="1"/>
      <x:c r="X23" s="1"/>
      <x:c r="Y23" s="1"/>
      <x:c r="Z23" s="1"/>
    </x:row>
    <x:row r="24" ht="76" customHeight="1">
      <x:c r="A24" s="17" t="n">
        <x:v>20</x:v>
      </x:c>
      <x:c r="B24" s="17" t="str">
        <x:v>한국수목원정원관리원</x:v>
      </x:c>
      <x:c r="C24" s="17" t="str">
        <x:v>한국수목원정원관리원 2026년 제3차 신규직원 채용 공고</x:v>
      </x:c>
      <x:c r="D24" s="17" t="str">
        <x:v>신입+경력</x:v>
      </x:c>
      <x:c r="E24" s="17" t="str">
        <x:v>무기계약직,정규직</x:v>
      </x:c>
      <x:c r="F24" s="17" t="str">
        <x:v>강원,경북,세종,전남광주</x:v>
      </x:c>
      <x:c r="G24" s="17" t="str">
        <x:v>학력무관,고졸,석사</x:v>
      </x:c>
      <x:c r="H24" s="17" t="str">
        <x:v>27명</x:v>
      </x:c>
      <x:c r="I24" s="17" t="str">
        <x:v>사업관리,경영.회계.사무,교육.자연.사회과학,문화.예술.디자인.방송,이용.숙박.여행.오락.스포츠,전기.전자,정보통신,환경.에너지.안전,농림어업</x:v>
      </x:c>
      <x:c r="J24" s="17" t="str">
        <x:v>(일반직) - 4급 : 1. 정부, 공공기관, 사기업 등에서 채용예정 직무 관련 3년 이상 경력이 있는 자 2. 채용직무별 필수자격 사항을 충족하는 자 (일반직, 전시직) - 5급가 : 채용예정 직무를 수행할 수 있다고 인정되는 자(채용직무별 필수자격 및 우대사항 참조) - 5급나 : 공고시작일 기준 최종 학력이 고등학교 졸업(예정)자 중에서 대학에 진학한 적이 없고 학교장 추천을 받은 자 (전문직) - 5급가 : 채용예정 직무 분야와 관련하여 석사학위 이상 취득자 (공무직) - 채용예정 직무를 수행할 수 있다고 인정되는 자(채용직무별 필수자격 및 우대사항 참조) ※ 보다 자세한 사항은 첨부된 채용공고문 참조</x:v>
      </x:c>
      <x:c r="K24" s="17" t="str">
        <x:v>취업지원대상자, 장애인 및 취업보호대상자, 정부권장정책(국민기초생활수급자, 차상위계층, 한부모가족 세대주, 북한이탈주민 보호대상자, 다문화가족의 자녀, 경력단절여성, 자립준비청년, 공공기관 청년인턴 수료자 등), 지역인재, 한국사능력검정시험 3급 이상 취득자 등 ※ 보다 자세한 사항은 첨부된 채용공고문 참조</x:v>
      </x:c>
      <x:c r="L24" s="17" t="str">
        <x:v>명시 있음</x:v>
      </x:c>
      <x:c r="M24" s="17" t="str">
        <x:v>한국사</x:v>
      </x:c>
      <x:c r="N24" s="17" t="str">
        <x:v>(일반직 4급) - 1차(서류) 전형 : 5배수, 경력사항, 자격증, 직무수행계획서 및 자기소개서 - 2차(면접) 전형 : AI면접, 직무발표, 구조화 면접 (일반직, 전시직 5급가·나) - 1차(서류) 전형 : 15배수, 자격증, 영어시험(일반행정만 해당), 직무수행계획서 및 자기소개서 - 2차(필기) 전형 : 5배수, 직무상식시험, 직업기초능력검사, 인성검사 - 3차(면접) 전형 : AI면접, 토론면접, 구조화 면접 (전문직 5급가) - 1차(서류) 전형 : 10배수, 논문(연구실적), 직무수행계획서 및 자기소개서 - 2차(필기) 전형 : 5배수, 직업기초능력검사, 인성검사 - 3차(면접) 전형 : AI면접, 논문실적 발표, 구조화 면접 (공무직) - 1차(서류)전형 : 5배수, 자격증, 직무수행계획서 및 자기소개서 - 2차(면접)전형 : 구조화 면접 ※ 보다 자세한 사항은 첨부된 채용공고문 참조</x:v>
      </x:c>
      <x:c r="O24" s="17" t="str">
        <x:v>(일반직 4급) - 1차(서류) 전형 : 5배수, 경력사항, 자격증, 직무수행계획서 및 자기소개서 - 2차(면접) 전형 : AI면접, 직무발표, 구조화 면접 (일반직, 전시직 5급가·나) - 1차(서류) 전형 : 15배수, 자격증, 영어시험(일반행정만 해당), 직무수행계획서 및 자기소개서 - 2차(필기) 전형 : 5배수, 직무상식시험, 직업기초능력검사, 인성검사 - 3차(면접) 전형 : AI면접, 토론면접, 구조화 면접 (전문직 5급가) - 1차(서류) 전형 : 10배수, 논문(연구실적), 직무수행계획서 및 자기소개서 - 2차(필기) 전형 : 5배수, 직업기초능력검사, 인성검사 - 3차(면접) 전형 : AI면접, 논문실적 발표, 구조화 면접 (공무직) - 1차(서류)전형 : 5배수, 자격증, 직무수행계획서 및 자기소개서 - 2차(면접)전형 : 구조화 면접 ※ 보다 자세한 사항은 첨부된 채용공고문 참조</x:v>
      </x:c>
      <x:c r="P24" s="17" t="str">
        <x:v>https://www.koagi.or.kr/www/user/bbs/BD_selectBbsList.do?q_bbsSn=1009</x:v>
      </x:c>
      <x:c r="Q24" s="18" t="str">
        <x:v>https://job.alio.go.kr/recruitview.do?idx=304713</x:v>
      </x:c>
      <x:c r="R24" s="1"/>
      <x:c r="S24" s="1"/>
      <x:c r="T24" s="1"/>
      <x:c r="U24" s="1"/>
      <x:c r="V24" s="1"/>
      <x:c r="W24" s="1"/>
      <x:c r="X24" s="1"/>
      <x:c r="Y24" s="1"/>
      <x:c r="Z24" s="1"/>
    </x:row>
    <x:row r="25" ht="76" customHeight="1">
      <x:c r="A25" s="17" t="n">
        <x:v>21</x:v>
      </x:c>
      <x:c r="B25" s="17" t="str">
        <x:v>경제인문사회연구회</x:v>
      </x:c>
      <x:c r="C25" s="17" t="str">
        <x:v>2026년도 제9차 직원채용 공고(정규직 부전문위원)</x:v>
      </x:c>
      <x:c r="D25" s="17" t="str">
        <x:v>신입+경력</x:v>
      </x:c>
      <x:c r="E25" s="17" t="str">
        <x:v>정규직</x:v>
      </x:c>
      <x:c r="F25" s="17" t="str">
        <x:v>세종</x:v>
      </x:c>
      <x:c r="G25" s="17" t="str">
        <x:v>고졸</x:v>
      </x:c>
      <x:c r="H25" s="17" t="str">
        <x:v>1명</x:v>
      </x:c>
      <x:c r="I25" s="17" t="str">
        <x:v>경영.회계.사무</x:v>
      </x:c>
      <x:c r="J25" s="17" t="str">
        <x:v>▶ 만 60세 미만인 사람 ▶ 고등학교 졸업 후 4년 이상 교육 또는 해당 분야 실무 경력 가진 사람 - 상기 요건과 동등한 자격이 있다고 인정되는 사람 ▶ 연구회 「인사규정」 제24조(결격사유)에 해당되지 않는 사람</x:v>
      </x:c>
      <x:c r="K25" s="17" t="str">
        <x:v>▶ 취업지원대상자, 장애인, 저소득층, 지역인재, 청년인턴 등은 관계법령에 의해 우대하여 채용전형 시 가점을 부여 1) 취업지원대상자: 5～10%, 관계법령에 의하여 국가보훈처에서 취업지원대상자 관련증빙 제출이 가능한 사람 2) 장애인: 5%, 「장애인고용촉진 및 직업재활법」 적용 대상자 3) 저소득층: 2%, 「국민기초생활보장법」에 의한 기초생활보장수급자 및 차상위계층에 속한자, 「한부모가족지원법」에 의거 보호를 받는 한부모가족으로 증빙 가능한 사람 4) 지역인재: 2%, 충청권(세종특별자치시, 대전광역시, 충청남도, 충청북도)지역인재 5) 청년인턴: 2%, 연구회에서 6개월 이상 연속 근무한 청년인턴으로 채용공고일 기준 퇴사일로부터 2년 이내에 정규직 또는 무기계약직 채용전형에 지원한 경우 ※ 우대사항이 복수에 해당하는 경우 높은 가점 1개만 적용.</x:v>
      </x:c>
      <x:c r="L25" s="17" t="str">
        <x:v>명시 있음</x:v>
      </x:c>
      <x:c r="M25" s="17" t="str">
        <x:v>의사</x:v>
      </x:c>
      <x:c r="N25" s="17" t="str">
        <x:v>▶ (1차) 서류심사(10월 초): 50배수 이내, 정량 - 교육사항(20점), 자격사항(10점), 정성 - 경력사항(20점), 자기소개서(50점) ▶ (2차) 필기전형(10월 20일~10월 25일 예정): 20배수 이내, 직업기초능력평가(NCS - 의사소통능력, 수리능력, 문제해결능력)(50%), 직무수행능력평가(논술- 직무내용에 대한 사항)(50%) ▶ (3차) 인성검사 및 제출서류 진위확인(11월 초): 필기전형 합격자 대상 온라인 인성검사(면접전형 시 참고자료로 활용) 및 응시요건, 가점사항 등 제출서류 진위 확인 ▶ (4차) 1차 면접심사(12월 초): 5배수 이내, 직업기초능력(60점), 직무수행태도(40점) - 인성 및 직무관련 구조화 면접 ▶ (5차) 2차 면접심사(12월 중): 1배수, 직업기초능력(60점), 직무수행태도(40점) - PT발표, 인성 및 직무관련 구조화 면접 ▶ 합격자 발표: 12월 말, 2차 면접점수 60점 이상인자 중 고득점자 ▶ 임용: 1월 초 예정 ※ 가점(2%~10%)은 각 전형별로 부여하며, 일정은 채용 진행 상황에 따라 일부 변경될 수 있음. ※ 각 전형별 예비합격자를 2명 이내로 선정할 수 있음.</x:v>
      </x:c>
      <x:c r="O25" s="17" t="str">
        <x:v>▶ (1차) 서류심사(10월 초): 50배수 이내, 정량 - 교육사항(20점), 자격사항(10점), 정성 - 경력사항(20점), 자기소개서(50점) ▶ (2차) 필기전형(10월 20일~10월 25일 예정): 20배수 이내, 직업기초능력평가(NCS - 의사소통능력, 수리능력, 문제해결능력)(50%), 직무수행능력평가(논술- 직무내용에 대한 사항)(50%) ▶ (3차) 인성검사 및 제출서류 진위확인(11월 초): 필기전형 합격자 대상 온라인 인성검사(면접전형 시 참고자료로 활용) 및 응시요건, 가점사항 등 제출서류 진위 확인 ▶ (4차) 1차 면접심사(12월 초): 5배수 이내, 직업기초능력(60점), 직무수행태도(40점) - 인성 및 직무관련 구조화 면접 ▶ (5차) 2차 면접심사(12월 중): 1배수, 직업기초능력(60점), 직무수행태도(40점) - PT발표, 인성 및 직무관련 구조화 면접 ▶ 합격자 발표: 12월 말, 2차 면접점수 60점 이상인자 중 고득점자 ▶ 임용: 1월 초 예정 ※ 가점(2%~10%)은 각 전형별로 부여하며, 일정은 채용 진행 상황에 따라 일부 변경될 수 있음</x:v>
      </x:c>
      <x:c r="P25" s="17" t="str">
        <x:v>https://nrc.recruiter.co.kr/</x:v>
      </x:c>
      <x:c r="Q25" s="18" t="str">
        <x:v>https://job.alio.go.kr/recruitview.do?idx=304682</x:v>
      </x:c>
      <x:c r="R25" s="1"/>
      <x:c r="S25" s="1"/>
      <x:c r="T25" s="1"/>
      <x:c r="U25" s="1"/>
      <x:c r="V25" s="1"/>
      <x:c r="W25" s="1"/>
      <x:c r="X25" s="1"/>
      <x:c r="Y25" s="1"/>
      <x:c r="Z25" s="1"/>
    </x:row>
    <x:row r="26" ht="76" customHeight="1">
      <x:c r="A26" s="17" t="n">
        <x:v>22</x:v>
      </x:c>
      <x:c r="B26" s="17" t="str">
        <x:v>경북대학교병원</x:v>
      </x:c>
      <x:c r="C26" s="17" t="str">
        <x:v>2026년 제4차 정규직 공개채용 공고</x:v>
      </x:c>
      <x:c r="D26" s="17" t="str">
        <x:v>신입+경력</x:v>
      </x:c>
      <x:c r="E26" s="17" t="str">
        <x:v>정규직</x:v>
      </x:c>
      <x:c r="F26" s="17" t="str">
        <x:v>대구</x:v>
      </x:c>
      <x:c r="G26" s="17" t="str">
        <x:v>학력무관</x:v>
      </x:c>
      <x:c r="H26" s="17" t="str">
        <x:v>51명</x:v>
      </x:c>
      <x:c r="I26" s="17" t="str">
        <x:v>보건.의료</x:v>
      </x:c>
      <x:c r="J26" s="17" t="str">
        <x:v>○ 행정직(법무), 별정직, 의료기술직, 시설기술직, 원무직, 간호조무직, 운영지원직 : 직무별 해당자격 소지자(세부사항 공고문 참조)</x:v>
      </x:c>
      <x:c r="K26" s="17" t="str">
        <x:v>- 국가유공자 등 예우 및 지원에 관한 법률에 따른 취업지원대상자: 법률상 가점 부여 (각 전형별 만점의 5% 또는 10%) - 장애인복지법 상 장애인: 각 전형별 만점의 10% 가점 부여 - 시설기술직(전기): 전기공사기사, 소방설비기사(전기) 이상 자격증 소지자 5점 부여 - 원무직(청원경찰): 무도 분야 자격증(단증) 소지자 가점 5점 부여 - 운영지원직(장례식장물품판매): 컴퓨터활용능력 2급 이상 소지자 또는 워드프로세서 자격증 소지자 2점 부여 - 그 외 공고문 참조</x:v>
      </x:c>
      <x:c r="L26" s="17" t="str">
        <x:v>미탐지(원문 재확인)</x:v>
      </x:c>
      <x:c r="M26" s="17" t="str">
        <x:v>전기공사기사, 소방설비기사, 컴퓨터활용능력</x:v>
      </x:c>
      <x:c r="N26" s="17" t="str">
        <x:v>1차: 지원서 자격적부 2차: 1차 필기전형/서류전형 3차: 2차 면접전형 최종: 3차 입사지원서 기재사항 진위확인 전형</x:v>
      </x:c>
      <x:c r="O26" s="17" t="str">
        <x:v>1차: 지원서 자격적부 2차: 1차 필기전형/서류전형 3차: 2차 면접전형 최종: 3차 입사지원서 기재사항 진위확인 전형</x:v>
      </x:c>
      <x:c r="P26" s="17" t="str">
        <x:v>https://www.knuh.kr/content/04information/02_01.asp</x:v>
      </x:c>
      <x:c r="Q26" s="18" t="str">
        <x:v>https://job.alio.go.kr/recruitview.do?idx=304548</x:v>
      </x:c>
      <x:c r="R26" s="1"/>
      <x:c r="S26" s="1"/>
      <x:c r="T26" s="1"/>
      <x:c r="U26" s="1"/>
      <x:c r="V26" s="1"/>
      <x:c r="W26" s="1"/>
      <x:c r="X26" s="1"/>
      <x:c r="Y26" s="1"/>
      <x:c r="Z26" s="1"/>
    </x:row>
    <x:row r="27" ht="76" customHeight="1">
      <x:c r="A27" s="17" t="n">
        <x:v>23</x:v>
      </x:c>
      <x:c r="B27" s="17" t="str">
        <x:v>한식진흥원</x:v>
      </x:c>
      <x:c r="C27" s="17" t="str">
        <x:v>2026년 제4차 한식진흥원 공개채용 공고</x:v>
      </x:c>
      <x:c r="D27" s="17" t="str">
        <x:v>신입+경력</x:v>
      </x:c>
      <x:c r="E27" s="17" t="str">
        <x:v>정규직</x:v>
      </x:c>
      <x:c r="F27" s="17" t="str">
        <x:v>서울,전남광주</x:v>
      </x:c>
      <x:c r="G27" s="17" t="str">
        <x:v>학력무관</x:v>
      </x:c>
      <x:c r="H27" s="17" t="str">
        <x:v>3명</x:v>
      </x:c>
      <x:c r="I27" s="17" t="str">
        <x:v>경영.회계.사무,문화.예술.디자인.방송</x:v>
      </x:c>
      <x:c r="J27" s="17" t="str">
        <x:v>(공통) 1. 임용일 기준 개인사업, 타 기관, 기업에 재직하는 등 겸직 사실이 없는 자 2. 만 18세 이상이고, 접수마감일 기준 정년(만60세) 이하인 자 3. 채용 확정 후 즉시 근무가 가능한 자(임용 예정일 변경 및 유예 불가) * 채용직무별 자격사항은 첨부된 채용공고문 참고</x:v>
      </x:c>
      <x:c r="K27" s="17" t="str">
        <x:v>취업지원대상자, 장애인, 정부권장정책에 해당하는 경우 ※ 보다 자세한 사항은 첨부된 채용공고문 참조</x:v>
      </x:c>
      <x:c r="L27" s="17" t="str">
        <x:v>미탐지(원문 재확인)</x:v>
      </x:c>
      <x:c r="M27" s="17" t="str"/>
      <x:c r="N27" s="17" t="str">
        <x:v>ㅁ 전형절차 : 서류전형, 필기전형, 면접전형, 최종합격 ㅇ 서류전형 - 평가기준 : 정량평가 및 정성평가 - 합격자 배수 : 12배수 이내 ㅇ 필기전형 - 평가과목 : 직무별 상이 - 합격자 배수 : 6배수 이내 ㅇ 면접전형 - 평가방법 : 직무별 상이 - 합격자배수 : 1배수 이내 ㅇ 이의제기 신청 기간 - 신청기간 : 10.16. ~ 10.22. 14시 - 신청방법 : 필수 기재항목(성명, 이메일, 연락처, 이의제기 상세이유)을 작성하여 이메일(recruit@hansik.or.kr)로 신청 - 결과회신 : 10.27. 회신 예정(개별 이메일 회신) ㅇ 최종합격 - 제출서류 등 검증 ※ 보다 자세한 사항은 첨부된 채용공고문 참조</x:v>
      </x:c>
      <x:c r="O27" s="17" t="str">
        <x:v>ㅁ 전형절차 : 서류전형, 필기전형, 면접전형, 최종합격 ㅇ 서류전형 - 평가기준 : 정량평가 및 정성평가 - 합격자 배수 : 12배수 이내 ㅇ 필기전형 - 평가과목 : 직무별 상이 - 합격자 배수 : 6배수 이내 ㅇ 면접전형 - 평가방법 : 직무별 상이 - 합격자배수 : 1배수 이내 ㅇ 이의제기 신청 기간 - 신청기간 : 10</x:v>
      </x:c>
      <x:c r="P27" s="17" t="str">
        <x:v>https://www.hansik.or.kr/board/no/empmn/view/303?csSignature=FE00C3739CDF036379DB5A519700568A&amp;bbsSeq=67468&amp;bbsId=303&amp;curPage=1&amp;bbsType=no&amp;menuSn=233&amp;flag=N&amp;searchWord=&amp;rowSize=20</x:v>
      </x:c>
      <x:c r="Q27" s="18" t="str">
        <x:v>https://job.alio.go.kr/recruitview.do?idx=304529</x:v>
      </x:c>
      <x:c r="R27" s="1"/>
      <x:c r="S27" s="1"/>
      <x:c r="T27" s="1"/>
      <x:c r="U27" s="1"/>
      <x:c r="V27" s="1"/>
      <x:c r="W27" s="1"/>
      <x:c r="X27" s="1"/>
      <x:c r="Y27" s="1"/>
      <x:c r="Z27" s="1"/>
    </x:row>
    <x:row r="28" ht="76" customHeight="1">
      <x:c r="A28" s="17" t="n">
        <x:v>24</x:v>
      </x:c>
      <x:c r="B28" s="17" t="str">
        <x:v>한국로봇산업진흥원</x:v>
      </x:c>
      <x:c r="C28" s="17" t="str">
        <x:v>2026년 제2차 한국로봇산업진흥원 신규직원 채용</x:v>
      </x:c>
      <x:c r="D28" s="17" t="str">
        <x:v>신입</x:v>
      </x:c>
      <x:c r="E28" s="17" t="str">
        <x:v>무기계약직,비정규직,청년인턴(체험형),정규직</x:v>
      </x:c>
      <x:c r="F28" s="17" t="str">
        <x:v>대구</x:v>
      </x:c>
      <x:c r="G28" s="17" t="str">
        <x:v>학력무관</x:v>
      </x:c>
      <x:c r="H28" s="17" t="str">
        <x:v>10명</x:v>
      </x:c>
      <x:c r="I28" s="17" t="str">
        <x:v>사업관리,경영.회계.사무,경비.청소,건설,전기.전자,연구</x:v>
      </x:c>
      <x:c r="J28" s="17" t="str">
        <x:v>ㅇ 학력 : 무관 ㅇ 전공 : 무관 ㅇ 경력 : 무관 ㅇ 연령 : 진흥원의 정년에 의거 만 60세 미만인 자 - 상근계약직(공무직) 경비의 경우 만 65세 미만인 자 ㅇ 병역 : 군필 또는 면제자(현역의 경우 최종합격자 발표일 이전에 전역 가능한 자)</x:v>
      </x:c>
      <x:c r="K28" s="17" t="str">
        <x:v>ㅇ 우대사항 - 장애인 : '장애인 고용촉진 및 직업재활에 관한 법률' 의거 장애인 등록이 되어있는 자 - 취업지원대상자 : '국가유공자 등 예우 및 지원에 관한 법률' 제31조의 채용시험 가점 대상자 - 저소득층 : 국민기초생활보장법에 의한 기초생활수급자 및 차사위 계층 - 다문화가족 : 다문화가족지원법 제2조에 의한 다문화가족의 자녀 - 북한이탈주민 : 북한이탈주민의 보호 및 정착지원에 관한 법률 제2조등에 해당하는 북한이탈주민 - 경력단절여성 : 경력단절여성등의 경제활동 촉진법에 따른 경제활동을 중단한 여성(채용공고시작일 기준 1년 이상 경력단절 여성) - 비수도권 지역인재 : 최종출신(예정)학교(대학원 제외)가 수도권(서울·인천·경기)을 제외한 국내지역에 소재한 자 (공고문 붙임4. 참조) - 인턴/비정규직 근로자 : 한국로봇산업진흥원에서 체험형 인턴 혹은 계약직으로 3개월 이상 근무자(채용공고시작일 기준 2년 이내 근무한 자) ㅇ 참고사항 : 우대사항 항목별(장애인, 취업지원대상자, 지역인재, 저소득층, 어학 등) 가장 높은 가산점을 합산하되 최대 10%을 넘지 않는 범위에서 인정 - 전형단계별·시험별 부적격(합격기준 미달) 해당 시 적용 제외 - 단, 장애와 취업지원대상자 가점이 중복 시 10% 초과 가능</x:v>
      </x:c>
      <x:c r="L28" s="17" t="str">
        <x:v>명시 있음</x:v>
      </x:c>
      <x:c r="M28" s="17" t="str">
        <x:v>어학</x:v>
      </x:c>
      <x:c r="N28" s="17" t="str">
        <x:v>ㅇ일반직/무기계약직 - 서류심사 : 적/부 - 필기평가 : NCS + 온라인 인성검사(적/부) - 면접시험 : 1차 직무 역량 면접, 2차 심층 역량 면접 ㅇ 계약직 - 서류심사 : 경험/경력 기술서 및 자기소개서(100점) - 필기평가 : 온라인 인성검사(적/부) - 면접시험 : 심층 역량 면접</x:v>
      </x:c>
      <x:c r="O28" s="17" t="str">
        <x:v>ㅇ일반직/무기계약직 - 서류심사 : 적/부 - 필기평가 : NCS + 온라인 인성검사(적/부) - 면접시험 : 1차 직무 역량 면접, 2차 심층 역량 면접 ㅇ 계약직 - 서류심사 : 경험/경력 기술서 및 자기소개서(100점) - 필기평가 : 온라인 인성검사(적/부) - 면접시험 : 심층 역량 면접</x:v>
      </x:c>
      <x:c r="P28" s="17" t="str">
        <x:v>https://dware.intojob.co.kr/main/kiria.jsp</x:v>
      </x:c>
      <x:c r="Q28" s="18" t="str">
        <x:v>https://job.alio.go.kr/recruitview.do?idx=304439</x:v>
      </x:c>
      <x:c r="R28" s="1"/>
      <x:c r="S28" s="1"/>
      <x:c r="T28" s="1"/>
      <x:c r="U28" s="1"/>
      <x:c r="V28" s="1"/>
      <x:c r="W28" s="1"/>
      <x:c r="X28" s="1"/>
      <x:c r="Y28" s="1"/>
      <x:c r="Z28" s="1"/>
    </x:row>
    <x:row r="29" ht="76" customHeight="1">
      <x:c r="A29" s="17" t="n">
        <x:v>25</x:v>
      </x:c>
      <x:c r="B29" s="17" t="str">
        <x:v>한국지능정보사회진흥원</x:v>
      </x:c>
      <x:c r="C29" s="17" t="str">
        <x:v>2026년 한국지능정보사회진흥원 하반기 정규직 및 무기계약직(일반직) 채용공고</x:v>
      </x:c>
      <x:c r="D29" s="17" t="str">
        <x:v>신입+경력</x:v>
      </x:c>
      <x:c r="E29" s="17" t="str">
        <x:v>무기계약직,정규직</x:v>
      </x:c>
      <x:c r="F29" s="17" t="str">
        <x:v>대구,제주</x:v>
      </x:c>
      <x:c r="G29" s="17" t="str">
        <x:v>학력무관</x:v>
      </x:c>
      <x:c r="H29" s="17" t="str">
        <x:v>20명</x:v>
      </x:c>
      <x:c r="I29" s="17" t="str">
        <x:v>사업관리,경영.회계.사무,전기.전자,정보통신</x:v>
      </x:c>
      <x:c r="J29" s="17" t="str">
        <x:v>- 블라인드 채용에 따른 학력, 전공, 성별, 어학성적 등 제한없음(단, 지원분야별 조건 상이) [NIA의 일반직 정년(만 60세)을 초과한 자는 지원 불가] - 해외여행에 결격사유가 없는 자 - 채용 즉시 근무가 가능한 자, 전일근무 가능자 - 한국지능정보사회진흥원 인사규정 제6조(결격사유)에 해당하지 않는 자 분야별 자격요건 관련 자세한 내용은 첨부파일의 채용공고문을 참조바람.</x:v>
      </x:c>
      <x:c r="K29" s="17" t="str">
        <x:v>첨부파일의 채용공고문을 참조</x:v>
      </x:c>
      <x:c r="L29" s="17" t="str">
        <x:v>미탐지(원문 재확인)</x:v>
      </x:c>
      <x:c r="M29" s="17" t="str">
        <x:v>어학</x:v>
      </x:c>
      <x:c r="N29" s="17" t="str">
        <x:v>모집분야별 전형절차 및 방법은 첨부파일의 채용공고문을 참조</x:v>
      </x:c>
      <x:c r="O29" s="17" t="str"/>
      <x:c r="P29" s="17" t="str">
        <x:v>https://nia.recruiter.co.kr/</x:v>
      </x:c>
      <x:c r="Q29" s="18" t="str">
        <x:v>https://job.alio.go.kr/recruitview.do?idx=304405</x:v>
      </x:c>
      <x:c r="R29" s="1"/>
      <x:c r="S29" s="1"/>
      <x:c r="T29" s="1"/>
      <x:c r="U29" s="1"/>
      <x:c r="V29" s="1"/>
      <x:c r="W29" s="1"/>
      <x:c r="X29" s="1"/>
      <x:c r="Y29" s="1"/>
      <x:c r="Z29" s="1"/>
    </x:row>
    <x:row r="30" ht="76" customHeight="1">
      <x:c r="A30" s="17" t="n">
        <x:v>26</x:v>
      </x:c>
      <x:c r="B30" s="17" t="str">
        <x:v>한국방송통신전파진흥원</x:v>
      </x:c>
      <x:c r="C30" s="17" t="str">
        <x:v>한국방송통신전파진흥원 경력·신입 직원 채용 공고</x:v>
      </x:c>
      <x:c r="D30" s="17" t="str">
        <x:v>신입+경력</x:v>
      </x:c>
      <x:c r="E30" s="17" t="str">
        <x:v>무기계약직,비정규직</x:v>
      </x:c>
      <x:c r="F30" s="17" t="str">
        <x:v>대구,경기,전남광주</x:v>
      </x:c>
      <x:c r="G30" s="17" t="str">
        <x:v>학력무관</x:v>
      </x:c>
      <x:c r="H30" s="17" t="str">
        <x:v>8명</x:v>
      </x:c>
      <x:c r="I30" s="17" t="str">
        <x:v>경영.회계.사무</x:v>
      </x:c>
      <x:c r="J30" s="17" t="str">
        <x:v>□응시자격 ○ 공통사항 - KCA 인사규정 "[별표 1] 직원채용 공통자격기준" 적용 - 성별, 병역 제한 없으며, 임용일 기준 근무가능자 - 임용일 기준 정년 만 60세 미만. 단, 미화(공무직)는 정년 만 65세 미만 - KCA 인사규정 제12조(결격사유)에 해당되지 않는 자 ○ 시설관리(기계) - 기계설비유지관리자(고급) 이상 자격을 보유한 자 ○ 미화(보훈) - 「국가유공자 등 예우 및 지원에 관한 법률」 등 보훈관련 법령에 따라 취업지원대상자 증명서 발급이 가능한 자 ※ 세부내용 채용공고문 참조</x:v>
      </x:c>
      <x:c r="K30" s="17" t="str">
        <x:v>□ 가점기준 ○ 국가보훈대상자(「국가유공자 등 예우 및 지원에 관한 법률」 등 관련 법률에 따른 취업지원 대상자) : 서류전형 및 면접전형에서 각 5점 또는 10점 ○ 청년인턴경험자[KCA 청년인턴 경험(접수마감일 기준 3년 이내, 3개월 이상 재직)] : 서류전형 및 면접전형에서 각 3점 ○ 우수 청년인턴 선발자[KCA 우수 청년인턴 선발 (접수마감일 기준 인턴 종료일 3년 이내)] : 서류전형 및 면접전형에서 각 5점 ○ 장애인[장애의 정도가 심한 장애인(중증)] : 서류전형 및 면접전형에서 각 10점 ○ 장애인[장애의 정도가 심하지 않은 장애인(경증)] : 서류전형 및 면접전형에서 각 5점 ○ 기초생활수급자(본인 명의의 국민기초생활수급자 증명서만 인정) : 서류전형 및 면접전형에서 각 5점 ○ 지역인재[전남광주통합특별시 소재 대학(교)·고등학교 졸업자(최종학력 기준, 대학원 이상 제외)] : 서류전형 및 면접전형에서 각 1점 ○ 한국사능력검정시험(접수마감일 기준 인증등급 3급 이상) : 서류전형 및 면접전형에서 각 2점 ○ 북한이탈주민(「북한이탈주민의 보호 및 정착 지원에 관한 법률」 제2조의 북한이탈주민) : 서류전형 및 면접전형에서 각 3점 ○ 다문화가족(「다문화가족지원법」 제2조의 다문화가족) : 서류전형 및 면접전형에서 각 3점 ○ 경력단절여성(접수마감일을 기준으로 경력단절 기간이 6개월 이상인 여성) : 서류전형 및 면접전형에서 각 3점 ○ 자립준비청년(「아동복지법」제38조의 자립지원 대상자) : 서류전형 및 면접전형에서 각 3점 ※ 세부내용 채용공고문 참조</x:v>
      </x:c>
      <x:c r="L30" s="17" t="str">
        <x:v>명시 있음</x:v>
      </x:c>
      <x:c r="M30" s="17" t="str">
        <x:v>한국사</x:v>
      </x:c>
      <x:c r="N30" s="17" t="str">
        <x:v>□ 전형방법 ○ 6급, 7급 : 서류·AI전형 → 면접전형 - (서류·AI전형) 평가항목별로 평가한 서류전형 평균점수와 AI전형을 합산한 점수에 가점을 적용하여 채용예정 인원의 5배수 내에서 고득점자 순으로 선발 - (면접전형) 채용분야별 면접 평가 후 평균점수에 가점을 적용하여 70점 이상자 중 고득점자 순으로 최종 합격자 선발 * 동점자 발생 시 취업지원대상자, 서류·AI 전형, AI역량검사 고득점자 순 선발 ○ 공무직 : 서류전형 → 면접전형 - (서류전형) 평가항목별로 평가한 서류전형 평균점수에 가점을 적용하여 70점 이상자 중 채용예정 인원의 10배수 내에서 고득점자 순으로 선발 - (면접전형) 채용분야별 면접 평가 후 평균점수에 가점을 적용하여 70점 이상자 중 고득점자 순으로 최종 합격자 선발 * 동점자 발생 시 취업지원대상자, 서류전형 고득점자 순 선발 ※ 세부내용 채용공고문 참조 □ 전형일정 ○ 채용공고 및 접수(AI 역량검사 병행) : '26. 8. 27.(목) ~ '26. 9. 10.(목) / 홈페이지, 알리오 / 접수처 : https://kcarecruit.kr ○ 1차 전형(서류·AI 전형, 공무직은 서류) 인재선발시험위원회 : '26. 9. 15.(화) ~ '26. 9. 17.(목) / 나주 ○ 1차 전형(서류·AI 전형, 공무직은 서류) 합격자 발표 : '26. 9. 22.(화) / 홈페이지, 이메일, 개별문자 ○ 입사지원서 증빙서류 제출 : '26. 9. 22.(화) ~ '26. 9. 27.(일) / 나주 ○ 2차 전형(면접) 인재선발시험위원회 : '26. 9. 30.(수) ~ '26. 10. 2.(금) / 나주 ○ 2차 전형(면접) 합격자 발표 : '26. 10. 8.(목) / 홈페이지, 이메일, 개별문자 ○ 채용 구비서류 제출 : '26. 10. 8.(목) ~ '26. 10. 14.(수) / 나주 ○ 임용(예정) : '26. 10. 26.(월) ※ 상기 일정은 내부사정에 따라 변경될 수 있음 ※ 세부내용 채용공고문 참조</x:v>
      </x:c>
      <x:c r="O30" s="17" t="str">
        <x:v>□ 전형방법 ○ 6급, 7급 : 서류·AI전형 → 면접전형 - (서류·AI전형) 평가항목별로 평가한 서류전형 평균점수와 AI전형을 합산한 점수에 가점을 적용하여 채용예정 인원의 5배수 내에서 고득점자 순으로 선발 - (면접전형) 채용분야별 면접 평가 후 평균점수에 가점을 적용하여 70점 이상자 중 고득점자 순으로 최종 합격자 선발 * 동점자 발생 시 취업지원대상자, 서류·AI 전형, AI역량검사 고득점자 순 선발 ○ 공무직 : 서류전형 → 면접전형 - (서류전형) 평가항목별로 평가한 서류전형 평균점수에 가점을 적용하여 70점 이상자 중 채용예정 인원의 10배수 내에서 고득점자 순으로 선발 - (면접전형) 채용분야별 면접 평가 후 평균점수에 가점을 적용하여 70점 이상자 중 고득점자 순으로 최종 합격자 선발 * 동점자 발생 시 취업지원대상자, 서류전형 고득점자 순 선발 ※ 세부내용 채용공고문 참조 □ 전형일정 ○ 채용공고 및 접수(AI 역량검사 병행) : '26 / (일) / 나주 ○ 2차 전형(면접) 인재선발시험위원회 : '26 / (금) / 나주 ○ 2차 전형(면접) 합격자 발표 : '26</x:v>
      </x:c>
      <x:c r="P30" s="17" t="str">
        <x:v>https://www.kca.kr/boardList.do?pageId=www48&amp;boardId=CAREERS</x:v>
      </x:c>
      <x:c r="Q30" s="18" t="str">
        <x:v>https://job.alio.go.kr/recruitview.do?idx=304279</x:v>
      </x:c>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1:Q1"/>
    <x:mergeCell ref="A2:Q2"/>
  </x:mergeCells>
  <x:conditionalFormatting sqref="L5:L30">
    <x:cfRule type="containsText" dxfId="9" priority="1" operator="containsText" text="명시 있음"/>
    <x:cfRule type="containsText" dxfId="10" priority="2" operator="containsText" text="미탐지"/>
  </x:conditionalFormatting>
  <x:pageMargins left="0.7" right="0.7" top="0.75" bottom="0.75" header="0.3" footer="0.3"/>
  <x:tableParts count="1">
    <x:tablePart xmlns:r="http://schemas.openxmlformats.org/officeDocument/2006/relationships" r:id="R81a86ba4502345a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30" hidden="0" customWidth="1"/>
    <x:col min="3" max="3" width="18" hidden="0" customWidth="1"/>
    <x:col min="4" max="4" width="58" hidden="0" customWidth="1"/>
    <x:col min="5" max="5" width="16" hidden="0" customWidth="1"/>
    <x:col min="6" max="6" width="18" hidden="0" customWidth="1"/>
    <x:col min="7" max="7" width="30" hidden="0" customWidth="1"/>
    <x:col min="8" max="8" width="14" hidden="0" customWidth="1"/>
    <x:col min="9" max="9" width="14" hidden="0" customWidth="1"/>
    <x:col min="10" max="10" width="12" hidden="0" customWidth="1"/>
    <x:col min="11" max="11" width="22" hidden="0" customWidth="1"/>
    <x:col min="12" max="12" width="18" hidden="0" customWidth="1"/>
    <x:col min="13" max="13" width="24" hidden="0" customWidth="1"/>
    <x:col min="14" max="14" width="24" hidden="0" customWidth="1"/>
    <x:col min="15" max="15" width="36" hidden="0" customWidth="1"/>
    <x:col min="16" max="16" width="38" hidden="0" customWidth="1"/>
    <x:col min="17" max="17" width="32" hidden="0" customWidth="1"/>
    <x:col min="18" max="18" width="27" hidden="0" customWidth="1"/>
    <x:col min="19" max="19" width="52" hidden="0" customWidth="1"/>
  </x:cols>
  <x:sheetData>
    <x:row r="1" ht="32" customHeight="1">
      <x:c r="A1" s="4" t="str">
        <x:v>Cleaneye Job+ 모집중 360건</x:v>
      </x:c>
      <x:c r="B1" s="4"/>
      <x:c r="C1" s="4"/>
      <x:c r="D1" s="4"/>
      <x:c r="E1" s="4"/>
      <x:c r="F1" s="4"/>
      <x:c r="G1" s="4"/>
      <x:c r="H1" s="4"/>
      <x:c r="I1" s="4"/>
      <x:c r="J1" s="4"/>
      <x:c r="K1" s="4"/>
      <x:c r="L1" s="4"/>
      <x:c r="M1" s="4"/>
      <x:c r="N1" s="4"/>
      <x:c r="O1" s="4"/>
      <x:c r="P1" s="4"/>
      <x:c r="Q1" s="4"/>
      <x:c r="R1" s="4"/>
      <x:c r="S1" s="4"/>
      <x:c r="T1" s="1"/>
      <x:c r="U1" s="1"/>
      <x:c r="V1" s="1"/>
      <x:c r="W1" s="1"/>
      <x:c r="X1" s="1"/>
      <x:c r="Y1" s="1"/>
      <x:c r="Z1" s="1"/>
    </x:row>
    <x:row r="2" ht="38" customHeight="1">
      <x:c r="A2" s="8" t="str">
        <x:v>2026-09-09 KST ‘모집중’ 필터 결과를 그대로 보존했습니다. 포털의 장기 미마감·중복·마감일 경과 표시는 품질 열에 표시했으며, 세부 전형은 기관 공고 원문 확인이 필요합니다.</x:v>
      </x:c>
      <x:c r="B2" s="8"/>
      <x:c r="C2" s="8"/>
      <x:c r="D2" s="8"/>
      <x:c r="E2" s="8"/>
      <x:c r="F2" s="8"/>
      <x:c r="G2" s="8"/>
      <x:c r="H2" s="8"/>
      <x:c r="I2" s="8"/>
      <x:c r="J2" s="8"/>
      <x:c r="K2" s="8"/>
      <x:c r="L2" s="8"/>
      <x:c r="M2" s="8"/>
      <x:c r="N2" s="8"/>
      <x:c r="O2" s="8"/>
      <x:c r="P2" s="8"/>
      <x:c r="Q2" s="8"/>
      <x:c r="R2" s="8"/>
      <x:c r="S2" s="8"/>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ht="36" customHeight="1">
      <x:c r="A4" s="14" t="str">
        <x:v>수집순번</x:v>
      </x:c>
      <x:c r="B4" s="14" t="str">
        <x:v>기관명</x:v>
      </x:c>
      <x:c r="C4" s="14" t="str">
        <x:v>소재지</x:v>
      </x:c>
      <x:c r="D4" s="14" t="str">
        <x:v>채용제목</x:v>
      </x:c>
      <x:c r="E4" s="14" t="str">
        <x:v>채용구분</x:v>
      </x:c>
      <x:c r="F4" s="14" t="str">
        <x:v>고용형태</x:v>
      </x:c>
      <x:c r="G4" s="14" t="str">
        <x:v>지역 지원제한</x:v>
      </x:c>
      <x:c r="H4" s="14" t="str">
        <x:v>접수시작</x:v>
      </x:c>
      <x:c r="I4" s="14" t="str">
        <x:v>접수마감</x:v>
      </x:c>
      <x:c r="J4" s="14" t="str">
        <x:v>상태</x:v>
      </x:c>
      <x:c r="K4" s="14" t="str">
        <x:v>채용트랙</x:v>
      </x:c>
      <x:c r="L4" s="14" t="str">
        <x:v>일반취준생 분류</x:v>
      </x:c>
      <x:c r="M4" s="14" t="str">
        <x:v>제한경쟁 표시</x:v>
      </x:c>
      <x:c r="N4" s="14" t="str">
        <x:v>지역인재</x:v>
      </x:c>
      <x:c r="O4" s="14" t="str">
        <x:v>응시자격</x:v>
      </x:c>
      <x:c r="P4" s="14" t="str">
        <x:v>전형절차</x:v>
      </x:c>
      <x:c r="Q4" s="14" t="str">
        <x:v>면접정보</x:v>
      </x:c>
      <x:c r="R4" s="14" t="str">
        <x:v>데이터품질</x:v>
      </x:c>
      <x:c r="S4" s="14" t="str">
        <x:v>Cleaneye 검색</x:v>
      </x:c>
      <x:c r="T4" s="1"/>
      <x:c r="U4" s="1"/>
      <x:c r="V4" s="1"/>
      <x:c r="W4" s="1"/>
      <x:c r="X4" s="1"/>
      <x:c r="Y4" s="1"/>
      <x:c r="Z4" s="1"/>
    </x:row>
    <x:row r="5" ht="50" customHeight="1">
      <x:c r="A5" s="17" t="n">
        <x:v>1</x:v>
      </x:c>
      <x:c r="B5" s="17" t="str">
        <x:v>용인문화재단</x:v>
      </x:c>
      <x:c r="C5" s="17" t="str">
        <x:v>경기도</x:v>
      </x:c>
      <x:c r="D5" s="17" t="str">
        <x:v>2026년 (재)용인문화재단 6차 기간제근로자(휴직대체인력) 채용 공고</x:v>
      </x:c>
      <x:c r="E5" s="17" t="str">
        <x:v>신입</x:v>
      </x:c>
      <x:c r="F5" s="17" t="str">
        <x:v>기간제</x:v>
      </x:c>
      <x:c r="G5" s="17" t="str">
        <x:v>명시 없음(원문 확인)</x:v>
      </x:c>
      <x:c r="H5" s="17" t="str">
        <x:v>2026-09-09</x:v>
      </x:c>
      <x:c r="I5" s="17" t="str">
        <x:v>2026-09-15</x:v>
      </x:c>
      <x:c r="J5" s="17" t="str">
        <x:v>모집중</x:v>
      </x:c>
      <x:c r="K5" s="17" t="str">
        <x:v>기간제·비정규</x:v>
      </x:c>
      <x:c r="L5" s="17" t="str">
        <x:v>검토</x:v>
      </x:c>
      <x:c r="M5" s="17" t="str">
        <x:v>제한 문구 미탐지</x:v>
      </x:c>
      <x:c r="N5" s="17" t="str">
        <x:v>기관 공고 원문 확인</x:v>
      </x:c>
      <x:c r="O5" s="17" t="str">
        <x:v>기관 공고 원문 확인</x:v>
      </x:c>
      <x:c r="P5" s="17" t="str">
        <x:v>기관 공고 원문 확인</x:v>
      </x:c>
      <x:c r="Q5" s="17" t="str">
        <x:v>기관 공고 원문 확인</x:v>
      </x:c>
      <x:c r="R5" s="17" t="str">
        <x:v>정상</x:v>
      </x:c>
      <x:c r="S5" s="18" t="str">
        <x:v>https://job.cleaneye.go.kr/user/ypRecruitment.do</x:v>
      </x:c>
      <x:c r="T5" s="1"/>
      <x:c r="U5" s="1"/>
      <x:c r="V5" s="1"/>
      <x:c r="W5" s="1"/>
      <x:c r="X5" s="1"/>
      <x:c r="Y5" s="1"/>
      <x:c r="Z5" s="1"/>
    </x:row>
    <x:row r="6" ht="50" customHeight="1">
      <x:c r="A6" s="17" t="n">
        <x:v>2</x:v>
      </x:c>
      <x:c r="B6" s="17" t="str">
        <x:v>거제해양관광개발공사</x:v>
      </x:c>
      <x:c r="C6" s="17" t="str">
        <x:v>경상남도</x:v>
      </x:c>
      <x:c r="D6" s="17" t="str">
        <x:v>2026년 제4차 기간제근로자 채용 공고</x:v>
      </x:c>
      <x:c r="E6" s="17" t="str">
        <x:v>신입+경력</x:v>
      </x:c>
      <x:c r="F6" s="17" t="str">
        <x:v>기간제</x:v>
      </x:c>
      <x:c r="G6" s="17" t="str">
        <x:v>경상남도 거제시</x:v>
      </x:c>
      <x:c r="H6" s="17" t="str">
        <x:v>2026-09-09</x:v>
      </x:c>
      <x:c r="I6" s="17" t="str">
        <x:v>2026-09-15</x:v>
      </x:c>
      <x:c r="J6" s="17" t="str">
        <x:v>모집중</x:v>
      </x:c>
      <x:c r="K6" s="17" t="str">
        <x:v>기간제·비정규</x:v>
      </x:c>
      <x:c r="L6" s="17" t="str">
        <x:v>검토</x:v>
      </x:c>
      <x:c r="M6" s="17" t="str">
        <x:v>제한 문구 미탐지</x:v>
      </x:c>
      <x:c r="N6" s="17" t="str">
        <x:v>기관 공고 원문 확인</x:v>
      </x:c>
      <x:c r="O6" s="17" t="str">
        <x:v>기관 공고 원문 확인</x:v>
      </x:c>
      <x:c r="P6" s="17" t="str">
        <x:v>기관 공고 원문 확인</x:v>
      </x:c>
      <x:c r="Q6" s="17" t="str">
        <x:v>기관 공고 원문 확인</x:v>
      </x:c>
      <x:c r="R6" s="17" t="str">
        <x:v>정상</x:v>
      </x:c>
      <x:c r="S6" s="18" t="str">
        <x:v>https://job.cleaneye.go.kr/user/ypRecruitment.do</x:v>
      </x:c>
      <x:c r="T6" s="1"/>
      <x:c r="U6" s="1"/>
      <x:c r="V6" s="1"/>
      <x:c r="W6" s="1"/>
      <x:c r="X6" s="1"/>
      <x:c r="Y6" s="1"/>
      <x:c r="Z6" s="1"/>
    </x:row>
    <x:row r="7" ht="50" customHeight="1">
      <x:c r="A7" s="17" t="n">
        <x:v>3</x:v>
      </x:c>
      <x:c r="B7" s="17" t="str">
        <x:v>인천광역시서해구시설관리공단</x:v>
      </x:c>
      <x:c r="C7" s="17" t="str">
        <x:v>인천광역시</x:v>
      </x:c>
      <x:c r="D7" s="17" t="str">
        <x:v>2026년 환경사업 기간제근로자(사무보조) 블라인드 채용 공고</x:v>
      </x:c>
      <x:c r="E7" s="17" t="str">
        <x:v>신입+경력</x:v>
      </x:c>
      <x:c r="F7" s="17" t="str">
        <x:v>기간제</x:v>
      </x:c>
      <x:c r="G7" s="17" t="str">
        <x:v>인천광역시</x:v>
      </x:c>
      <x:c r="H7" s="17" t="str">
        <x:v>2026-09-09</x:v>
      </x:c>
      <x:c r="I7" s="17" t="str">
        <x:v>2026-09-17</x:v>
      </x:c>
      <x:c r="J7" s="17" t="str">
        <x:v>모집중</x:v>
      </x:c>
      <x:c r="K7" s="17" t="str">
        <x:v>기간제·비정규</x:v>
      </x:c>
      <x:c r="L7" s="17" t="str">
        <x:v>검토</x:v>
      </x:c>
      <x:c r="M7" s="17" t="str">
        <x:v>제한 문구 미탐지</x:v>
      </x:c>
      <x:c r="N7" s="17" t="str">
        <x:v>기관 공고 원문 확인</x:v>
      </x:c>
      <x:c r="O7" s="17" t="str">
        <x:v>기관 공고 원문 확인</x:v>
      </x:c>
      <x:c r="P7" s="17" t="str">
        <x:v>기관 공고 원문 확인</x:v>
      </x:c>
      <x:c r="Q7" s="17" t="str">
        <x:v>기관 공고 원문 확인</x:v>
      </x:c>
      <x:c r="R7" s="17" t="str">
        <x:v>정상</x:v>
      </x:c>
      <x:c r="S7" s="18" t="str">
        <x:v>https://job.cleaneye.go.kr/user/ypRecruitment.do</x:v>
      </x:c>
      <x:c r="T7" s="1"/>
      <x:c r="U7" s="1"/>
      <x:c r="V7" s="1"/>
      <x:c r="W7" s="1"/>
      <x:c r="X7" s="1"/>
      <x:c r="Y7" s="1"/>
      <x:c r="Z7" s="1"/>
    </x:row>
    <x:row r="8" ht="50" customHeight="1">
      <x:c r="A8" s="17" t="n">
        <x:v>4</x:v>
      </x:c>
      <x:c r="B8" s="17" t="str">
        <x:v>인천광역시부평구시설관리공단</x:v>
      </x:c>
      <x:c r="C8" s="17" t="str">
        <x:v>인천광역시</x:v>
      </x:c>
      <x:c r="D8" s="17" t="str">
        <x:v>2026년 제9회 기간제 근로자(사회체육강사) 공개경쟁 채용 공고</x:v>
      </x:c>
      <x:c r="E8" s="17" t="str">
        <x:v>신입+경력</x:v>
      </x:c>
      <x:c r="F8" s="17" t="str">
        <x:v>기간제</x:v>
      </x:c>
      <x:c r="G8" s="17" t="str">
        <x:v>명시 없음(원문 확인)</x:v>
      </x:c>
      <x:c r="H8" s="17" t="str">
        <x:v>2026-09-09</x:v>
      </x:c>
      <x:c r="I8" s="17" t="str">
        <x:v>2026-09-14</x:v>
      </x:c>
      <x:c r="J8" s="17" t="str">
        <x:v>모집중</x:v>
      </x:c>
      <x:c r="K8" s="17" t="str">
        <x:v>기간제·비정규</x:v>
      </x:c>
      <x:c r="L8" s="17" t="str">
        <x:v>검토</x:v>
      </x:c>
      <x:c r="M8" s="17" t="str">
        <x:v>제한 문구 미탐지</x:v>
      </x:c>
      <x:c r="N8" s="17" t="str">
        <x:v>기관 공고 원문 확인</x:v>
      </x:c>
      <x:c r="O8" s="17" t="str">
        <x:v>기관 공고 원문 확인</x:v>
      </x:c>
      <x:c r="P8" s="17" t="str">
        <x:v>기관 공고 원문 확인</x:v>
      </x:c>
      <x:c r="Q8" s="17" t="str">
        <x:v>기관 공고 원문 확인</x:v>
      </x:c>
      <x:c r="R8" s="17" t="str">
        <x:v>정상</x:v>
      </x:c>
      <x:c r="S8" s="18" t="str">
        <x:v>https://job.cleaneye.go.kr/user/ypRecruitment.do</x:v>
      </x:c>
      <x:c r="T8" s="1"/>
      <x:c r="U8" s="1"/>
      <x:c r="V8" s="1"/>
      <x:c r="W8" s="1"/>
      <x:c r="X8" s="1"/>
      <x:c r="Y8" s="1"/>
      <x:c r="Z8" s="1"/>
    </x:row>
    <x:row r="9" ht="50" customHeight="1">
      <x:c r="A9" s="17" t="n">
        <x:v>5</x:v>
      </x:c>
      <x:c r="B9" s="17" t="str">
        <x:v>울산광역시도시공사</x:v>
      </x:c>
      <x:c r="C9" s="17" t="str">
        <x:v>울산광역시</x:v>
      </x:c>
      <x:c r="D9" s="17" t="str">
        <x:v>울산도시공사 감사 공개모집 공고</x:v>
      </x:c>
      <x:c r="E9" s="17" t="str">
        <x:v>경력</x:v>
      </x:c>
      <x:c r="F9" s="17" t="str">
        <x:v>비상임</x:v>
      </x:c>
      <x:c r="G9" s="17" t="str">
        <x:v>명시 없음(원문 확인)</x:v>
      </x:c>
      <x:c r="H9" s="17" t="str">
        <x:v>2026-09-09</x:v>
      </x:c>
      <x:c r="I9" s="17" t="str">
        <x:v>2026-09-23</x:v>
      </x:c>
      <x:c r="J9" s="17" t="str">
        <x:v>모집중</x:v>
      </x:c>
      <x:c r="K9" s="17" t="str">
        <x:v>경력·전문직</x:v>
      </x:c>
      <x:c r="L9" s="17" t="str">
        <x:v>경력·전문 우선</x:v>
      </x:c>
      <x:c r="M9" s="17" t="str">
        <x:v>제한 문구 미탐지</x:v>
      </x:c>
      <x:c r="N9" s="17" t="str">
        <x:v>기관 공고 원문 확인</x:v>
      </x:c>
      <x:c r="O9" s="17" t="str">
        <x:v>기관 공고 원문 확인</x:v>
      </x:c>
      <x:c r="P9" s="17" t="str">
        <x:v>기관 공고 원문 확인</x:v>
      </x:c>
      <x:c r="Q9" s="17" t="str">
        <x:v>기관 공고 원문 확인</x:v>
      </x:c>
      <x:c r="R9" s="17" t="str">
        <x:v>정상</x:v>
      </x:c>
      <x:c r="S9" s="18" t="str">
        <x:v>https://job.cleaneye.go.kr/user/ypRecruitment.do</x:v>
      </x:c>
      <x:c r="T9" s="1"/>
      <x:c r="U9" s="1"/>
      <x:c r="V9" s="1"/>
      <x:c r="W9" s="1"/>
      <x:c r="X9" s="1"/>
      <x:c r="Y9" s="1"/>
      <x:c r="Z9" s="1"/>
    </x:row>
    <x:row r="10" ht="50" customHeight="1">
      <x:c r="A10" s="17" t="n">
        <x:v>6</x:v>
      </x:c>
      <x:c r="B10" s="17" t="str">
        <x:v>재단법인 전북특별자치도 사회서비스원</x:v>
      </x:c>
      <x:c r="C10" s="17" t="str">
        <x:v>전북특별자치도</x:v>
      </x:c>
      <x:c r="D10" s="17" t="str">
        <x:v>(재)전북특별자치도 사회서비스원 임원(비상임이사·감사) 모집 재공고</x:v>
      </x:c>
      <x:c r="E10" s="17" t="str">
        <x:v>경력</x:v>
      </x:c>
      <x:c r="F10" s="17" t="str">
        <x:v>비상임</x:v>
      </x:c>
      <x:c r="G10" s="17" t="str">
        <x:v>명시 없음(원문 확인)</x:v>
      </x:c>
      <x:c r="H10" s="17" t="str">
        <x:v>2026-09-09</x:v>
      </x:c>
      <x:c r="I10" s="17" t="str">
        <x:v>2026-09-16</x:v>
      </x:c>
      <x:c r="J10" s="17" t="str">
        <x:v>모집중</x:v>
      </x:c>
      <x:c r="K10" s="17" t="str">
        <x:v>경력·전문직</x:v>
      </x:c>
      <x:c r="L10" s="17" t="str">
        <x:v>경력·전문 우선</x:v>
      </x:c>
      <x:c r="M10" s="17" t="str">
        <x:v>제한 문구 미탐지</x:v>
      </x:c>
      <x:c r="N10" s="17" t="str">
        <x:v>기관 공고 원문 확인</x:v>
      </x:c>
      <x:c r="O10" s="17" t="str">
        <x:v>기관 공고 원문 확인</x:v>
      </x:c>
      <x:c r="P10" s="17" t="str">
        <x:v>기관 공고 원문 확인</x:v>
      </x:c>
      <x:c r="Q10" s="17" t="str">
        <x:v>기관 공고 원문 확인</x:v>
      </x:c>
      <x:c r="R10" s="17" t="str">
        <x:v>정상</x:v>
      </x:c>
      <x:c r="S10" s="18" t="str">
        <x:v>https://job.cleaneye.go.kr/user/ypRecruitment.do</x:v>
      </x:c>
      <x:c r="T10" s="1"/>
      <x:c r="U10" s="1"/>
      <x:c r="V10" s="1"/>
      <x:c r="W10" s="1"/>
      <x:c r="X10" s="1"/>
      <x:c r="Y10" s="1"/>
      <x:c r="Z10" s="1"/>
    </x:row>
    <x:row r="11" ht="50" customHeight="1">
      <x:c r="A11" s="17" t="n">
        <x:v>7</x:v>
      </x:c>
      <x:c r="B11" s="17" t="str">
        <x:v>재단법인 울산연구원</x:v>
      </x:c>
      <x:c r="C11" s="17" t="str">
        <x:v>울산광역시</x:v>
      </x:c>
      <x:c r="D11" s="17" t="str">
        <x:v>울산연구원장 공개모집 공고</x:v>
      </x:c>
      <x:c r="E11" s="17" t="str">
        <x:v>신입+경력</x:v>
      </x:c>
      <x:c r="F11" s="17" t="str">
        <x:v>일반정규직</x:v>
      </x:c>
      <x:c r="G11" s="17" t="str">
        <x:v>명시 없음(원문 확인)</x:v>
      </x:c>
      <x:c r="H11" s="17" t="str">
        <x:v>2026-09-09</x:v>
      </x:c>
      <x:c r="I11" s="17" t="str">
        <x:v>2026-09-28</x:v>
      </x:c>
      <x:c r="J11" s="17" t="str">
        <x:v>모집중</x:v>
      </x:c>
      <x:c r="K11" s="17" t="str">
        <x:v>경력·전문직</x:v>
      </x:c>
      <x:c r="L11" s="17" t="str">
        <x:v>경력·전문 우선</x:v>
      </x:c>
      <x:c r="M11" s="17" t="str">
        <x:v>제한 문구 미탐지</x:v>
      </x:c>
      <x:c r="N11" s="17" t="str">
        <x:v>기관 공고 원문 확인</x:v>
      </x:c>
      <x:c r="O11" s="17" t="str">
        <x:v>기관 공고 원문 확인</x:v>
      </x:c>
      <x:c r="P11" s="17" t="str">
        <x:v>기관 공고 원문 확인</x:v>
      </x:c>
      <x:c r="Q11" s="17" t="str">
        <x:v>기관 공고 원문 확인</x:v>
      </x:c>
      <x:c r="R11" s="17" t="str">
        <x:v>정상</x:v>
      </x:c>
      <x:c r="S11" s="18" t="str">
        <x:v>https://job.cleaneye.go.kr/user/ypRecruitment.do</x:v>
      </x:c>
      <x:c r="T11" s="1"/>
      <x:c r="U11" s="1"/>
      <x:c r="V11" s="1"/>
      <x:c r="W11" s="1"/>
      <x:c r="X11" s="1"/>
      <x:c r="Y11" s="1"/>
      <x:c r="Z11" s="1"/>
    </x:row>
    <x:row r="12" ht="50" customHeight="1">
      <x:c r="A12" s="17" t="n">
        <x:v>8</x:v>
      </x:c>
      <x:c r="B12" s="17" t="str">
        <x:v>부산여성가족과 평생교육진흥원</x:v>
      </x:c>
      <x:c r="C12" s="17" t="str">
        <x:v>부산광역시</x:v>
      </x:c>
      <x:c r="D12" s="17" t="str">
        <x:v>기간제 근로자(장애인 평생교육이용권 지원사업) 채용 공고</x:v>
      </x:c>
      <x:c r="E12" s="17" t="str">
        <x:v>신입</x:v>
      </x:c>
      <x:c r="F12" s="17" t="str">
        <x:v>기간제</x:v>
      </x:c>
      <x:c r="G12" s="17" t="str">
        <x:v>명시 없음(원문 확인)</x:v>
      </x:c>
      <x:c r="H12" s="17" t="str">
        <x:v>2026-09-08</x:v>
      </x:c>
      <x:c r="I12" s="17" t="str">
        <x:v>2026-09-18</x:v>
      </x:c>
      <x:c r="J12" s="17" t="str">
        <x:v>모집중</x:v>
      </x:c>
      <x:c r="K12" s="17" t="str">
        <x:v>기간제·비정규</x:v>
      </x:c>
      <x:c r="L12" s="17" t="str">
        <x:v>검토</x:v>
      </x:c>
      <x:c r="M12" s="17" t="str">
        <x:v>제한 문구 미탐지</x:v>
      </x:c>
      <x:c r="N12" s="17" t="str">
        <x:v>기관 공고 원문 확인</x:v>
      </x:c>
      <x:c r="O12" s="17" t="str">
        <x:v>기관 공고 원문 확인</x:v>
      </x:c>
      <x:c r="P12" s="17" t="str">
        <x:v>기관 공고 원문 확인</x:v>
      </x:c>
      <x:c r="Q12" s="17" t="str">
        <x:v>기관 공고 원문 확인</x:v>
      </x:c>
      <x:c r="R12" s="17" t="str">
        <x:v>정상</x:v>
      </x:c>
      <x:c r="S12" s="18" t="str">
        <x:v>https://job.cleaneye.go.kr/user/ypRecruitment.do</x:v>
      </x:c>
      <x:c r="T12" s="1"/>
      <x:c r="U12" s="1"/>
      <x:c r="V12" s="1"/>
      <x:c r="W12" s="1"/>
      <x:c r="X12" s="1"/>
      <x:c r="Y12" s="1"/>
      <x:c r="Z12" s="1"/>
    </x:row>
    <x:row r="13" ht="50" customHeight="1">
      <x:c r="A13" s="17" t="n">
        <x:v>9</x:v>
      </x:c>
      <x:c r="B13" s="17" t="str">
        <x:v>울진군의료원</x:v>
      </x:c>
      <x:c r="C13" s="17" t="str">
        <x:v>경상북도</x:v>
      </x:c>
      <x:c r="D13" s="17" t="str">
        <x:v>울진군의료원 직원채용공고(간병인)</x:v>
      </x:c>
      <x:c r="E13" s="17" t="str">
        <x:v>신입+경력</x:v>
      </x:c>
      <x:c r="F13" s="17" t="str">
        <x:v>기간제</x:v>
      </x:c>
      <x:c r="G13" s="17" t="str">
        <x:v>명시 없음(원문 확인)</x:v>
      </x:c>
      <x:c r="H13" s="17" t="str">
        <x:v>2026-09-08</x:v>
      </x:c>
      <x:c r="I13" s="17" t="str">
        <x:v>2026-09-14</x:v>
      </x:c>
      <x:c r="J13" s="17" t="str">
        <x:v>모집중</x:v>
      </x:c>
      <x:c r="K13" s="17" t="str">
        <x:v>기간제·비정규</x:v>
      </x:c>
      <x:c r="L13" s="17" t="str">
        <x:v>검토</x:v>
      </x:c>
      <x:c r="M13" s="17" t="str">
        <x:v>제한 문구 미탐지</x:v>
      </x:c>
      <x:c r="N13" s="17" t="str">
        <x:v>기관 공고 원문 확인</x:v>
      </x:c>
      <x:c r="O13" s="17" t="str">
        <x:v>기관 공고 원문 확인</x:v>
      </x:c>
      <x:c r="P13" s="17" t="str">
        <x:v>기관 공고 원문 확인</x:v>
      </x:c>
      <x:c r="Q13" s="17" t="str">
        <x:v>기관 공고 원문 확인</x:v>
      </x:c>
      <x:c r="R13" s="17" t="str">
        <x:v>정상</x:v>
      </x:c>
      <x:c r="S13" s="18" t="str">
        <x:v>https://job.cleaneye.go.kr/user/ypRecruitment.do</x:v>
      </x:c>
      <x:c r="T13" s="1"/>
      <x:c r="U13" s="1"/>
      <x:c r="V13" s="1"/>
      <x:c r="W13" s="1"/>
      <x:c r="X13" s="1"/>
      <x:c r="Y13" s="1"/>
      <x:c r="Z13" s="1"/>
    </x:row>
    <x:row r="14" ht="50" customHeight="1">
      <x:c r="A14" s="17" t="n">
        <x:v>10</x:v>
      </x:c>
      <x:c r="B14" s="17" t="str">
        <x:v>인천광역시계양구시설관리공단</x:v>
      </x:c>
      <x:c r="C14" s="17" t="str">
        <x:v>인천광역시</x:v>
      </x:c>
      <x:c r="D14" s="17" t="str">
        <x:v>2026년도 인천광역시계양구시설관리공단 계산노인문화센터장 공개경쟁채용 계획 공고</x:v>
      </x:c>
      <x:c r="E14" s="17" t="str">
        <x:v>신입+경력</x:v>
      </x:c>
      <x:c r="F14" s="17" t="str">
        <x:v>기간제</x:v>
      </x:c>
      <x:c r="G14" s="17" t="str">
        <x:v>인천광역시</x:v>
      </x:c>
      <x:c r="H14" s="17" t="str">
        <x:v>2026-09-08</x:v>
      </x:c>
      <x:c r="I14" s="17" t="str">
        <x:v>2026-09-14</x:v>
      </x:c>
      <x:c r="J14" s="17" t="str">
        <x:v>모집중</x:v>
      </x:c>
      <x:c r="K14" s="17" t="str">
        <x:v>기간제·비정규</x:v>
      </x:c>
      <x:c r="L14" s="17" t="str">
        <x:v>검토</x:v>
      </x:c>
      <x:c r="M14" s="17" t="str">
        <x:v>제한 문구 미탐지</x:v>
      </x:c>
      <x:c r="N14" s="17" t="str">
        <x:v>기관 공고 원문 확인</x:v>
      </x:c>
      <x:c r="O14" s="17" t="str">
        <x:v>기관 공고 원문 확인</x:v>
      </x:c>
      <x:c r="P14" s="17" t="str">
        <x:v>기관 공고 원문 확인</x:v>
      </x:c>
      <x:c r="Q14" s="17" t="str">
        <x:v>기관 공고 원문 확인</x:v>
      </x:c>
      <x:c r="R14" s="17" t="str">
        <x:v>정상</x:v>
      </x:c>
      <x:c r="S14" s="18" t="str">
        <x:v>https://job.cleaneye.go.kr/user/ypRecruitment.do</x:v>
      </x:c>
      <x:c r="T14" s="1"/>
      <x:c r="U14" s="1"/>
      <x:c r="V14" s="1"/>
      <x:c r="W14" s="1"/>
      <x:c r="X14" s="1"/>
      <x:c r="Y14" s="1"/>
      <x:c r="Z14" s="1"/>
    </x:row>
    <x:row r="15" ht="50" customHeight="1">
      <x:c r="A15" s="17" t="n">
        <x:v>11</x:v>
      </x:c>
      <x:c r="B15" s="17" t="str">
        <x:v>울진군의료원</x:v>
      </x:c>
      <x:c r="C15" s="17" t="str">
        <x:v>경상북도</x:v>
      </x:c>
      <x:c r="D15" s="17" t="str">
        <x:v>울진군의료원 직원채용공고(간호조무사)</x:v>
      </x:c>
      <x:c r="E15" s="17" t="str">
        <x:v>신입+경력</x:v>
      </x:c>
      <x:c r="F15" s="17" t="str">
        <x:v>무기계약직</x:v>
      </x:c>
      <x:c r="G15" s="17" t="str">
        <x:v>명시 없음(원문 확인)</x:v>
      </x:c>
      <x:c r="H15" s="17" t="str">
        <x:v>2026-09-08</x:v>
      </x:c>
      <x:c r="I15" s="17" t="str">
        <x:v>2026-09-14</x:v>
      </x:c>
      <x:c r="J15" s="17" t="str">
        <x:v>모집중</x:v>
      </x:c>
      <x:c r="K15" s="17" t="str">
        <x:v>무기계약·공무직</x:v>
      </x:c>
      <x:c r="L15" s="17" t="str">
        <x:v>검토</x:v>
      </x:c>
      <x:c r="M15" s="17" t="str">
        <x:v>제한 문구 미탐지</x:v>
      </x:c>
      <x:c r="N15" s="17" t="str">
        <x:v>기관 공고 원문 확인</x:v>
      </x:c>
      <x:c r="O15" s="17" t="str">
        <x:v>기관 공고 원문 확인</x:v>
      </x:c>
      <x:c r="P15" s="17" t="str">
        <x:v>기관 공고 원문 확인</x:v>
      </x:c>
      <x:c r="Q15" s="17" t="str">
        <x:v>기관 공고 원문 확인</x:v>
      </x:c>
      <x:c r="R15" s="17" t="str">
        <x:v>정상</x:v>
      </x:c>
      <x:c r="S15" s="18" t="str">
        <x:v>https://job.cleaneye.go.kr/user/ypRecruitment.do</x:v>
      </x:c>
      <x:c r="T15" s="1"/>
      <x:c r="U15" s="1"/>
      <x:c r="V15" s="1"/>
      <x:c r="W15" s="1"/>
      <x:c r="X15" s="1"/>
      <x:c r="Y15" s="1"/>
      <x:c r="Z15" s="1"/>
    </x:row>
    <x:row r="16" ht="50" customHeight="1">
      <x:c r="A16" s="17" t="n">
        <x:v>12</x:v>
      </x:c>
      <x:c r="B16" s="17" t="str">
        <x:v>안양시청소년재단</x:v>
      </x:c>
      <x:c r="C16" s="17" t="str">
        <x:v>경기도</x:v>
      </x:c>
      <x:c r="D16" s="17" t="str">
        <x:v>[공고]2026년 제4회 안양시일시청소년쉼터 직원 공개경쟁채용 공고</x:v>
      </x:c>
      <x:c r="E16" s="17" t="str">
        <x:v>신입+경력</x:v>
      </x:c>
      <x:c r="F16" s="17" t="str">
        <x:v>일반계약직</x:v>
      </x:c>
      <x:c r="G16" s="17" t="str">
        <x:v>명시 없음(원문 확인)</x:v>
      </x:c>
      <x:c r="H16" s="17" t="str">
        <x:v>2026-09-08</x:v>
      </x:c>
      <x:c r="I16" s="17" t="str">
        <x:v>2026-09-14</x:v>
      </x:c>
      <x:c r="J16" s="17" t="str">
        <x:v>모집중</x:v>
      </x:c>
      <x:c r="K16" s="17" t="str">
        <x:v>기타 채용</x:v>
      </x:c>
      <x:c r="L16" s="17" t="str">
        <x:v>검토</x:v>
      </x:c>
      <x:c r="M16" s="17" t="str">
        <x:v>제한 문구 미탐지</x:v>
      </x:c>
      <x:c r="N16" s="17" t="str">
        <x:v>기관 공고 원문 확인</x:v>
      </x:c>
      <x:c r="O16" s="17" t="str">
        <x:v>기관 공고 원문 확인</x:v>
      </x:c>
      <x:c r="P16" s="17" t="str">
        <x:v>기관 공고 원문 확인</x:v>
      </x:c>
      <x:c r="Q16" s="17" t="str">
        <x:v>기관 공고 원문 확인</x:v>
      </x:c>
      <x:c r="R16" s="17" t="str">
        <x:v>정상</x:v>
      </x:c>
      <x:c r="S16" s="18" t="str">
        <x:v>https://job.cleaneye.go.kr/user/ypRecruitment.do</x:v>
      </x:c>
      <x:c r="T16" s="1"/>
      <x:c r="U16" s="1"/>
      <x:c r="V16" s="1"/>
      <x:c r="W16" s="1"/>
      <x:c r="X16" s="1"/>
      <x:c r="Y16" s="1"/>
      <x:c r="Z16" s="1"/>
    </x:row>
    <x:row r="17" ht="50" customHeight="1">
      <x:c r="A17" s="17" t="n">
        <x:v>13</x:v>
      </x:c>
      <x:c r="B17" s="17" t="str">
        <x:v>재단법인 강릉시 미래인재육성재단</x:v>
      </x:c>
      <x:c r="C17" s="17" t="str">
        <x:v>강원특별자치도</x:v>
      </x:c>
      <x:c r="D17" s="17" t="str">
        <x:v>재단법인 강릉시미래인재육성재단 비상임 임원(이사) 공개모집</x:v>
      </x:c>
      <x:c r="E17" s="17" t="str">
        <x:v>신입+경력</x:v>
      </x:c>
      <x:c r="F17" s="17" t="str">
        <x:v>비상임</x:v>
      </x:c>
      <x:c r="G17" s="17" t="str">
        <x:v>명시 없음(원문 확인)</x:v>
      </x:c>
      <x:c r="H17" s="17" t="str">
        <x:v>2026-09-08</x:v>
      </x:c>
      <x:c r="I17" s="17" t="str">
        <x:v>2026-09-15</x:v>
      </x:c>
      <x:c r="J17" s="17" t="str">
        <x:v>모집중</x:v>
      </x:c>
      <x:c r="K17" s="17" t="str">
        <x:v>경력·전문직</x:v>
      </x:c>
      <x:c r="L17" s="17" t="str">
        <x:v>경력·전문 우선</x:v>
      </x:c>
      <x:c r="M17" s="17" t="str">
        <x:v>제한 문구 미탐지</x:v>
      </x:c>
      <x:c r="N17" s="17" t="str">
        <x:v>기관 공고 원문 확인</x:v>
      </x:c>
      <x:c r="O17" s="17" t="str">
        <x:v>기관 공고 원문 확인</x:v>
      </x:c>
      <x:c r="P17" s="17" t="str">
        <x:v>기관 공고 원문 확인</x:v>
      </x:c>
      <x:c r="Q17" s="17" t="str">
        <x:v>기관 공고 원문 확인</x:v>
      </x:c>
      <x:c r="R17" s="17" t="str">
        <x:v>정상</x:v>
      </x:c>
      <x:c r="S17" s="18" t="str">
        <x:v>https://job.cleaneye.go.kr/user/ypRecruitment.do</x:v>
      </x:c>
      <x:c r="T17" s="1"/>
      <x:c r="U17" s="1"/>
      <x:c r="V17" s="1"/>
      <x:c r="W17" s="1"/>
      <x:c r="X17" s="1"/>
      <x:c r="Y17" s="1"/>
      <x:c r="Z17" s="1"/>
    </x:row>
    <x:row r="18" ht="50" customHeight="1">
      <x:c r="A18" s="17" t="n">
        <x:v>14</x:v>
      </x:c>
      <x:c r="B18" s="17" t="str">
        <x:v>부산환경공단</x:v>
      </x:c>
      <x:c r="C18" s="17" t="str">
        <x:v>부산광역시</x:v>
      </x:c>
      <x:c r="D18" s="17" t="str">
        <x:v>부산환경공단 하수자원사업소 기간제근로자(대체인력) 채용공고</x:v>
      </x:c>
      <x:c r="E18" s="17" t="str">
        <x:v>신입</x:v>
      </x:c>
      <x:c r="F18" s="17" t="str">
        <x:v>기간제</x:v>
      </x:c>
      <x:c r="G18" s="17" t="str">
        <x:v>부산광역시</x:v>
      </x:c>
      <x:c r="H18" s="17" t="str">
        <x:v>2026-09-08</x:v>
      </x:c>
      <x:c r="I18" s="17" t="str">
        <x:v>2026-09-15</x:v>
      </x:c>
      <x:c r="J18" s="17" t="str">
        <x:v>모집중</x:v>
      </x:c>
      <x:c r="K18" s="17" t="str">
        <x:v>기간제·비정규</x:v>
      </x:c>
      <x:c r="L18" s="17" t="str">
        <x:v>검토</x:v>
      </x:c>
      <x:c r="M18" s="17" t="str">
        <x:v>제한 문구 미탐지</x:v>
      </x:c>
      <x:c r="N18" s="17" t="str">
        <x:v>기관 공고 원문 확인</x:v>
      </x:c>
      <x:c r="O18" s="17" t="str">
        <x:v>기관 공고 원문 확인</x:v>
      </x:c>
      <x:c r="P18" s="17" t="str">
        <x:v>기관 공고 원문 확인</x:v>
      </x:c>
      <x:c r="Q18" s="17" t="str">
        <x:v>기관 공고 원문 확인</x:v>
      </x:c>
      <x:c r="R18" s="17" t="str">
        <x:v>정상</x:v>
      </x:c>
      <x:c r="S18" s="18" t="str">
        <x:v>https://job.cleaneye.go.kr/user/ypRecruitment.do</x:v>
      </x:c>
      <x:c r="T18" s="1"/>
      <x:c r="U18" s="1"/>
      <x:c r="V18" s="1"/>
      <x:c r="W18" s="1"/>
      <x:c r="X18" s="1"/>
      <x:c r="Y18" s="1"/>
      <x:c r="Z18" s="1"/>
    </x:row>
    <x:row r="19" ht="50" customHeight="1">
      <x:c r="A19" s="17" t="n">
        <x:v>15</x:v>
      </x:c>
      <x:c r="B19" s="17" t="str">
        <x:v>재단법인 송파문화재단</x:v>
      </x:c>
      <x:c r="C19" s="17" t="str">
        <x:v>서울특별시</x:v>
      </x:c>
      <x:c r="D19" s="17" t="str">
        <x:v>(재)송파문화재단 도서관지원팀 2026년 5차 기간제근로자 채용 공고(공개경쟁)</x:v>
      </x:c>
      <x:c r="E19" s="17" t="str">
        <x:v>신입+경력</x:v>
      </x:c>
      <x:c r="F19" s="17" t="str">
        <x:v>기간제</x:v>
      </x:c>
      <x:c r="G19" s="17" t="str">
        <x:v>명시 없음(원문 확인)</x:v>
      </x:c>
      <x:c r="H19" s="17" t="str">
        <x:v>2026-09-08</x:v>
      </x:c>
      <x:c r="I19" s="17" t="str">
        <x:v>2026-09-14</x:v>
      </x:c>
      <x:c r="J19" s="17" t="str">
        <x:v>모집중</x:v>
      </x:c>
      <x:c r="K19" s="17" t="str">
        <x:v>기간제·비정규</x:v>
      </x:c>
      <x:c r="L19" s="17" t="str">
        <x:v>검토</x:v>
      </x:c>
      <x:c r="M19" s="17" t="str">
        <x:v>제한 문구 미탐지</x:v>
      </x:c>
      <x:c r="N19" s="17" t="str">
        <x:v>기관 공고 원문 확인</x:v>
      </x:c>
      <x:c r="O19" s="17" t="str">
        <x:v>기관 공고 원문 확인</x:v>
      </x:c>
      <x:c r="P19" s="17" t="str">
        <x:v>기관 공고 원문 확인</x:v>
      </x:c>
      <x:c r="Q19" s="17" t="str">
        <x:v>기관 공고 원문 확인</x:v>
      </x:c>
      <x:c r="R19" s="17" t="str">
        <x:v>정상</x:v>
      </x:c>
      <x:c r="S19" s="18" t="str">
        <x:v>https://job.cleaneye.go.kr/user/ypRecruitment.do</x:v>
      </x:c>
      <x:c r="T19" s="1"/>
      <x:c r="U19" s="1"/>
      <x:c r="V19" s="1"/>
      <x:c r="W19" s="1"/>
      <x:c r="X19" s="1"/>
      <x:c r="Y19" s="1"/>
      <x:c r="Z19" s="1"/>
    </x:row>
    <x:row r="20" ht="50" customHeight="1">
      <x:c r="A20" s="17" t="n">
        <x:v>16</x:v>
      </x:c>
      <x:c r="B20" s="17" t="str">
        <x:v>(주)경남무역</x:v>
      </x:c>
      <x:c r="C20" s="17" t="str">
        <x:v>경상남도</x:v>
      </x:c>
      <x:c r="D20" s="17" t="str">
        <x:v>(주)경남무역 대표이사 공개 모집 공고</x:v>
      </x:c>
      <x:c r="E20" s="17" t="str">
        <x:v>경력</x:v>
      </x:c>
      <x:c r="F20" s="17" t="str">
        <x:v>일반계약직</x:v>
      </x:c>
      <x:c r="G20" s="17" t="str">
        <x:v>명시 없음(원문 확인)</x:v>
      </x:c>
      <x:c r="H20" s="17" t="str">
        <x:v>2026-09-08</x:v>
      </x:c>
      <x:c r="I20" s="17" t="str">
        <x:v>2026-09-22</x:v>
      </x:c>
      <x:c r="J20" s="17" t="str">
        <x:v>모집중</x:v>
      </x:c>
      <x:c r="K20" s="17" t="str">
        <x:v>기타 채용</x:v>
      </x:c>
      <x:c r="L20" s="17" t="str">
        <x:v>세부조건 확인</x:v>
      </x:c>
      <x:c r="M20" s="17" t="str">
        <x:v>제한 문구 미탐지</x:v>
      </x:c>
      <x:c r="N20" s="17" t="str">
        <x:v>기관 공고 원문 확인</x:v>
      </x:c>
      <x:c r="O20" s="17" t="str">
        <x:v>기관 공고 원문 확인</x:v>
      </x:c>
      <x:c r="P20" s="17" t="str">
        <x:v>기관 공고 원문 확인</x:v>
      </x:c>
      <x:c r="Q20" s="17" t="str">
        <x:v>기관 공고 원문 확인</x:v>
      </x:c>
      <x:c r="R20" s="17" t="str">
        <x:v>정상</x:v>
      </x:c>
      <x:c r="S20" s="18" t="str">
        <x:v>https://job.cleaneye.go.kr/user/ypRecruitment.do</x:v>
      </x:c>
      <x:c r="T20" s="1"/>
      <x:c r="U20" s="1"/>
      <x:c r="V20" s="1"/>
      <x:c r="W20" s="1"/>
      <x:c r="X20" s="1"/>
      <x:c r="Y20" s="1"/>
      <x:c r="Z20" s="1"/>
    </x:row>
    <x:row r="21" ht="50" customHeight="1">
      <x:c r="A21" s="17" t="n">
        <x:v>17</x:v>
      </x:c>
      <x:c r="B21" s="17" t="str">
        <x:v>창원시설공단</x:v>
      </x:c>
      <x:c r="C21" s="17" t="str">
        <x:v>경상남도</x:v>
      </x:c>
      <x:c r="D21" s="17" t="str">
        <x:v>- 우리누리청소년문화센터- 수영장 기간제(초단시간) 및 대체인력풀 경력경쟁채용 공고</x:v>
      </x:c>
      <x:c r="E21" s="17" t="str">
        <x:v>신입+경력</x:v>
      </x:c>
      <x:c r="F21" s="17" t="str">
        <x:v>기간제</x:v>
      </x:c>
      <x:c r="G21" s="17" t="str">
        <x:v>명시 없음(원문 확인)</x:v>
      </x:c>
      <x:c r="H21" s="17" t="str">
        <x:v>2026-09-08</x:v>
      </x:c>
      <x:c r="I21" s="17" t="str">
        <x:v>2026-09-24</x:v>
      </x:c>
      <x:c r="J21" s="17" t="str">
        <x:v>모집중</x:v>
      </x:c>
      <x:c r="K21" s="17" t="str">
        <x:v>제한경쟁·조건부</x:v>
      </x:c>
      <x:c r="L21" s="17" t="str">
        <x:v>조건 충족자만</x:v>
      </x:c>
      <x:c r="M21" s="17" t="str">
        <x:v>제한경쟁</x:v>
      </x:c>
      <x:c r="N21" s="17" t="str">
        <x:v>기관 공고 원문 확인</x:v>
      </x:c>
      <x:c r="O21" s="17" t="str">
        <x:v>기관 공고 원문 확인</x:v>
      </x:c>
      <x:c r="P21" s="17" t="str">
        <x:v>기관 공고 원문 확인</x:v>
      </x:c>
      <x:c r="Q21" s="17" t="str">
        <x:v>기관 공고 원문 확인</x:v>
      </x:c>
      <x:c r="R21" s="17" t="str">
        <x:v>정상</x:v>
      </x:c>
      <x:c r="S21" s="18" t="str">
        <x:v>https://job.cleaneye.go.kr/user/ypRecruitment.do</x:v>
      </x:c>
      <x:c r="T21" s="1"/>
      <x:c r="U21" s="1"/>
      <x:c r="V21" s="1"/>
      <x:c r="W21" s="1"/>
      <x:c r="X21" s="1"/>
      <x:c r="Y21" s="1"/>
      <x:c r="Z21" s="1"/>
    </x:row>
    <x:row r="22" ht="50" customHeight="1">
      <x:c r="A22" s="17" t="n">
        <x:v>18</x:v>
      </x:c>
      <x:c r="B22" s="17" t="str">
        <x:v>충남역사문화연구원</x:v>
      </x:c>
      <x:c r="C22" s="17" t="str">
        <x:v>충청남도</x:v>
      </x:c>
      <x:c r="D22" s="17" t="str">
        <x:v>2026년도 제6회 기간제근로자 공개모집 및 시험운영 계획</x:v>
      </x:c>
      <x:c r="E22" s="17" t="str">
        <x:v>경력</x:v>
      </x:c>
      <x:c r="F22" s="17" t="str">
        <x:v>기간제</x:v>
      </x:c>
      <x:c r="G22" s="17" t="str">
        <x:v>명시 없음(원문 확인)</x:v>
      </x:c>
      <x:c r="H22" s="17" t="str">
        <x:v>2026-09-08</x:v>
      </x:c>
      <x:c r="I22" s="17" t="str">
        <x:v>2026-09-14</x:v>
      </x:c>
      <x:c r="J22" s="17" t="str">
        <x:v>모집중</x:v>
      </x:c>
      <x:c r="K22" s="17" t="str">
        <x:v>기간제·비정규</x:v>
      </x:c>
      <x:c r="L22" s="17" t="str">
        <x:v>세부조건 확인</x:v>
      </x:c>
      <x:c r="M22" s="17" t="str">
        <x:v>제한 문구 미탐지</x:v>
      </x:c>
      <x:c r="N22" s="17" t="str">
        <x:v>기관 공고 원문 확인</x:v>
      </x:c>
      <x:c r="O22" s="17" t="str">
        <x:v>기관 공고 원문 확인</x:v>
      </x:c>
      <x:c r="P22" s="17" t="str">
        <x:v>기관 공고 원문 확인</x:v>
      </x:c>
      <x:c r="Q22" s="17" t="str">
        <x:v>기관 공고 원문 확인</x:v>
      </x:c>
      <x:c r="R22" s="17" t="str">
        <x:v>정상</x:v>
      </x:c>
      <x:c r="S22" s="18" t="str">
        <x:v>https://job.cleaneye.go.kr/user/ypRecruitment.do</x:v>
      </x:c>
      <x:c r="T22" s="1"/>
      <x:c r="U22" s="1"/>
      <x:c r="V22" s="1"/>
      <x:c r="W22" s="1"/>
      <x:c r="X22" s="1"/>
      <x:c r="Y22" s="1"/>
      <x:c r="Z22" s="1"/>
    </x:row>
    <x:row r="23" ht="50" customHeight="1">
      <x:c r="A23" s="17" t="n">
        <x:v>19</x:v>
      </x:c>
      <x:c r="B23" s="17" t="str">
        <x:v>경북바이오산업연구원</x:v>
      </x:c>
      <x:c r="C23" s="17" t="str">
        <x:v>경상북도</x:v>
      </x:c>
      <x:c r="D23" s="17" t="str">
        <x:v>2026년 제4차 직원채용</x:v>
      </x:c>
      <x:c r="E23" s="17" t="str">
        <x:v>신입+경력</x:v>
      </x:c>
      <x:c r="F23" s="17" t="str">
        <x:v>일반정규직</x:v>
      </x:c>
      <x:c r="G23" s="17" t="str">
        <x:v>명시 없음(원문 확인)</x:v>
      </x:c>
      <x:c r="H23" s="17" t="str">
        <x:v>2026-09-08</x:v>
      </x:c>
      <x:c r="I23" s="17" t="str">
        <x:v>2026-09-14</x:v>
      </x:c>
      <x:c r="J23" s="17" t="str">
        <x:v>모집중</x:v>
      </x:c>
      <x:c r="K23" s="17" t="str">
        <x:v>정규직(세부 확인)</x:v>
      </x:c>
      <x:c r="L23" s="17" t="str">
        <x:v>검토</x:v>
      </x:c>
      <x:c r="M23" s="17" t="str">
        <x:v>제한 문구 미탐지</x:v>
      </x:c>
      <x:c r="N23" s="17" t="str">
        <x:v>기관 공고 원문 확인</x:v>
      </x:c>
      <x:c r="O23" s="17" t="str">
        <x:v>기관 공고 원문 확인</x:v>
      </x:c>
      <x:c r="P23" s="17" t="str">
        <x:v>기관 공고 원문 확인</x:v>
      </x:c>
      <x:c r="Q23" s="17" t="str">
        <x:v>기관 공고 원문 확인</x:v>
      </x:c>
      <x:c r="R23" s="17" t="str">
        <x:v>정상</x:v>
      </x:c>
      <x:c r="S23" s="18" t="str">
        <x:v>https://job.cleaneye.go.kr/user/ypRecruitment.do</x:v>
      </x:c>
      <x:c r="T23" s="1"/>
      <x:c r="U23" s="1"/>
      <x:c r="V23" s="1"/>
      <x:c r="W23" s="1"/>
      <x:c r="X23" s="1"/>
      <x:c r="Y23" s="1"/>
      <x:c r="Z23" s="1"/>
    </x:row>
    <x:row r="24" ht="50" customHeight="1">
      <x:c r="A24" s="17" t="n">
        <x:v>20</x:v>
      </x:c>
      <x:c r="B24" s="17" t="str">
        <x:v>경기연구원</x:v>
      </x:c>
      <x:c r="C24" s="17" t="str">
        <x:v>경기도</x:v>
      </x:c>
      <x:c r="D24" s="17" t="str">
        <x:v>경기연구원 계약직 행정원 모집(단시간근로자/장애인 제한)</x:v>
      </x:c>
      <x:c r="E24" s="17" t="str">
        <x:v>신입+경력</x:v>
      </x:c>
      <x:c r="F24" s="17" t="str">
        <x:v>일반계약직</x:v>
      </x:c>
      <x:c r="G24" s="17" t="str">
        <x:v>명시 없음(원문 확인)</x:v>
      </x:c>
      <x:c r="H24" s="17" t="str">
        <x:v>2026-09-08</x:v>
      </x:c>
      <x:c r="I24" s="17" t="str">
        <x:v>2026-09-18</x:v>
      </x:c>
      <x:c r="J24" s="17" t="str">
        <x:v>모집중</x:v>
      </x:c>
      <x:c r="K24" s="17" t="str">
        <x:v>제한경쟁·조건부</x:v>
      </x:c>
      <x:c r="L24" s="17" t="str">
        <x:v>조건 충족자만</x:v>
      </x:c>
      <x:c r="M24" s="17" t="str">
        <x:v>장애 관련 제한경쟁</x:v>
      </x:c>
      <x:c r="N24" s="17" t="str">
        <x:v>기관 공고 원문 확인</x:v>
      </x:c>
      <x:c r="O24" s="17" t="str">
        <x:v>기관 공고 원문 확인</x:v>
      </x:c>
      <x:c r="P24" s="17" t="str">
        <x:v>기관 공고 원문 확인</x:v>
      </x:c>
      <x:c r="Q24" s="17" t="str">
        <x:v>기관 공고 원문 확인</x:v>
      </x:c>
      <x:c r="R24" s="17" t="str">
        <x:v>정상</x:v>
      </x:c>
      <x:c r="S24" s="18" t="str">
        <x:v>https://job.cleaneye.go.kr/user/ypRecruitment.do</x:v>
      </x:c>
      <x:c r="T24" s="1"/>
      <x:c r="U24" s="1"/>
      <x:c r="V24" s="1"/>
      <x:c r="W24" s="1"/>
      <x:c r="X24" s="1"/>
      <x:c r="Y24" s="1"/>
      <x:c r="Z24" s="1"/>
    </x:row>
    <x:row r="25" ht="50" customHeight="1">
      <x:c r="A25" s="17" t="n">
        <x:v>21</x:v>
      </x:c>
      <x:c r="B25" s="17" t="str">
        <x:v>부산광역시기장군도시관리공단</x:v>
      </x:c>
      <x:c r="C25" s="17" t="str">
        <x:v>부산광역시</x:v>
      </x:c>
      <x:c r="D25" s="17" t="str">
        <x:v>기장군도시관리공단 정관아쿠아드림파크 수영 인력풀 모집 공고</x:v>
      </x:c>
      <x:c r="E25" s="17" t="str">
        <x:v>신입+경력</x:v>
      </x:c>
      <x:c r="F25" s="17" t="str">
        <x:v>기간제</x:v>
      </x:c>
      <x:c r="G25" s="17" t="str">
        <x:v>명시 없음(원문 확인)</x:v>
      </x:c>
      <x:c r="H25" s="17" t="str">
        <x:v>2026-09-08</x:v>
      </x:c>
      <x:c r="I25" s="17" t="str">
        <x:v>2026-09-15</x:v>
      </x:c>
      <x:c r="J25" s="17" t="str">
        <x:v>모집중</x:v>
      </x:c>
      <x:c r="K25" s="17" t="str">
        <x:v>기간제·비정규</x:v>
      </x:c>
      <x:c r="L25" s="17" t="str">
        <x:v>검토</x:v>
      </x:c>
      <x:c r="M25" s="17" t="str">
        <x:v>제한 문구 미탐지</x:v>
      </x:c>
      <x:c r="N25" s="17" t="str">
        <x:v>기관 공고 원문 확인</x:v>
      </x:c>
      <x:c r="O25" s="17" t="str">
        <x:v>기관 공고 원문 확인</x:v>
      </x:c>
      <x:c r="P25" s="17" t="str">
        <x:v>기관 공고 원문 확인</x:v>
      </x:c>
      <x:c r="Q25" s="17" t="str">
        <x:v>기관 공고 원문 확인</x:v>
      </x:c>
      <x:c r="R25" s="17" t="str">
        <x:v>정상</x:v>
      </x:c>
      <x:c r="S25" s="18" t="str">
        <x:v>https://job.cleaneye.go.kr/user/ypRecruitment.do</x:v>
      </x:c>
      <x:c r="T25" s="1"/>
      <x:c r="U25" s="1"/>
      <x:c r="V25" s="1"/>
      <x:c r="W25" s="1"/>
      <x:c r="X25" s="1"/>
      <x:c r="Y25" s="1"/>
      <x:c r="Z25" s="1"/>
    </x:row>
    <x:row r="26" ht="50" customHeight="1">
      <x:c r="A26" s="17" t="n">
        <x:v>22</x:v>
      </x:c>
      <x:c r="B26" s="17" t="str">
        <x:v>강남구도시관리공단</x:v>
      </x:c>
      <x:c r="C26" s="17" t="str">
        <x:v>서울특별시</x:v>
      </x:c>
      <x:c r="D26" s="17" t="str">
        <x:v>강남구립 야외체육시설 법정공휴일 비정규 대체직원 채용 공고</x:v>
      </x:c>
      <x:c r="E26" s="17" t="str">
        <x:v>신입+경력</x:v>
      </x:c>
      <x:c r="F26" s="17" t="str">
        <x:v>기간제</x:v>
      </x:c>
      <x:c r="G26" s="17" t="str">
        <x:v>명시 없음(원문 확인)</x:v>
      </x:c>
      <x:c r="H26" s="17" t="str">
        <x:v>2026-09-08</x:v>
      </x:c>
      <x:c r="I26" s="17" t="str">
        <x:v>2026-09-14</x:v>
      </x:c>
      <x:c r="J26" s="17" t="str">
        <x:v>모집중</x:v>
      </x:c>
      <x:c r="K26" s="17" t="str">
        <x:v>기간제·비정규</x:v>
      </x:c>
      <x:c r="L26" s="17" t="str">
        <x:v>검토</x:v>
      </x:c>
      <x:c r="M26" s="17" t="str">
        <x:v>제한 문구 미탐지</x:v>
      </x:c>
      <x:c r="N26" s="17" t="str">
        <x:v>기관 공고 원문 확인</x:v>
      </x:c>
      <x:c r="O26" s="17" t="str">
        <x:v>기관 공고 원문 확인</x:v>
      </x:c>
      <x:c r="P26" s="17" t="str">
        <x:v>기관 공고 원문 확인</x:v>
      </x:c>
      <x:c r="Q26" s="17" t="str">
        <x:v>기관 공고 원문 확인</x:v>
      </x:c>
      <x:c r="R26" s="17" t="str">
        <x:v>정상</x:v>
      </x:c>
      <x:c r="S26" s="18" t="str">
        <x:v>https://job.cleaneye.go.kr/user/ypRecruitment.do</x:v>
      </x:c>
      <x:c r="T26" s="1"/>
      <x:c r="U26" s="1"/>
      <x:c r="V26" s="1"/>
      <x:c r="W26" s="1"/>
      <x:c r="X26" s="1"/>
      <x:c r="Y26" s="1"/>
      <x:c r="Z26" s="1"/>
    </x:row>
    <x:row r="27" ht="50" customHeight="1">
      <x:c r="A27" s="17" t="n">
        <x:v>23</x:v>
      </x:c>
      <x:c r="B27" s="17" t="str">
        <x:v>경기도의료원</x:v>
      </x:c>
      <x:c r="C27" s="17" t="str">
        <x:v>경기도</x:v>
      </x:c>
      <x:c r="D27" s="17" t="str">
        <x:v>[2026-32-2호] 경기도의료원 수원병원 마취통증의학과 전문의(비정규직) 초빙 공고</x:v>
      </x:c>
      <x:c r="E27" s="17" t="str">
        <x:v>신입+경력</x:v>
      </x:c>
      <x:c r="F27" s="17" t="str">
        <x:v>일반계약직</x:v>
      </x:c>
      <x:c r="G27" s="17" t="str">
        <x:v>명시 없음(원문 확인)</x:v>
      </x:c>
      <x:c r="H27" s="17" t="str">
        <x:v>2026-09-08</x:v>
      </x:c>
      <x:c r="I27" s="17" t="str">
        <x:v>2026-09-18</x:v>
      </x:c>
      <x:c r="J27" s="17" t="str">
        <x:v>모집중</x:v>
      </x:c>
      <x:c r="K27" s="17" t="str">
        <x:v>경력·전문직</x:v>
      </x:c>
      <x:c r="L27" s="17" t="str">
        <x:v>경력·전문 우선</x:v>
      </x:c>
      <x:c r="M27" s="17" t="str">
        <x:v>제한 문구 미탐지</x:v>
      </x:c>
      <x:c r="N27" s="17" t="str">
        <x:v>기관 공고 원문 확인</x:v>
      </x:c>
      <x:c r="O27" s="17" t="str">
        <x:v>기관 공고 원문 확인</x:v>
      </x:c>
      <x:c r="P27" s="17" t="str">
        <x:v>기관 공고 원문 확인</x:v>
      </x:c>
      <x:c r="Q27" s="17" t="str">
        <x:v>기관 공고 원문 확인</x:v>
      </x:c>
      <x:c r="R27" s="17" t="str">
        <x:v>정상</x:v>
      </x:c>
      <x:c r="S27" s="18" t="str">
        <x:v>https://job.cleaneye.go.kr/user/ypRecruitment.do</x:v>
      </x:c>
      <x:c r="T27" s="1"/>
      <x:c r="U27" s="1"/>
      <x:c r="V27" s="1"/>
      <x:c r="W27" s="1"/>
      <x:c r="X27" s="1"/>
      <x:c r="Y27" s="1"/>
      <x:c r="Z27" s="1"/>
    </x:row>
    <x:row r="28" ht="50" customHeight="1">
      <x:c r="A28" s="17" t="n">
        <x:v>24</x:v>
      </x:c>
      <x:c r="B28" s="17" t="str">
        <x:v>화성시문화관광재단</x:v>
      </x:c>
      <x:c r="C28" s="17" t="str">
        <x:v>경기도</x:v>
      </x:c>
      <x:c r="D28" s="17" t="str">
        <x:v>(재)화성시문화관광재단 봉담와우도서관 2026년 제2회 주말 기간제근로자 채용공고</x:v>
      </x:c>
      <x:c r="E28" s="17" t="str">
        <x:v>신입</x:v>
      </x:c>
      <x:c r="F28" s="17" t="str">
        <x:v>기간제</x:v>
      </x:c>
      <x:c r="G28" s="17" t="str">
        <x:v>명시 없음(원문 확인)</x:v>
      </x:c>
      <x:c r="H28" s="17" t="str">
        <x:v>2026-09-08</x:v>
      </x:c>
      <x:c r="I28" s="17" t="str">
        <x:v>2026-09-15</x:v>
      </x:c>
      <x:c r="J28" s="17" t="str">
        <x:v>모집중</x:v>
      </x:c>
      <x:c r="K28" s="17" t="str">
        <x:v>기간제·비정규</x:v>
      </x:c>
      <x:c r="L28" s="17" t="str">
        <x:v>검토</x:v>
      </x:c>
      <x:c r="M28" s="17" t="str">
        <x:v>제한 문구 미탐지</x:v>
      </x:c>
      <x:c r="N28" s="17" t="str">
        <x:v>기관 공고 원문 확인</x:v>
      </x:c>
      <x:c r="O28" s="17" t="str">
        <x:v>기관 공고 원문 확인</x:v>
      </x:c>
      <x:c r="P28" s="17" t="str">
        <x:v>기관 공고 원문 확인</x:v>
      </x:c>
      <x:c r="Q28" s="17" t="str">
        <x:v>기관 공고 원문 확인</x:v>
      </x:c>
      <x:c r="R28" s="17" t="str">
        <x:v>정상</x:v>
      </x:c>
      <x:c r="S28" s="18" t="str">
        <x:v>https://job.cleaneye.go.kr/user/ypRecruitment.do</x:v>
      </x:c>
      <x:c r="T28" s="1"/>
      <x:c r="U28" s="1"/>
      <x:c r="V28" s="1"/>
      <x:c r="W28" s="1"/>
      <x:c r="X28" s="1"/>
      <x:c r="Y28" s="1"/>
      <x:c r="Z28" s="1"/>
    </x:row>
    <x:row r="29" ht="50" customHeight="1">
      <x:c r="A29" s="17" t="n">
        <x:v>25</x:v>
      </x:c>
      <x:c r="B29" s="17" t="str">
        <x:v>인천광역시계양구시설관리공단</x:v>
      </x:c>
      <x:c r="C29" s="17" t="str">
        <x:v>인천광역시</x:v>
      </x:c>
      <x:c r="D29" s="17" t="str">
        <x:v>2026년도 인천광역시계양구시설관리공단 체험형 청년 인턴 공개경쟁채용 계획 공고</x:v>
      </x:c>
      <x:c r="E29" s="17" t="str">
        <x:v>신입</x:v>
      </x:c>
      <x:c r="F29" s="17" t="str">
        <x:v>인턴</x:v>
      </x:c>
      <x:c r="G29" s="17" t="str">
        <x:v>인천광역시 계양구</x:v>
      </x:c>
      <x:c r="H29" s="17" t="str">
        <x:v>2026-09-08</x:v>
      </x:c>
      <x:c r="I29" s="17" t="str">
        <x:v>2026-09-14</x:v>
      </x:c>
      <x:c r="J29" s="17" t="str">
        <x:v>모집중</x:v>
      </x:c>
      <x:c r="K29" s="17" t="str">
        <x:v>체험형·청년인턴</x:v>
      </x:c>
      <x:c r="L29" s="17" t="str">
        <x:v>우선검토</x:v>
      </x:c>
      <x:c r="M29" s="17" t="str">
        <x:v>제한 문구 미탐지</x:v>
      </x:c>
      <x:c r="N29" s="17" t="str">
        <x:v>기관 공고 원문 확인</x:v>
      </x:c>
      <x:c r="O29" s="17" t="str">
        <x:v>기관 공고 원문 확인</x:v>
      </x:c>
      <x:c r="P29" s="17" t="str">
        <x:v>기관 공고 원문 확인</x:v>
      </x:c>
      <x:c r="Q29" s="17" t="str">
        <x:v>기관 공고 원문 확인</x:v>
      </x:c>
      <x:c r="R29" s="17" t="str">
        <x:v>정상</x:v>
      </x:c>
      <x:c r="S29" s="18" t="str">
        <x:v>https://job.cleaneye.go.kr/user/ypRecruitment.do</x:v>
      </x:c>
      <x:c r="T29" s="1"/>
      <x:c r="U29" s="1"/>
      <x:c r="V29" s="1"/>
      <x:c r="W29" s="1"/>
      <x:c r="X29" s="1"/>
      <x:c r="Y29" s="1"/>
      <x:c r="Z29" s="1"/>
    </x:row>
    <x:row r="30" ht="50" customHeight="1">
      <x:c r="A30" s="17" t="n">
        <x:v>26</x:v>
      </x:c>
      <x:c r="B30" s="17" t="str">
        <x:v>경상북도안동의료원</x:v>
      </x:c>
      <x:c r="C30" s="17" t="str">
        <x:v>경상북도</x:v>
      </x:c>
      <x:c r="D30" s="17" t="str">
        <x:v>정규직 간호사 채용공고</x:v>
      </x:c>
      <x:c r="E30" s="17" t="str">
        <x:v>신입+경력</x:v>
      </x:c>
      <x:c r="F30" s="17" t="str">
        <x:v>일반정규직</x:v>
      </x:c>
      <x:c r="G30" s="17" t="str">
        <x:v>명시 없음(원문 확인)</x:v>
      </x:c>
      <x:c r="H30" s="17" t="str">
        <x:v>2026-09-08</x:v>
      </x:c>
      <x:c r="I30" s="17" t="str">
        <x:v>2026-09-18</x:v>
      </x:c>
      <x:c r="J30" s="17" t="str">
        <x:v>모집중</x:v>
      </x:c>
      <x:c r="K30" s="17" t="str">
        <x:v>경력·전문직</x:v>
      </x:c>
      <x:c r="L30" s="17" t="str">
        <x:v>경력·전문 우선</x:v>
      </x:c>
      <x:c r="M30" s="17" t="str">
        <x:v>제한 문구 미탐지</x:v>
      </x:c>
      <x:c r="N30" s="17" t="str">
        <x:v>기관 공고 원문 확인</x:v>
      </x:c>
      <x:c r="O30" s="17" t="str">
        <x:v>기관 공고 원문 확인</x:v>
      </x:c>
      <x:c r="P30" s="17" t="str">
        <x:v>기관 공고 원문 확인</x:v>
      </x:c>
      <x:c r="Q30" s="17" t="str">
        <x:v>기관 공고 원문 확인</x:v>
      </x:c>
      <x:c r="R30" s="17" t="str">
        <x:v>정상</x:v>
      </x:c>
      <x:c r="S30" s="18" t="str">
        <x:v>https://job.cleaneye.go.kr/user/ypRecruitment.do</x:v>
      </x:c>
      <x:c r="T30" s="1"/>
      <x:c r="U30" s="1"/>
      <x:c r="V30" s="1"/>
      <x:c r="W30" s="1"/>
      <x:c r="X30" s="1"/>
      <x:c r="Y30" s="1"/>
      <x:c r="Z30" s="1"/>
    </x:row>
    <x:row r="31" ht="50" customHeight="1">
      <x:c r="A31" s="17" t="n">
        <x:v>27</x:v>
      </x:c>
      <x:c r="B31" s="17" t="str">
        <x:v>인천광역시연수구시설안전관리공단</x:v>
      </x:c>
      <x:c r="C31" s="17" t="str">
        <x:v>인천광역시</x:v>
      </x:c>
      <x:c r="D31" s="17" t="str">
        <x:v>2026년 제2회 경영혁신팀 기간제근로자 채용 공고</x:v>
      </x:c>
      <x:c r="E31" s="17" t="str">
        <x:v>신입+경력</x:v>
      </x:c>
      <x:c r="F31" s="17" t="str">
        <x:v>기간제</x:v>
      </x:c>
      <x:c r="G31" s="17" t="str">
        <x:v>인천광역시</x:v>
      </x:c>
      <x:c r="H31" s="17" t="str">
        <x:v>2026-09-08</x:v>
      </x:c>
      <x:c r="I31" s="17" t="str">
        <x:v>2026-09-14</x:v>
      </x:c>
      <x:c r="J31" s="17" t="str">
        <x:v>모집중</x:v>
      </x:c>
      <x:c r="K31" s="17" t="str">
        <x:v>기간제·비정규</x:v>
      </x:c>
      <x:c r="L31" s="17" t="str">
        <x:v>검토</x:v>
      </x:c>
      <x:c r="M31" s="17" t="str">
        <x:v>제한 문구 미탐지</x:v>
      </x:c>
      <x:c r="N31" s="17" t="str">
        <x:v>기관 공고 원문 확인</x:v>
      </x:c>
      <x:c r="O31" s="17" t="str">
        <x:v>기관 공고 원문 확인</x:v>
      </x:c>
      <x:c r="P31" s="17" t="str">
        <x:v>기관 공고 원문 확인</x:v>
      </x:c>
      <x:c r="Q31" s="17" t="str">
        <x:v>기관 공고 원문 확인</x:v>
      </x:c>
      <x:c r="R31" s="17" t="str">
        <x:v>정상</x:v>
      </x:c>
      <x:c r="S31" s="18" t="str">
        <x:v>https://job.cleaneye.go.kr/user/ypRecruitment.do</x:v>
      </x:c>
      <x:c r="T31" s="1"/>
      <x:c r="U31" s="1"/>
      <x:c r="V31" s="1"/>
      <x:c r="W31" s="1"/>
      <x:c r="X31" s="1"/>
      <x:c r="Y31" s="1"/>
      <x:c r="Z31" s="1"/>
    </x:row>
    <x:row r="32" ht="50" customHeight="1">
      <x:c r="A32" s="17" t="n">
        <x:v>28</x:v>
      </x:c>
      <x:c r="B32" s="17" t="str">
        <x:v>인천광역시계양구시설관리공단</x:v>
      </x:c>
      <x:c r="C32" s="17" t="str">
        <x:v>인천광역시</x:v>
      </x:c>
      <x:c r="D32" s="17" t="str">
        <x:v>2026년도 제7회 인천광역시계양구시설관리공단 직원(기간제근로자) 공개경쟁채용 계획 공고</x:v>
      </x:c>
      <x:c r="E32" s="17" t="str">
        <x:v>신입+경력</x:v>
      </x:c>
      <x:c r="F32" s="17" t="str">
        <x:v>기간제</x:v>
      </x:c>
      <x:c r="G32" s="17" t="str">
        <x:v>인천광역시 계양구</x:v>
      </x:c>
      <x:c r="H32" s="17" t="str">
        <x:v>2026-09-08</x:v>
      </x:c>
      <x:c r="I32" s="17" t="str">
        <x:v>2026-09-14</x:v>
      </x:c>
      <x:c r="J32" s="17" t="str">
        <x:v>모집중</x:v>
      </x:c>
      <x:c r="K32" s="17" t="str">
        <x:v>기간제·비정규</x:v>
      </x:c>
      <x:c r="L32" s="17" t="str">
        <x:v>검토</x:v>
      </x:c>
      <x:c r="M32" s="17" t="str">
        <x:v>제한 문구 미탐지</x:v>
      </x:c>
      <x:c r="N32" s="17" t="str">
        <x:v>기관 공고 원문 확인</x:v>
      </x:c>
      <x:c r="O32" s="17" t="str">
        <x:v>기관 공고 원문 확인</x:v>
      </x:c>
      <x:c r="P32" s="17" t="str">
        <x:v>기관 공고 원문 확인</x:v>
      </x:c>
      <x:c r="Q32" s="17" t="str">
        <x:v>기관 공고 원문 확인</x:v>
      </x:c>
      <x:c r="R32" s="17" t="str">
        <x:v>정상</x:v>
      </x:c>
      <x:c r="S32" s="18" t="str">
        <x:v>https://job.cleaneye.go.kr/user/ypRecruitment.do</x:v>
      </x:c>
      <x:c r="T32" s="1"/>
      <x:c r="U32" s="1"/>
      <x:c r="V32" s="1"/>
      <x:c r="W32" s="1"/>
      <x:c r="X32" s="1"/>
      <x:c r="Y32" s="1"/>
      <x:c r="Z32" s="1"/>
    </x:row>
    <x:row r="33" ht="50" customHeight="1">
      <x:c r="A33" s="17" t="n">
        <x:v>29</x:v>
      </x:c>
      <x:c r="B33" s="17" t="str">
        <x:v>부산여성가족과 평생교육진흥원</x:v>
      </x:c>
      <x:c r="C33" s="17" t="str">
        <x:v>부산광역시</x:v>
      </x:c>
      <x:c r="D33" s="17" t="str">
        <x:v>연구직(계약직·위촉연구원) 채용 공고</x:v>
      </x:c>
      <x:c r="E33" s="17" t="str">
        <x:v>신입+경력</x:v>
      </x:c>
      <x:c r="F33" s="17" t="str">
        <x:v>기간제</x:v>
      </x:c>
      <x:c r="G33" s="17" t="str">
        <x:v>명시 없음(원문 확인)</x:v>
      </x:c>
      <x:c r="H33" s="17" t="str">
        <x:v>2026-09-08</x:v>
      </x:c>
      <x:c r="I33" s="17" t="str">
        <x:v>2026-09-18</x:v>
      </x:c>
      <x:c r="J33" s="17" t="str">
        <x:v>모집중</x:v>
      </x:c>
      <x:c r="K33" s="17" t="str">
        <x:v>기간제·비정규</x:v>
      </x:c>
      <x:c r="L33" s="17" t="str">
        <x:v>검토</x:v>
      </x:c>
      <x:c r="M33" s="17" t="str">
        <x:v>제한 문구 미탐지</x:v>
      </x:c>
      <x:c r="N33" s="17" t="str">
        <x:v>기관 공고 원문 확인</x:v>
      </x:c>
      <x:c r="O33" s="17" t="str">
        <x:v>기관 공고 원문 확인</x:v>
      </x:c>
      <x:c r="P33" s="17" t="str">
        <x:v>기관 공고 원문 확인</x:v>
      </x:c>
      <x:c r="Q33" s="17" t="str">
        <x:v>기관 공고 원문 확인</x:v>
      </x:c>
      <x:c r="R33" s="17" t="str">
        <x:v>정상</x:v>
      </x:c>
      <x:c r="S33" s="18" t="str">
        <x:v>https://job.cleaneye.go.kr/user/ypRecruitment.do</x:v>
      </x:c>
      <x:c r="T33" s="1"/>
      <x:c r="U33" s="1"/>
      <x:c r="V33" s="1"/>
      <x:c r="W33" s="1"/>
      <x:c r="X33" s="1"/>
      <x:c r="Y33" s="1"/>
      <x:c r="Z33" s="1"/>
    </x:row>
    <x:row r="34" ht="50" customHeight="1">
      <x:c r="A34" s="17" t="n">
        <x:v>30</x:v>
      </x:c>
      <x:c r="B34" s="17" t="str">
        <x:v>대구공공시설관리공단</x:v>
      </x:c>
      <x:c r="C34" s="17" t="str">
        <x:v>대구광역시</x:v>
      </x:c>
      <x:c r="D34" s="17" t="str">
        <x:v>2026년 대구공공시설관리공단 기간제근로자 4차 공개채용 공고</x:v>
      </x:c>
      <x:c r="E34" s="17" t="str">
        <x:v>신입+경력</x:v>
      </x:c>
      <x:c r="F34" s="17" t="str">
        <x:v>기간제</x:v>
      </x:c>
      <x:c r="G34" s="17" t="str">
        <x:v>대구광역시</x:v>
      </x:c>
      <x:c r="H34" s="17" t="str">
        <x:v>2026-09-08</x:v>
      </x:c>
      <x:c r="I34" s="17" t="str">
        <x:v>2026-09-15</x:v>
      </x:c>
      <x:c r="J34" s="17" t="str">
        <x:v>모집중</x:v>
      </x:c>
      <x:c r="K34" s="17" t="str">
        <x:v>기간제·비정규</x:v>
      </x:c>
      <x:c r="L34" s="17" t="str">
        <x:v>검토</x:v>
      </x:c>
      <x:c r="M34" s="17" t="str">
        <x:v>제한 문구 미탐지</x:v>
      </x:c>
      <x:c r="N34" s="17" t="str">
        <x:v>기관 공고 원문 확인</x:v>
      </x:c>
      <x:c r="O34" s="17" t="str">
        <x:v>기관 공고 원문 확인</x:v>
      </x:c>
      <x:c r="P34" s="17" t="str">
        <x:v>기관 공고 원문 확인</x:v>
      </x:c>
      <x:c r="Q34" s="17" t="str">
        <x:v>기관 공고 원문 확인</x:v>
      </x:c>
      <x:c r="R34" s="17" t="str">
        <x:v>정상</x:v>
      </x:c>
      <x:c r="S34" s="18" t="str">
        <x:v>https://job.cleaneye.go.kr/user/ypRecruitment.do</x:v>
      </x:c>
      <x:c r="T34" s="1"/>
      <x:c r="U34" s="1"/>
      <x:c r="V34" s="1"/>
      <x:c r="W34" s="1"/>
      <x:c r="X34" s="1"/>
      <x:c r="Y34" s="1"/>
      <x:c r="Z34" s="1"/>
    </x:row>
    <x:row r="35" ht="50" customHeight="1">
      <x:c r="A35" s="17" t="n">
        <x:v>31</x:v>
      </x:c>
      <x:c r="B35" s="17" t="str">
        <x:v>울산광역시중구도시관리공단</x:v>
      </x:c>
      <x:c r="C35" s="17" t="str">
        <x:v>울산광역시</x:v>
      </x:c>
      <x:c r="D35" s="17" t="str">
        <x:v>2026년 제9회 기간제근로자 공개채용 공고</x:v>
      </x:c>
      <x:c r="E35" s="17" t="str">
        <x:v>신입</x:v>
      </x:c>
      <x:c r="F35" s="17" t="str">
        <x:v>기간제</x:v>
      </x:c>
      <x:c r="G35" s="17" t="str">
        <x:v>명시 없음(원문 확인)</x:v>
      </x:c>
      <x:c r="H35" s="17" t="str">
        <x:v>2026-09-08</x:v>
      </x:c>
      <x:c r="I35" s="17" t="str">
        <x:v>2026-09-14</x:v>
      </x:c>
      <x:c r="J35" s="17" t="str">
        <x:v>모집중</x:v>
      </x:c>
      <x:c r="K35" s="17" t="str">
        <x:v>기간제·비정규</x:v>
      </x:c>
      <x:c r="L35" s="17" t="str">
        <x:v>검토</x:v>
      </x:c>
      <x:c r="M35" s="17" t="str">
        <x:v>제한 문구 미탐지</x:v>
      </x:c>
      <x:c r="N35" s="17" t="str">
        <x:v>기관 공고 원문 확인</x:v>
      </x:c>
      <x:c r="O35" s="17" t="str">
        <x:v>기관 공고 원문 확인</x:v>
      </x:c>
      <x:c r="P35" s="17" t="str">
        <x:v>기관 공고 원문 확인</x:v>
      </x:c>
      <x:c r="Q35" s="17" t="str">
        <x:v>기관 공고 원문 확인</x:v>
      </x:c>
      <x:c r="R35" s="17" t="str">
        <x:v>정상</x:v>
      </x:c>
      <x:c r="S35" s="18" t="str">
        <x:v>https://job.cleaneye.go.kr/user/ypRecruitment.do</x:v>
      </x:c>
      <x:c r="T35" s="1"/>
      <x:c r="U35" s="1"/>
      <x:c r="V35" s="1"/>
      <x:c r="W35" s="1"/>
      <x:c r="X35" s="1"/>
      <x:c r="Y35" s="1"/>
      <x:c r="Z35" s="1"/>
    </x:row>
    <x:row r="36" ht="50" customHeight="1">
      <x:c r="A36" s="17" t="n">
        <x:v>32</x:v>
      </x:c>
      <x:c r="B36" s="17" t="str">
        <x:v>재단법인 안산시청소년재단</x:v>
      </x:c>
      <x:c r="C36" s="17" t="str">
        <x:v>경기도</x:v>
      </x:c>
      <x:c r="D36" s="17" t="str">
        <x:v>[2026-10] (재)안산시청소년재단 임원(선임직 이사) 공개 모집</x:v>
      </x:c>
      <x:c r="E36" s="17" t="str">
        <x:v>신입+경력</x:v>
      </x:c>
      <x:c r="F36" s="17" t="str">
        <x:v>비상임</x:v>
      </x:c>
      <x:c r="G36" s="17" t="str">
        <x:v>명시 없음(원문 확인)</x:v>
      </x:c>
      <x:c r="H36" s="17" t="str">
        <x:v>2026-09-08</x:v>
      </x:c>
      <x:c r="I36" s="17" t="str">
        <x:v>2026-09-18</x:v>
      </x:c>
      <x:c r="J36" s="17" t="str">
        <x:v>모집중</x:v>
      </x:c>
      <x:c r="K36" s="17" t="str">
        <x:v>경력·전문직</x:v>
      </x:c>
      <x:c r="L36" s="17" t="str">
        <x:v>경력·전문 우선</x:v>
      </x:c>
      <x:c r="M36" s="17" t="str">
        <x:v>제한 문구 미탐지</x:v>
      </x:c>
      <x:c r="N36" s="17" t="str">
        <x:v>기관 공고 원문 확인</x:v>
      </x:c>
      <x:c r="O36" s="17" t="str">
        <x:v>기관 공고 원문 확인</x:v>
      </x:c>
      <x:c r="P36" s="17" t="str">
        <x:v>기관 공고 원문 확인</x:v>
      </x:c>
      <x:c r="Q36" s="17" t="str">
        <x:v>기관 공고 원문 확인</x:v>
      </x:c>
      <x:c r="R36" s="17" t="str">
        <x:v>정상</x:v>
      </x:c>
      <x:c r="S36" s="18" t="str">
        <x:v>https://job.cleaneye.go.kr/user/ypRecruitment.do</x:v>
      </x:c>
      <x:c r="T36" s="1"/>
      <x:c r="U36" s="1"/>
      <x:c r="V36" s="1"/>
      <x:c r="W36" s="1"/>
      <x:c r="X36" s="1"/>
      <x:c r="Y36" s="1"/>
      <x:c r="Z36" s="1"/>
    </x:row>
    <x:row r="37" ht="50" customHeight="1">
      <x:c r="A37" s="17" t="n">
        <x:v>33</x:v>
      </x:c>
      <x:c r="B37" s="17" t="str">
        <x:v>성동미래일자리(주)</x:v>
      </x:c>
      <x:c r="C37" s="17" t="str">
        <x:v>서울특별시</x:v>
      </x:c>
      <x:c r="D37" s="17" t="str">
        <x:v>성동미래일자리(주) 현장근로자 채용 공고</x:v>
      </x:c>
      <x:c r="E37" s="17" t="str">
        <x:v>신입+경력</x:v>
      </x:c>
      <x:c r="F37" s="17" t="str">
        <x:v>기간제</x:v>
      </x:c>
      <x:c r="G37" s="17" t="str">
        <x:v>명시 없음(원문 확인)</x:v>
      </x:c>
      <x:c r="H37" s="17" t="str">
        <x:v>2026-09-08</x:v>
      </x:c>
      <x:c r="I37" s="17" t="str">
        <x:v>2026-09-22</x:v>
      </x:c>
      <x:c r="J37" s="17" t="str">
        <x:v>모집중</x:v>
      </x:c>
      <x:c r="K37" s="17" t="str">
        <x:v>기간제·비정규</x:v>
      </x:c>
      <x:c r="L37" s="17" t="str">
        <x:v>검토</x:v>
      </x:c>
      <x:c r="M37" s="17" t="str">
        <x:v>제한 문구 미탐지</x:v>
      </x:c>
      <x:c r="N37" s="17" t="str">
        <x:v>기관 공고 원문 확인</x:v>
      </x:c>
      <x:c r="O37" s="17" t="str">
        <x:v>기관 공고 원문 확인</x:v>
      </x:c>
      <x:c r="P37" s="17" t="str">
        <x:v>기관 공고 원문 확인</x:v>
      </x:c>
      <x:c r="Q37" s="17" t="str">
        <x:v>기관 공고 원문 확인</x:v>
      </x:c>
      <x:c r="R37" s="17" t="str">
        <x:v>정상</x:v>
      </x:c>
      <x:c r="S37" s="18" t="str">
        <x:v>https://job.cleaneye.go.kr/user/ypRecruitment.do</x:v>
      </x:c>
      <x:c r="T37" s="1"/>
      <x:c r="U37" s="1"/>
      <x:c r="V37" s="1"/>
      <x:c r="W37" s="1"/>
      <x:c r="X37" s="1"/>
      <x:c r="Y37" s="1"/>
      <x:c r="Z37" s="1"/>
    </x:row>
    <x:row r="38" ht="50" customHeight="1">
      <x:c r="A38" s="17" t="n">
        <x:v>34</x:v>
      </x:c>
      <x:c r="B38" s="17" t="str">
        <x:v>광주교통공사</x:v>
      </x:c>
      <x:c r="C38" s="17" t="str">
        <x:v>전남광주통합특별시</x:v>
      </x:c>
      <x:c r="D38" s="17" t="str">
        <x:v>광주교통공사 임원(상임이사) 후보 모집 공고</x:v>
      </x:c>
      <x:c r="E38" s="17" t="str">
        <x:v>신입+경력</x:v>
      </x:c>
      <x:c r="F38" s="17" t="str">
        <x:v>전문계약직</x:v>
      </x:c>
      <x:c r="G38" s="17" t="str">
        <x:v>명시 없음(원문 확인)</x:v>
      </x:c>
      <x:c r="H38" s="17" t="str">
        <x:v>2026-09-08</x:v>
      </x:c>
      <x:c r="I38" s="17" t="str">
        <x:v>2026-09-23</x:v>
      </x:c>
      <x:c r="J38" s="17" t="str">
        <x:v>모집중</x:v>
      </x:c>
      <x:c r="K38" s="17" t="str">
        <x:v>경력·전문직</x:v>
      </x:c>
      <x:c r="L38" s="17" t="str">
        <x:v>경력·전문 우선</x:v>
      </x:c>
      <x:c r="M38" s="17" t="str">
        <x:v>제한 문구 미탐지</x:v>
      </x:c>
      <x:c r="N38" s="17" t="str">
        <x:v>기관 공고 원문 확인</x:v>
      </x:c>
      <x:c r="O38" s="17" t="str">
        <x:v>기관 공고 원문 확인</x:v>
      </x:c>
      <x:c r="P38" s="17" t="str">
        <x:v>기관 공고 원문 확인</x:v>
      </x:c>
      <x:c r="Q38" s="17" t="str">
        <x:v>기관 공고 원문 확인</x:v>
      </x:c>
      <x:c r="R38" s="17" t="str">
        <x:v>정상</x:v>
      </x:c>
      <x:c r="S38" s="18" t="str">
        <x:v>https://job.cleaneye.go.kr/user/ypRecruitment.do</x:v>
      </x:c>
      <x:c r="T38" s="1"/>
      <x:c r="U38" s="1"/>
      <x:c r="V38" s="1"/>
      <x:c r="W38" s="1"/>
      <x:c r="X38" s="1"/>
      <x:c r="Y38" s="1"/>
      <x:c r="Z38" s="1"/>
    </x:row>
    <x:row r="39" ht="50" customHeight="1">
      <x:c r="A39" s="17" t="n">
        <x:v>35</x:v>
      </x:c>
      <x:c r="B39" s="17" t="str">
        <x:v>한국기후변화연구원</x:v>
      </x:c>
      <x:c r="C39" s="17" t="str">
        <x:v>강원특별자치도</x:v>
      </x:c>
      <x:c r="D39" s="17" t="str">
        <x:v>2026년 위촉직 채용(행정사무원-청사시설관리) 공고</x:v>
      </x:c>
      <x:c r="E39" s="17" t="str">
        <x:v>신입+경력</x:v>
      </x:c>
      <x:c r="F39" s="17" t="str">
        <x:v>기간제</x:v>
      </x:c>
      <x:c r="G39" s="17" t="str">
        <x:v>명시 없음(원문 확인)</x:v>
      </x:c>
      <x:c r="H39" s="17" t="str">
        <x:v>2026-09-08</x:v>
      </x:c>
      <x:c r="I39" s="17" t="str">
        <x:v>2026-09-18</x:v>
      </x:c>
      <x:c r="J39" s="17" t="str">
        <x:v>모집중</x:v>
      </x:c>
      <x:c r="K39" s="17" t="str">
        <x:v>기간제·비정규</x:v>
      </x:c>
      <x:c r="L39" s="17" t="str">
        <x:v>검토</x:v>
      </x:c>
      <x:c r="M39" s="17" t="str">
        <x:v>제한 문구 미탐지</x:v>
      </x:c>
      <x:c r="N39" s="17" t="str">
        <x:v>기관 공고 원문 확인</x:v>
      </x:c>
      <x:c r="O39" s="17" t="str">
        <x:v>기관 공고 원문 확인</x:v>
      </x:c>
      <x:c r="P39" s="17" t="str">
        <x:v>기관 공고 원문 확인</x:v>
      </x:c>
      <x:c r="Q39" s="17" t="str">
        <x:v>기관 공고 원문 확인</x:v>
      </x:c>
      <x:c r="R39" s="17" t="str">
        <x:v>정상</x:v>
      </x:c>
      <x:c r="S39" s="18" t="str">
        <x:v>https://job.cleaneye.go.kr/user/ypRecruitment.do</x:v>
      </x:c>
      <x:c r="T39" s="1"/>
      <x:c r="U39" s="1"/>
      <x:c r="V39" s="1"/>
      <x:c r="W39" s="1"/>
      <x:c r="X39" s="1"/>
      <x:c r="Y39" s="1"/>
      <x:c r="Z39" s="1"/>
    </x:row>
    <x:row r="40" ht="50" customHeight="1">
      <x:c r="A40" s="17" t="n">
        <x:v>36</x:v>
      </x:c>
      <x:c r="B40" s="17" t="str">
        <x:v>세미원</x:v>
      </x:c>
      <x:c r="C40" s="17" t="str">
        <x:v>경기도</x:v>
      </x:c>
      <x:c r="D40" s="17" t="str">
        <x:v>2026년도 (재)세미원 기간제근로자(환경교육센터) 채용 공고</x:v>
      </x:c>
      <x:c r="E40" s="17" t="str">
        <x:v>신입+경력</x:v>
      </x:c>
      <x:c r="F40" s="17" t="str">
        <x:v>기간제</x:v>
      </x:c>
      <x:c r="G40" s="17" t="str">
        <x:v>명시 없음(원문 확인)</x:v>
      </x:c>
      <x:c r="H40" s="17" t="str">
        <x:v>2026-09-08</x:v>
      </x:c>
      <x:c r="I40" s="17" t="str">
        <x:v>2026-09-20</x:v>
      </x:c>
      <x:c r="J40" s="17" t="str">
        <x:v>모집중</x:v>
      </x:c>
      <x:c r="K40" s="17" t="str">
        <x:v>기간제·비정규</x:v>
      </x:c>
      <x:c r="L40" s="17" t="str">
        <x:v>검토</x:v>
      </x:c>
      <x:c r="M40" s="17" t="str">
        <x:v>제한 문구 미탐지</x:v>
      </x:c>
      <x:c r="N40" s="17" t="str">
        <x:v>기관 공고 원문 확인</x:v>
      </x:c>
      <x:c r="O40" s="17" t="str">
        <x:v>기관 공고 원문 확인</x:v>
      </x:c>
      <x:c r="P40" s="17" t="str">
        <x:v>기관 공고 원문 확인</x:v>
      </x:c>
      <x:c r="Q40" s="17" t="str">
        <x:v>기관 공고 원문 확인</x:v>
      </x:c>
      <x:c r="R40" s="17" t="str">
        <x:v>정상</x:v>
      </x:c>
      <x:c r="S40" s="18" t="str">
        <x:v>https://job.cleaneye.go.kr/user/ypRecruitment.do</x:v>
      </x:c>
      <x:c r="T40" s="1"/>
      <x:c r="U40" s="1"/>
      <x:c r="V40" s="1"/>
      <x:c r="W40" s="1"/>
      <x:c r="X40" s="1"/>
      <x:c r="Y40" s="1"/>
      <x:c r="Z40" s="1"/>
    </x:row>
    <x:row r="41" ht="50" customHeight="1">
      <x:c r="A41" s="17" t="n">
        <x:v>37</x:v>
      </x:c>
      <x:c r="B41" s="17" t="str">
        <x:v>수성문화재단</x:v>
      </x:c>
      <x:c r="C41" s="17" t="str">
        <x:v>대구광역시</x:v>
      </x:c>
      <x:c r="D41" s="17" t="str">
        <x:v>2026년 제5차 범어도서관 기간제근로자 채용 공고</x:v>
      </x:c>
      <x:c r="E41" s="17" t="str">
        <x:v>신입+경력</x:v>
      </x:c>
      <x:c r="F41" s="17" t="str">
        <x:v>기간제</x:v>
      </x:c>
      <x:c r="G41" s="17" t="str">
        <x:v>대구광역시 및 경상북도</x:v>
      </x:c>
      <x:c r="H41" s="17" t="str">
        <x:v>2026-09-08</x:v>
      </x:c>
      <x:c r="I41" s="17" t="str">
        <x:v>2026-09-15</x:v>
      </x:c>
      <x:c r="J41" s="17" t="str">
        <x:v>모집중</x:v>
      </x:c>
      <x:c r="K41" s="17" t="str">
        <x:v>기간제·비정규</x:v>
      </x:c>
      <x:c r="L41" s="17" t="str">
        <x:v>검토</x:v>
      </x:c>
      <x:c r="M41" s="17" t="str">
        <x:v>제한 문구 미탐지</x:v>
      </x:c>
      <x:c r="N41" s="17" t="str">
        <x:v>기관 공고 원문 확인</x:v>
      </x:c>
      <x:c r="O41" s="17" t="str">
        <x:v>기관 공고 원문 확인</x:v>
      </x:c>
      <x:c r="P41" s="17" t="str">
        <x:v>기관 공고 원문 확인</x:v>
      </x:c>
      <x:c r="Q41" s="17" t="str">
        <x:v>기관 공고 원문 확인</x:v>
      </x:c>
      <x:c r="R41" s="17" t="str">
        <x:v>정상</x:v>
      </x:c>
      <x:c r="S41" s="18" t="str">
        <x:v>https://job.cleaneye.go.kr/user/ypRecruitment.do</x:v>
      </x:c>
      <x:c r="T41" s="1"/>
      <x:c r="U41" s="1"/>
      <x:c r="V41" s="1"/>
      <x:c r="W41" s="1"/>
      <x:c r="X41" s="1"/>
      <x:c r="Y41" s="1"/>
      <x:c r="Z41" s="1"/>
    </x:row>
    <x:row r="42" ht="50" customHeight="1">
      <x:c r="A42" s="17" t="n">
        <x:v>38</x:v>
      </x:c>
      <x:c r="B42" s="17" t="str">
        <x:v>제주연구원</x:v>
      </x:c>
      <x:c r="C42" s="17" t="str">
        <x:v>제주특별자치도</x:v>
      </x:c>
      <x:c r="D42" s="17" t="str">
        <x:v>(재공고) 제주연구원 제주지하수연구센터 계약직(3개분야) 직원 공개채용 공고</x:v>
      </x:c>
      <x:c r="E42" s="17" t="str">
        <x:v>신입+경력</x:v>
      </x:c>
      <x:c r="F42" s="17" t="str">
        <x:v>일반계약직</x:v>
      </x:c>
      <x:c r="G42" s="17" t="str">
        <x:v>명시 없음(원문 확인)</x:v>
      </x:c>
      <x:c r="H42" s="17" t="str">
        <x:v>2026-09-08</x:v>
      </x:c>
      <x:c r="I42" s="17" t="str">
        <x:v>2026-09-18</x:v>
      </x:c>
      <x:c r="J42" s="17" t="str">
        <x:v>모집중</x:v>
      </x:c>
      <x:c r="K42" s="17" t="str">
        <x:v>기타 채용</x:v>
      </x:c>
      <x:c r="L42" s="17" t="str">
        <x:v>검토</x:v>
      </x:c>
      <x:c r="M42" s="17" t="str">
        <x:v>제한 문구 미탐지</x:v>
      </x:c>
      <x:c r="N42" s="17" t="str">
        <x:v>기관 공고 원문 확인</x:v>
      </x:c>
      <x:c r="O42" s="17" t="str">
        <x:v>기관 공고 원문 확인</x:v>
      </x:c>
      <x:c r="P42" s="17" t="str">
        <x:v>기관 공고 원문 확인</x:v>
      </x:c>
      <x:c r="Q42" s="17" t="str">
        <x:v>기관 공고 원문 확인</x:v>
      </x:c>
      <x:c r="R42" s="17" t="str">
        <x:v>정상</x:v>
      </x:c>
      <x:c r="S42" s="18" t="str">
        <x:v>https://job.cleaneye.go.kr/user/ypRecruitment.do</x:v>
      </x:c>
      <x:c r="T42" s="1"/>
      <x:c r="U42" s="1"/>
      <x:c r="V42" s="1"/>
      <x:c r="W42" s="1"/>
      <x:c r="X42" s="1"/>
      <x:c r="Y42" s="1"/>
      <x:c r="Z42" s="1"/>
    </x:row>
    <x:row r="43" ht="50" customHeight="1">
      <x:c r="A43" s="17" t="n">
        <x:v>39</x:v>
      </x:c>
      <x:c r="B43" s="17" t="str">
        <x:v>재단법인 전라남도사회서비스원</x:v>
      </x:c>
      <x:c r="C43" s="17" t="str">
        <x:v>전남광주통합특별시</x:v>
      </x:c>
      <x:c r="D43" s="17" t="str">
        <x:v>2026년 제7차 직원(대체인력지원센터, 창의학교전남) 채용 재공고</x:v>
      </x:c>
      <x:c r="E43" s="17" t="str">
        <x:v>신입+경력</x:v>
      </x:c>
      <x:c r="F43" s="17" t="str">
        <x:v>기간제</x:v>
      </x:c>
      <x:c r="G43" s="17" t="str">
        <x:v>명시 없음(원문 확인)</x:v>
      </x:c>
      <x:c r="H43" s="17" t="str">
        <x:v>2026-09-07</x:v>
      </x:c>
      <x:c r="I43" s="17" t="str">
        <x:v>2026-09-17</x:v>
      </x:c>
      <x:c r="J43" s="17" t="str">
        <x:v>모집중</x:v>
      </x:c>
      <x:c r="K43" s="17" t="str">
        <x:v>기간제·비정규</x:v>
      </x:c>
      <x:c r="L43" s="17" t="str">
        <x:v>검토</x:v>
      </x:c>
      <x:c r="M43" s="17" t="str">
        <x:v>제한 문구 미탐지</x:v>
      </x:c>
      <x:c r="N43" s="17" t="str">
        <x:v>기관 공고 원문 확인</x:v>
      </x:c>
      <x:c r="O43" s="17" t="str">
        <x:v>기관 공고 원문 확인</x:v>
      </x:c>
      <x:c r="P43" s="17" t="str">
        <x:v>기관 공고 원문 확인</x:v>
      </x:c>
      <x:c r="Q43" s="17" t="str">
        <x:v>기관 공고 원문 확인</x:v>
      </x:c>
      <x:c r="R43" s="17" t="str">
        <x:v>정상</x:v>
      </x:c>
      <x:c r="S43" s="18" t="str">
        <x:v>https://job.cleaneye.go.kr/user/ypRecruitment.do</x:v>
      </x:c>
      <x:c r="T43" s="1"/>
      <x:c r="U43" s="1"/>
      <x:c r="V43" s="1"/>
      <x:c r="W43" s="1"/>
      <x:c r="X43" s="1"/>
      <x:c r="Y43" s="1"/>
      <x:c r="Z43" s="1"/>
    </x:row>
    <x:row r="44" ht="50" customHeight="1">
      <x:c r="A44" s="17" t="n">
        <x:v>40</x:v>
      </x:c>
      <x:c r="B44" s="17" t="str">
        <x:v>거창문화재단</x:v>
      </x:c>
      <x:c r="C44" s="17" t="str">
        <x:v>경상남도</x:v>
      </x:c>
      <x:c r="D44" s="17" t="str">
        <x:v>2026년도 제1회 거창문화재단 전문직원(시설직) 채용 재공고</x:v>
      </x:c>
      <x:c r="E44" s="17" t="str">
        <x:v>신입+경력</x:v>
      </x:c>
      <x:c r="F44" s="17" t="str">
        <x:v>전문계약직</x:v>
      </x:c>
      <x:c r="G44" s="17" t="str">
        <x:v>명시 없음(원문 확인)</x:v>
      </x:c>
      <x:c r="H44" s="17" t="str">
        <x:v>2026-09-07</x:v>
      </x:c>
      <x:c r="I44" s="17" t="str">
        <x:v>2026-09-11</x:v>
      </x:c>
      <x:c r="J44" s="17" t="str">
        <x:v>모집중</x:v>
      </x:c>
      <x:c r="K44" s="17" t="str">
        <x:v>경력·전문직</x:v>
      </x:c>
      <x:c r="L44" s="17" t="str">
        <x:v>경력·전문 우선</x:v>
      </x:c>
      <x:c r="M44" s="17" t="str">
        <x:v>제한 문구 미탐지</x:v>
      </x:c>
      <x:c r="N44" s="17" t="str">
        <x:v>기관 공고 원문 확인</x:v>
      </x:c>
      <x:c r="O44" s="17" t="str">
        <x:v>기관 공고 원문 확인</x:v>
      </x:c>
      <x:c r="P44" s="17" t="str">
        <x:v>기관 공고 원문 확인</x:v>
      </x:c>
      <x:c r="Q44" s="17" t="str">
        <x:v>기관 공고 원문 확인</x:v>
      </x:c>
      <x:c r="R44" s="17" t="str">
        <x:v>정상</x:v>
      </x:c>
      <x:c r="S44" s="18" t="str">
        <x:v>https://job.cleaneye.go.kr/user/ypRecruitment.do</x:v>
      </x:c>
      <x:c r="T44" s="1"/>
      <x:c r="U44" s="1"/>
      <x:c r="V44" s="1"/>
      <x:c r="W44" s="1"/>
      <x:c r="X44" s="1"/>
      <x:c r="Y44" s="1"/>
      <x:c r="Z44" s="1"/>
    </x:row>
    <x:row r="45" ht="50" customHeight="1">
      <x:c r="A45" s="17" t="n">
        <x:v>41</x:v>
      </x:c>
      <x:c r="B45" s="17" t="str">
        <x:v>서울관광재단</x:v>
      </x:c>
      <x:c r="C45" s="17" t="str">
        <x:v>서울특별시</x:v>
      </x:c>
      <x:c r="D45" s="17" t="str">
        <x:v>[2026-04] 서울관광재단 기간제근로자 채용공고(재공고)</x:v>
      </x:c>
      <x:c r="E45" s="17" t="str">
        <x:v>경력</x:v>
      </x:c>
      <x:c r="F45" s="17" t="str">
        <x:v>기간제</x:v>
      </x:c>
      <x:c r="G45" s="17" t="str">
        <x:v>명시 없음(원문 확인)</x:v>
      </x:c>
      <x:c r="H45" s="17" t="str">
        <x:v>2026-09-07</x:v>
      </x:c>
      <x:c r="I45" s="17" t="str">
        <x:v>2026-09-17</x:v>
      </x:c>
      <x:c r="J45" s="17" t="str">
        <x:v>모집중</x:v>
      </x:c>
      <x:c r="K45" s="17" t="str">
        <x:v>기간제·비정규</x:v>
      </x:c>
      <x:c r="L45" s="17" t="str">
        <x:v>세부조건 확인</x:v>
      </x:c>
      <x:c r="M45" s="17" t="str">
        <x:v>제한 문구 미탐지</x:v>
      </x:c>
      <x:c r="N45" s="17" t="str">
        <x:v>기관 공고 원문 확인</x:v>
      </x:c>
      <x:c r="O45" s="17" t="str">
        <x:v>기관 공고 원문 확인</x:v>
      </x:c>
      <x:c r="P45" s="17" t="str">
        <x:v>기관 공고 원문 확인</x:v>
      </x:c>
      <x:c r="Q45" s="17" t="str">
        <x:v>기관 공고 원문 확인</x:v>
      </x:c>
      <x:c r="R45" s="17" t="str">
        <x:v>정상</x:v>
      </x:c>
      <x:c r="S45" s="18" t="str">
        <x:v>https://job.cleaneye.go.kr/user/ypRecruitment.do</x:v>
      </x:c>
      <x:c r="T45" s="1"/>
      <x:c r="U45" s="1"/>
      <x:c r="V45" s="1"/>
      <x:c r="W45" s="1"/>
      <x:c r="X45" s="1"/>
      <x:c r="Y45" s="1"/>
      <x:c r="Z45" s="1"/>
    </x:row>
    <x:row r="46" ht="50" customHeight="1">
      <x:c r="A46" s="17" t="n">
        <x:v>42</x:v>
      </x:c>
      <x:c r="B46" s="17" t="str">
        <x:v>양산시복지재단</x:v>
      </x:c>
      <x:c r="C46" s="17" t="str">
        <x:v>경상남도</x:v>
      </x:c>
      <x:c r="D46" s="17" t="str">
        <x:v>시나브로복지관 2026년 5차 직원 채용 공고</x:v>
      </x:c>
      <x:c r="E46" s="17" t="str">
        <x:v>신입+경력</x:v>
      </x:c>
      <x:c r="F46" s="17" t="str">
        <x:v>기간제</x:v>
      </x:c>
      <x:c r="G46" s="17" t="str">
        <x:v>명시 없음(원문 확인)</x:v>
      </x:c>
      <x:c r="H46" s="17" t="str">
        <x:v>2026-09-07</x:v>
      </x:c>
      <x:c r="I46" s="17" t="str">
        <x:v>2026-09-15</x:v>
      </x:c>
      <x:c r="J46" s="17" t="str">
        <x:v>모집중</x:v>
      </x:c>
      <x:c r="K46" s="17" t="str">
        <x:v>기간제·비정규</x:v>
      </x:c>
      <x:c r="L46" s="17" t="str">
        <x:v>검토</x:v>
      </x:c>
      <x:c r="M46" s="17" t="str">
        <x:v>제한 문구 미탐지</x:v>
      </x:c>
      <x:c r="N46" s="17" t="str">
        <x:v>기관 공고 원문 확인</x:v>
      </x:c>
      <x:c r="O46" s="17" t="str">
        <x:v>기관 공고 원문 확인</x:v>
      </x:c>
      <x:c r="P46" s="17" t="str">
        <x:v>기관 공고 원문 확인</x:v>
      </x:c>
      <x:c r="Q46" s="17" t="str">
        <x:v>기관 공고 원문 확인</x:v>
      </x:c>
      <x:c r="R46" s="17" t="str">
        <x:v>정상</x:v>
      </x:c>
      <x:c r="S46" s="18" t="str">
        <x:v>https://job.cleaneye.go.kr/user/ypRecruitment.do</x:v>
      </x:c>
      <x:c r="T46" s="1"/>
      <x:c r="U46" s="1"/>
      <x:c r="V46" s="1"/>
      <x:c r="W46" s="1"/>
      <x:c r="X46" s="1"/>
      <x:c r="Y46" s="1"/>
      <x:c r="Z46" s="1"/>
    </x:row>
    <x:row r="47" ht="50" customHeight="1">
      <x:c r="A47" s="17" t="n">
        <x:v>43</x:v>
      </x:c>
      <x:c r="B47" s="17" t="str">
        <x:v>재단법인 중랑문화재단</x:v>
      </x:c>
      <x:c r="C47" s="17" t="str">
        <x:v>서울특별시</x:v>
      </x:c>
      <x:c r="D47" s="17" t="str">
        <x:v>(재)중랑문화재단 중랑숲어린이도서관 시간제근로자 채용 공고</x:v>
      </x:c>
      <x:c r="E47" s="17" t="str">
        <x:v>신입+경력</x:v>
      </x:c>
      <x:c r="F47" s="17" t="str">
        <x:v>기간제</x:v>
      </x:c>
      <x:c r="G47" s="17" t="str">
        <x:v>명시 없음(원문 확인)</x:v>
      </x:c>
      <x:c r="H47" s="17" t="str">
        <x:v>2026-09-07</x:v>
      </x:c>
      <x:c r="I47" s="17" t="str">
        <x:v>2026-09-13</x:v>
      </x:c>
      <x:c r="J47" s="17" t="str">
        <x:v>모집중</x:v>
      </x:c>
      <x:c r="K47" s="17" t="str">
        <x:v>기간제·비정규</x:v>
      </x:c>
      <x:c r="L47" s="17" t="str">
        <x:v>검토</x:v>
      </x:c>
      <x:c r="M47" s="17" t="str">
        <x:v>제한 문구 미탐지</x:v>
      </x:c>
      <x:c r="N47" s="17" t="str">
        <x:v>기관 공고 원문 확인</x:v>
      </x:c>
      <x:c r="O47" s="17" t="str">
        <x:v>기관 공고 원문 확인</x:v>
      </x:c>
      <x:c r="P47" s="17" t="str">
        <x:v>기관 공고 원문 확인</x:v>
      </x:c>
      <x:c r="Q47" s="17" t="str">
        <x:v>기관 공고 원문 확인</x:v>
      </x:c>
      <x:c r="R47" s="17" t="str">
        <x:v>정상</x:v>
      </x:c>
      <x:c r="S47" s="18" t="str">
        <x:v>https://job.cleaneye.go.kr/user/ypRecruitment.do</x:v>
      </x:c>
      <x:c r="T47" s="1"/>
      <x:c r="U47" s="1"/>
      <x:c r="V47" s="1"/>
      <x:c r="W47" s="1"/>
      <x:c r="X47" s="1"/>
      <x:c r="Y47" s="1"/>
      <x:c r="Z47" s="1"/>
    </x:row>
    <x:row r="48" ht="50" customHeight="1">
      <x:c r="A48" s="17" t="n">
        <x:v>44</x:v>
      </x:c>
      <x:c r="B48" s="17" t="str">
        <x:v>재단법인 전북특별자치도경제통상진흥원</x:v>
      </x:c>
      <x:c r="C48" s="17" t="str">
        <x:v>전북특별자치도</x:v>
      </x:c>
      <x:c r="D48" s="17" t="str">
        <x:v>2026년 하반기 2차 직원채용(전임계약직 가급) 공고</x:v>
      </x:c>
      <x:c r="E48" s="17" t="str">
        <x:v>경력</x:v>
      </x:c>
      <x:c r="F48" s="17" t="str">
        <x:v>전문계약직</x:v>
      </x:c>
      <x:c r="G48" s="17" t="str">
        <x:v>명시 없음(원문 확인)</x:v>
      </x:c>
      <x:c r="H48" s="17" t="str">
        <x:v>2026-09-07</x:v>
      </x:c>
      <x:c r="I48" s="17" t="str">
        <x:v>2026-09-14</x:v>
      </x:c>
      <x:c r="J48" s="17" t="str">
        <x:v>모집중</x:v>
      </x:c>
      <x:c r="K48" s="17" t="str">
        <x:v>기타 채용</x:v>
      </x:c>
      <x:c r="L48" s="17" t="str">
        <x:v>세부조건 확인</x:v>
      </x:c>
      <x:c r="M48" s="17" t="str">
        <x:v>제한 문구 미탐지</x:v>
      </x:c>
      <x:c r="N48" s="17" t="str">
        <x:v>기관 공고 원문 확인</x:v>
      </x:c>
      <x:c r="O48" s="17" t="str">
        <x:v>기관 공고 원문 확인</x:v>
      </x:c>
      <x:c r="P48" s="17" t="str">
        <x:v>기관 공고 원문 확인</x:v>
      </x:c>
      <x:c r="Q48" s="17" t="str">
        <x:v>기관 공고 원문 확인</x:v>
      </x:c>
      <x:c r="R48" s="17" t="str">
        <x:v>정상</x:v>
      </x:c>
      <x:c r="S48" s="18" t="str">
        <x:v>https://job.cleaneye.go.kr/user/ypRecruitment.do</x:v>
      </x:c>
      <x:c r="T48" s="1"/>
      <x:c r="U48" s="1"/>
      <x:c r="V48" s="1"/>
      <x:c r="W48" s="1"/>
      <x:c r="X48" s="1"/>
      <x:c r="Y48" s="1"/>
      <x:c r="Z48" s="1"/>
    </x:row>
    <x:row r="49" ht="50" customHeight="1">
      <x:c r="A49" s="17" t="n">
        <x:v>45</x:v>
      </x:c>
      <x:c r="B49" s="17" t="str">
        <x:v>인천연구원</x:v>
      </x:c>
      <x:c r="C49" s="17" t="str">
        <x:v>인천광역시</x:v>
      </x:c>
      <x:c r="D49" s="17" t="str">
        <x:v>2026년도 제3차 인천연구원 직원(연구직) 공개채용 공고</x:v>
      </x:c>
      <x:c r="E49" s="17" t="str">
        <x:v>신입+경력</x:v>
      </x:c>
      <x:c r="F49" s="17" t="str">
        <x:v>일반정규직</x:v>
      </x:c>
      <x:c r="G49" s="17" t="str">
        <x:v>명시 없음(원문 확인)</x:v>
      </x:c>
      <x:c r="H49" s="17" t="str">
        <x:v>2026-09-07</x:v>
      </x:c>
      <x:c r="I49" s="17" t="str">
        <x:v>2026-09-22</x:v>
      </x:c>
      <x:c r="J49" s="17" t="str">
        <x:v>모집중</x:v>
      </x:c>
      <x:c r="K49" s="17" t="str">
        <x:v>정규직(세부 확인)</x:v>
      </x:c>
      <x:c r="L49" s="17" t="str">
        <x:v>검토</x:v>
      </x:c>
      <x:c r="M49" s="17" t="str">
        <x:v>제한 문구 미탐지</x:v>
      </x:c>
      <x:c r="N49" s="17" t="str">
        <x:v>기관 공고 원문 확인</x:v>
      </x:c>
      <x:c r="O49" s="17" t="str">
        <x:v>기관 공고 원문 확인</x:v>
      </x:c>
      <x:c r="P49" s="17" t="str">
        <x:v>기관 공고 원문 확인</x:v>
      </x:c>
      <x:c r="Q49" s="17" t="str">
        <x:v>기관 공고 원문 확인</x:v>
      </x:c>
      <x:c r="R49" s="17" t="str">
        <x:v>정상</x:v>
      </x:c>
      <x:c r="S49" s="18" t="str">
        <x:v>https://job.cleaneye.go.kr/user/ypRecruitment.do</x:v>
      </x:c>
      <x:c r="T49" s="1"/>
      <x:c r="U49" s="1"/>
      <x:c r="V49" s="1"/>
      <x:c r="W49" s="1"/>
      <x:c r="X49" s="1"/>
      <x:c r="Y49" s="1"/>
      <x:c r="Z49" s="1"/>
    </x:row>
    <x:row r="50" ht="50" customHeight="1">
      <x:c r="A50" s="17" t="n">
        <x:v>46</x:v>
      </x:c>
      <x:c r="B50" s="17" t="str">
        <x:v>포항시시설관리공단</x:v>
      </x:c>
      <x:c r="C50" s="17" t="str">
        <x:v>경상북도</x:v>
      </x:c>
      <x:c r="D50" s="17" t="str">
        <x:v>체육시설1팀 포항수영장 시간강사 등 모집</x:v>
      </x:c>
      <x:c r="E50" s="17" t="str">
        <x:v>신입</x:v>
      </x:c>
      <x:c r="F50" s="17" t="str">
        <x:v>기간제</x:v>
      </x:c>
      <x:c r="G50" s="17" t="str">
        <x:v>경상북도 포항시</x:v>
      </x:c>
      <x:c r="H50" s="17" t="str">
        <x:v>2026-09-07</x:v>
      </x:c>
      <x:c r="I50" s="17" t="str">
        <x:v>2026-09-09</x:v>
      </x:c>
      <x:c r="J50" s="17" t="str">
        <x:v>모집중</x:v>
      </x:c>
      <x:c r="K50" s="17" t="str">
        <x:v>기간제·비정규</x:v>
      </x:c>
      <x:c r="L50" s="17" t="str">
        <x:v>검토</x:v>
      </x:c>
      <x:c r="M50" s="17" t="str">
        <x:v>제한 문구 미탐지</x:v>
      </x:c>
      <x:c r="N50" s="17" t="str">
        <x:v>기관 공고 원문 확인</x:v>
      </x:c>
      <x:c r="O50" s="17" t="str">
        <x:v>기관 공고 원문 확인</x:v>
      </x:c>
      <x:c r="P50" s="17" t="str">
        <x:v>기관 공고 원문 확인</x:v>
      </x:c>
      <x:c r="Q50" s="17" t="str">
        <x:v>기관 공고 원문 확인</x:v>
      </x:c>
      <x:c r="R50" s="17" t="str">
        <x:v>정상</x:v>
      </x:c>
      <x:c r="S50" s="18" t="str">
        <x:v>https://job.cleaneye.go.kr/user/ypRecruitment.do</x:v>
      </x:c>
      <x:c r="T50" s="1"/>
      <x:c r="U50" s="1"/>
      <x:c r="V50" s="1"/>
      <x:c r="W50" s="1"/>
      <x:c r="X50" s="1"/>
      <x:c r="Y50" s="1"/>
      <x:c r="Z50" s="1"/>
    </x:row>
    <x:row r="51" ht="50" customHeight="1">
      <x:c r="A51" s="17" t="n">
        <x:v>47</x:v>
      </x:c>
      <x:c r="B51" s="17" t="str">
        <x:v>재단법인 순천문화재단</x:v>
      </x:c>
      <x:c r="C51" s="17" t="str">
        <x:v>전남광주통합특별시</x:v>
      </x:c>
      <x:c r="D51" s="17" t="str">
        <x:v>2026년 (재)순천문화재단 직원(사무국장) 채용 공고</x:v>
      </x:c>
      <x:c r="E51" s="17" t="str">
        <x:v>경력</x:v>
      </x:c>
      <x:c r="F51" s="17" t="str">
        <x:v>전문계약직</x:v>
      </x:c>
      <x:c r="G51" s="17" t="str">
        <x:v>명시 없음(원문 확인)</x:v>
      </x:c>
      <x:c r="H51" s="17" t="str">
        <x:v>2026-09-07</x:v>
      </x:c>
      <x:c r="I51" s="17" t="str">
        <x:v>2026-09-11</x:v>
      </x:c>
      <x:c r="J51" s="17" t="str">
        <x:v>모집중</x:v>
      </x:c>
      <x:c r="K51" s="17" t="str">
        <x:v>기타 채용</x:v>
      </x:c>
      <x:c r="L51" s="17" t="str">
        <x:v>세부조건 확인</x:v>
      </x:c>
      <x:c r="M51" s="17" t="str">
        <x:v>제한 문구 미탐지</x:v>
      </x:c>
      <x:c r="N51" s="17" t="str">
        <x:v>기관 공고 원문 확인</x:v>
      </x:c>
      <x:c r="O51" s="17" t="str">
        <x:v>기관 공고 원문 확인</x:v>
      </x:c>
      <x:c r="P51" s="17" t="str">
        <x:v>기관 공고 원문 확인</x:v>
      </x:c>
      <x:c r="Q51" s="17" t="str">
        <x:v>기관 공고 원문 확인</x:v>
      </x:c>
      <x:c r="R51" s="17" t="str">
        <x:v>정상</x:v>
      </x:c>
      <x:c r="S51" s="18" t="str">
        <x:v>https://job.cleaneye.go.kr/user/ypRecruitment.do</x:v>
      </x:c>
      <x:c r="T51" s="1"/>
      <x:c r="U51" s="1"/>
      <x:c r="V51" s="1"/>
      <x:c r="W51" s="1"/>
      <x:c r="X51" s="1"/>
      <x:c r="Y51" s="1"/>
      <x:c r="Z51" s="1"/>
    </x:row>
    <x:row r="52" ht="50" customHeight="1">
      <x:c r="A52" s="17" t="n">
        <x:v>48</x:v>
      </x:c>
      <x:c r="B52" s="17" t="str">
        <x:v>용인시정연구원</x:v>
      </x:c>
      <x:c r="C52" s="17" t="str">
        <x:v>경기도</x:v>
      </x:c>
      <x:c r="D52" s="17" t="str">
        <x:v>2026년 제4회 용인시정연구원 공개채용(연구직) 재공고</x:v>
      </x:c>
      <x:c r="E52" s="17" t="str">
        <x:v>신입+경력</x:v>
      </x:c>
      <x:c r="F52" s="17" t="str">
        <x:v>일반정규직</x:v>
      </x:c>
      <x:c r="G52" s="17" t="str">
        <x:v>명시 없음(원문 확인)</x:v>
      </x:c>
      <x:c r="H52" s="17" t="str">
        <x:v>2026-09-07</x:v>
      </x:c>
      <x:c r="I52" s="17" t="str">
        <x:v>2026-09-14</x:v>
      </x:c>
      <x:c r="J52" s="17" t="str">
        <x:v>모집중</x:v>
      </x:c>
      <x:c r="K52" s="17" t="str">
        <x:v>정규직(세부 확인)</x:v>
      </x:c>
      <x:c r="L52" s="17" t="str">
        <x:v>검토</x:v>
      </x:c>
      <x:c r="M52" s="17" t="str">
        <x:v>제한 문구 미탐지</x:v>
      </x:c>
      <x:c r="N52" s="17" t="str">
        <x:v>기관 공고 원문 확인</x:v>
      </x:c>
      <x:c r="O52" s="17" t="str">
        <x:v>기관 공고 원문 확인</x:v>
      </x:c>
      <x:c r="P52" s="17" t="str">
        <x:v>기관 공고 원문 확인</x:v>
      </x:c>
      <x:c r="Q52" s="17" t="str">
        <x:v>기관 공고 원문 확인</x:v>
      </x:c>
      <x:c r="R52" s="17" t="str">
        <x:v>정상</x:v>
      </x:c>
      <x:c r="S52" s="18" t="str">
        <x:v>https://job.cleaneye.go.kr/user/ypRecruitment.do</x:v>
      </x:c>
      <x:c r="T52" s="1"/>
      <x:c r="U52" s="1"/>
      <x:c r="V52" s="1"/>
      <x:c r="W52" s="1"/>
      <x:c r="X52" s="1"/>
      <x:c r="Y52" s="1"/>
      <x:c r="Z52" s="1"/>
    </x:row>
    <x:row r="53" ht="50" customHeight="1">
      <x:c r="A53" s="17" t="n">
        <x:v>49</x:v>
      </x:c>
      <x:c r="B53" s="17" t="str">
        <x:v>수원도시공사</x:v>
      </x:c>
      <x:c r="C53" s="17" t="str">
        <x:v>경기도</x:v>
      </x:c>
      <x:c r="D53" s="17" t="str">
        <x:v>2026년 제2회 수원도시공사 계약직 직원채용 공고</x:v>
      </x:c>
      <x:c r="E53" s="17" t="str">
        <x:v>경력</x:v>
      </x:c>
      <x:c r="F53" s="17" t="str">
        <x:v>일반계약직</x:v>
      </x:c>
      <x:c r="G53" s="17" t="str">
        <x:v>명시 없음(원문 확인)</x:v>
      </x:c>
      <x:c r="H53" s="17" t="str">
        <x:v>2026-09-07</x:v>
      </x:c>
      <x:c r="I53" s="17" t="str">
        <x:v>2026-09-11</x:v>
      </x:c>
      <x:c r="J53" s="17" t="str">
        <x:v>모집중</x:v>
      </x:c>
      <x:c r="K53" s="17" t="str">
        <x:v>기타 채용</x:v>
      </x:c>
      <x:c r="L53" s="17" t="str">
        <x:v>세부조건 확인</x:v>
      </x:c>
      <x:c r="M53" s="17" t="str">
        <x:v>제한 문구 미탐지</x:v>
      </x:c>
      <x:c r="N53" s="17" t="str">
        <x:v>기관 공고 원문 확인</x:v>
      </x:c>
      <x:c r="O53" s="17" t="str">
        <x:v>기관 공고 원문 확인</x:v>
      </x:c>
      <x:c r="P53" s="17" t="str">
        <x:v>기관 공고 원문 확인</x:v>
      </x:c>
      <x:c r="Q53" s="17" t="str">
        <x:v>기관 공고 원문 확인</x:v>
      </x:c>
      <x:c r="R53" s="17" t="str">
        <x:v>정상</x:v>
      </x:c>
      <x:c r="S53" s="18" t="str">
        <x:v>https://job.cleaneye.go.kr/user/ypRecruitment.do</x:v>
      </x:c>
      <x:c r="T53" s="1"/>
      <x:c r="U53" s="1"/>
      <x:c r="V53" s="1"/>
      <x:c r="W53" s="1"/>
      <x:c r="X53" s="1"/>
      <x:c r="Y53" s="1"/>
      <x:c r="Z53" s="1"/>
    </x:row>
    <x:row r="54" ht="50" customHeight="1">
      <x:c r="A54" s="17" t="n">
        <x:v>50</x:v>
      </x:c>
      <x:c r="B54" s="17" t="str">
        <x:v>화성도시공사</x:v>
      </x:c>
      <x:c r="C54" s="17" t="str">
        <x:v>경기도</x:v>
      </x:c>
      <x:c r="D54" s="17" t="str">
        <x:v>2026년 제2회 전곡항마리나 기간제근로자 채용 공고</x:v>
      </x:c>
      <x:c r="E54" s="17" t="str">
        <x:v>신입</x:v>
      </x:c>
      <x:c r="F54" s="17" t="str">
        <x:v>기간제</x:v>
      </x:c>
      <x:c r="G54" s="17" t="str">
        <x:v>명시 없음(원문 확인)</x:v>
      </x:c>
      <x:c r="H54" s="17" t="str">
        <x:v>2026-09-07</x:v>
      </x:c>
      <x:c r="I54" s="17" t="str">
        <x:v>2026-09-16</x:v>
      </x:c>
      <x:c r="J54" s="17" t="str">
        <x:v>모집중</x:v>
      </x:c>
      <x:c r="K54" s="17" t="str">
        <x:v>기간제·비정규</x:v>
      </x:c>
      <x:c r="L54" s="17" t="str">
        <x:v>검토</x:v>
      </x:c>
      <x:c r="M54" s="17" t="str">
        <x:v>제한 문구 미탐지</x:v>
      </x:c>
      <x:c r="N54" s="17" t="str">
        <x:v>기관 공고 원문 확인</x:v>
      </x:c>
      <x:c r="O54" s="17" t="str">
        <x:v>기관 공고 원문 확인</x:v>
      </x:c>
      <x:c r="P54" s="17" t="str">
        <x:v>기관 공고 원문 확인</x:v>
      </x:c>
      <x:c r="Q54" s="17" t="str">
        <x:v>기관 공고 원문 확인</x:v>
      </x:c>
      <x:c r="R54" s="17" t="str">
        <x:v>정상</x:v>
      </x:c>
      <x:c r="S54" s="18" t="str">
        <x:v>https://job.cleaneye.go.kr/user/ypRecruitment.do</x:v>
      </x:c>
      <x:c r="T54" s="1"/>
      <x:c r="U54" s="1"/>
      <x:c r="V54" s="1"/>
      <x:c r="W54" s="1"/>
      <x:c r="X54" s="1"/>
      <x:c r="Y54" s="1"/>
      <x:c r="Z54" s="1"/>
    </x:row>
    <x:row r="55" ht="50" customHeight="1">
      <x:c r="A55" s="17" t="n">
        <x:v>51</x:v>
      </x:c>
      <x:c r="B55" s="17" t="str">
        <x:v>경기문화재단</x:v>
      </x:c>
      <x:c r="C55" s="17" t="str">
        <x:v>경기도</x:v>
      </x:c>
      <x:c r="D55" s="17" t="str">
        <x:v>2026년 경기문화재단 제10차 기간제 근로자 채용</x:v>
      </x:c>
      <x:c r="E55" s="17" t="str">
        <x:v>신입</x:v>
      </x:c>
      <x:c r="F55" s="17" t="str">
        <x:v>기간제</x:v>
      </x:c>
      <x:c r="G55" s="17" t="str">
        <x:v>명시 없음(원문 확인)</x:v>
      </x:c>
      <x:c r="H55" s="17" t="str">
        <x:v>2026-09-07</x:v>
      </x:c>
      <x:c r="I55" s="17" t="str">
        <x:v>2026-09-14</x:v>
      </x:c>
      <x:c r="J55" s="17" t="str">
        <x:v>모집중</x:v>
      </x:c>
      <x:c r="K55" s="17" t="str">
        <x:v>기간제·비정규</x:v>
      </x:c>
      <x:c r="L55" s="17" t="str">
        <x:v>검토</x:v>
      </x:c>
      <x:c r="M55" s="17" t="str">
        <x:v>제한 문구 미탐지</x:v>
      </x:c>
      <x:c r="N55" s="17" t="str">
        <x:v>기관 공고 원문 확인</x:v>
      </x:c>
      <x:c r="O55" s="17" t="str">
        <x:v>기관 공고 원문 확인</x:v>
      </x:c>
      <x:c r="P55" s="17" t="str">
        <x:v>기관 공고 원문 확인</x:v>
      </x:c>
      <x:c r="Q55" s="17" t="str">
        <x:v>기관 공고 원문 확인</x:v>
      </x:c>
      <x:c r="R55" s="17" t="str">
        <x:v>정상</x:v>
      </x:c>
      <x:c r="S55" s="18" t="str">
        <x:v>https://job.cleaneye.go.kr/user/ypRecruitment.do</x:v>
      </x:c>
      <x:c r="T55" s="1"/>
      <x:c r="U55" s="1"/>
      <x:c r="V55" s="1"/>
      <x:c r="W55" s="1"/>
      <x:c r="X55" s="1"/>
      <x:c r="Y55" s="1"/>
      <x:c r="Z55" s="1"/>
    </x:row>
    <x:row r="56" ht="50" customHeight="1">
      <x:c r="A56" s="17" t="n">
        <x:v>52</x:v>
      </x:c>
      <x:c r="B56" s="17" t="str">
        <x:v>인천연구원</x:v>
      </x:c>
      <x:c r="C56" s="17" t="str">
        <x:v>인천광역시</x:v>
      </x:c>
      <x:c r="D56" s="17" t="str">
        <x:v>2026년도 제3차 인천연구원 직원(연구지원직) 공개채용 공고</x:v>
      </x:c>
      <x:c r="E56" s="17" t="str">
        <x:v>신입+경력</x:v>
      </x:c>
      <x:c r="F56" s="17" t="str">
        <x:v>무기계약직</x:v>
      </x:c>
      <x:c r="G56" s="17" t="str">
        <x:v>명시 없음(원문 확인)</x:v>
      </x:c>
      <x:c r="H56" s="17" t="str">
        <x:v>2026-09-07</x:v>
      </x:c>
      <x:c r="I56" s="17" t="str">
        <x:v>2026-09-22</x:v>
      </x:c>
      <x:c r="J56" s="17" t="str">
        <x:v>모집중</x:v>
      </x:c>
      <x:c r="K56" s="17" t="str">
        <x:v>무기계약·공무직</x:v>
      </x:c>
      <x:c r="L56" s="17" t="str">
        <x:v>검토</x:v>
      </x:c>
      <x:c r="M56" s="17" t="str">
        <x:v>제한 문구 미탐지</x:v>
      </x:c>
      <x:c r="N56" s="17" t="str">
        <x:v>기관 공고 원문 확인</x:v>
      </x:c>
      <x:c r="O56" s="17" t="str">
        <x:v>기관 공고 원문 확인</x:v>
      </x:c>
      <x:c r="P56" s="17" t="str">
        <x:v>기관 공고 원문 확인</x:v>
      </x:c>
      <x:c r="Q56" s="17" t="str">
        <x:v>기관 공고 원문 확인</x:v>
      </x:c>
      <x:c r="R56" s="17" t="str">
        <x:v>정상</x:v>
      </x:c>
      <x:c r="S56" s="18" t="str">
        <x:v>https://job.cleaneye.go.kr/user/ypRecruitment.do</x:v>
      </x:c>
      <x:c r="T56" s="1"/>
      <x:c r="U56" s="1"/>
      <x:c r="V56" s="1"/>
      <x:c r="W56" s="1"/>
      <x:c r="X56" s="1"/>
      <x:c r="Y56" s="1"/>
      <x:c r="Z56" s="1"/>
    </x:row>
    <x:row r="57" ht="50" customHeight="1">
      <x:c r="A57" s="17" t="n">
        <x:v>53</x:v>
      </x:c>
      <x:c r="B57" s="17" t="str">
        <x:v>남양주도시공사</x:v>
      </x:c>
      <x:c r="C57" s="17" t="str">
        <x:v>경기도</x:v>
      </x:c>
      <x:c r="D57" s="17" t="str">
        <x:v>남양주도시공사 기간제근로자（환경락카, 육아휴직대체） 공개경쟁채용 재공고</x:v>
      </x:c>
      <x:c r="E57" s="17" t="str">
        <x:v>신입+경력</x:v>
      </x:c>
      <x:c r="F57" s="17" t="str">
        <x:v>기간제</x:v>
      </x:c>
      <x:c r="G57" s="17" t="str">
        <x:v>명시 없음(원문 확인)</x:v>
      </x:c>
      <x:c r="H57" s="17" t="str">
        <x:v>2026-09-07</x:v>
      </x:c>
      <x:c r="I57" s="17" t="str">
        <x:v>2026-09-14</x:v>
      </x:c>
      <x:c r="J57" s="17" t="str">
        <x:v>모집중</x:v>
      </x:c>
      <x:c r="K57" s="17" t="str">
        <x:v>기간제·비정규</x:v>
      </x:c>
      <x:c r="L57" s="17" t="str">
        <x:v>검토</x:v>
      </x:c>
      <x:c r="M57" s="17" t="str">
        <x:v>제한 문구 미탐지</x:v>
      </x:c>
      <x:c r="N57" s="17" t="str">
        <x:v>기관 공고 원문 확인</x:v>
      </x:c>
      <x:c r="O57" s="17" t="str">
        <x:v>기관 공고 원문 확인</x:v>
      </x:c>
      <x:c r="P57" s="17" t="str">
        <x:v>기관 공고 원문 확인</x:v>
      </x:c>
      <x:c r="Q57" s="17" t="str">
        <x:v>기관 공고 원문 확인</x:v>
      </x:c>
      <x:c r="R57" s="17" t="str">
        <x:v>정상</x:v>
      </x:c>
      <x:c r="S57" s="18" t="str">
        <x:v>https://job.cleaneye.go.kr/user/ypRecruitment.do</x:v>
      </x:c>
      <x:c r="T57" s="1"/>
      <x:c r="U57" s="1"/>
      <x:c r="V57" s="1"/>
      <x:c r="W57" s="1"/>
      <x:c r="X57" s="1"/>
      <x:c r="Y57" s="1"/>
      <x:c r="Z57" s="1"/>
    </x:row>
    <x:row r="58" ht="50" customHeight="1">
      <x:c r="A58" s="17" t="n">
        <x:v>54</x:v>
      </x:c>
      <x:c r="B58" s="17" t="str">
        <x:v>고양도시관리공사</x:v>
      </x:c>
      <x:c r="C58" s="17" t="str">
        <x:v>경기도</x:v>
      </x:c>
      <x:c r="D58" s="17" t="str">
        <x:v>고양어울림누리 기간제 직원 채용 공고</x:v>
      </x:c>
      <x:c r="E58" s="17" t="str">
        <x:v>신입</x:v>
      </x:c>
      <x:c r="F58" s="17" t="str">
        <x:v>기간제</x:v>
      </x:c>
      <x:c r="G58" s="17" t="str">
        <x:v>서울시, 경기도, 인천시</x:v>
      </x:c>
      <x:c r="H58" s="17" t="str">
        <x:v>2026-09-07</x:v>
      </x:c>
      <x:c r="I58" s="17" t="str">
        <x:v>2026-09-11</x:v>
      </x:c>
      <x:c r="J58" s="17" t="str">
        <x:v>모집중</x:v>
      </x:c>
      <x:c r="K58" s="17" t="str">
        <x:v>기간제·비정규</x:v>
      </x:c>
      <x:c r="L58" s="17" t="str">
        <x:v>검토</x:v>
      </x:c>
      <x:c r="M58" s="17" t="str">
        <x:v>제한 문구 미탐지</x:v>
      </x:c>
      <x:c r="N58" s="17" t="str">
        <x:v>기관 공고 원문 확인</x:v>
      </x:c>
      <x:c r="O58" s="17" t="str">
        <x:v>기관 공고 원문 확인</x:v>
      </x:c>
      <x:c r="P58" s="17" t="str">
        <x:v>기관 공고 원문 확인</x:v>
      </x:c>
      <x:c r="Q58" s="17" t="str">
        <x:v>기관 공고 원문 확인</x:v>
      </x:c>
      <x:c r="R58" s="17" t="str">
        <x:v>정상</x:v>
      </x:c>
      <x:c r="S58" s="18" t="str">
        <x:v>https://job.cleaneye.go.kr/user/ypRecruitment.do</x:v>
      </x:c>
      <x:c r="T58" s="1"/>
      <x:c r="U58" s="1"/>
      <x:c r="V58" s="1"/>
      <x:c r="W58" s="1"/>
      <x:c r="X58" s="1"/>
      <x:c r="Y58" s="1"/>
      <x:c r="Z58" s="1"/>
    </x:row>
    <x:row r="59" ht="50" customHeight="1">
      <x:c r="A59" s="17" t="n">
        <x:v>55</x:v>
      </x:c>
      <x:c r="B59" s="17" t="str">
        <x:v>경북행복재단</x:v>
      </x:c>
      <x:c r="C59" s="17" t="str">
        <x:v>경상북도</x:v>
      </x:c>
      <x:c r="D59" s="17" t="str">
        <x:v>경상북도여성장애인복지관 계약직(경북사회복지공동모금회 전담인력) 채용 재공고(제2026-34호)</x:v>
      </x:c>
      <x:c r="E59" s="17" t="str">
        <x:v>신입+경력</x:v>
      </x:c>
      <x:c r="F59" s="17" t="str">
        <x:v>일반계약직</x:v>
      </x:c>
      <x:c r="G59" s="17" t="str">
        <x:v>명시 없음(원문 확인)</x:v>
      </x:c>
      <x:c r="H59" s="17" t="str">
        <x:v>2026-09-07</x:v>
      </x:c>
      <x:c r="I59" s="17" t="str">
        <x:v>2026-09-11</x:v>
      </x:c>
      <x:c r="J59" s="17" t="str">
        <x:v>모집중</x:v>
      </x:c>
      <x:c r="K59" s="17" t="str">
        <x:v>기타 채용</x:v>
      </x:c>
      <x:c r="L59" s="17" t="str">
        <x:v>검토</x:v>
      </x:c>
      <x:c r="M59" s="17" t="str">
        <x:v>제한 문구 미탐지</x:v>
      </x:c>
      <x:c r="N59" s="17" t="str">
        <x:v>기관 공고 원문 확인</x:v>
      </x:c>
      <x:c r="O59" s="17" t="str">
        <x:v>기관 공고 원문 확인</x:v>
      </x:c>
      <x:c r="P59" s="17" t="str">
        <x:v>기관 공고 원문 확인</x:v>
      </x:c>
      <x:c r="Q59" s="17" t="str">
        <x:v>기관 공고 원문 확인</x:v>
      </x:c>
      <x:c r="R59" s="17" t="str">
        <x:v>정상</x:v>
      </x:c>
      <x:c r="S59" s="18" t="str">
        <x:v>https://job.cleaneye.go.kr/user/ypRecruitment.do</x:v>
      </x:c>
      <x:c r="T59" s="1"/>
      <x:c r="U59" s="1"/>
      <x:c r="V59" s="1"/>
      <x:c r="W59" s="1"/>
      <x:c r="X59" s="1"/>
      <x:c r="Y59" s="1"/>
      <x:c r="Z59" s="1"/>
    </x:row>
    <x:row r="60" ht="50" customHeight="1">
      <x:c r="A60" s="17" t="n">
        <x:v>56</x:v>
      </x:c>
      <x:c r="B60" s="17" t="str">
        <x:v>용인도시공사</x:v>
      </x:c>
      <x:c r="C60" s="17" t="str">
        <x:v>경기도</x:v>
      </x:c>
      <x:c r="D60" s="17" t="str">
        <x:v>2026년 제3회 청년 체험형 인턴 공개채용 공고</x:v>
      </x:c>
      <x:c r="E60" s="17" t="str">
        <x:v>신입</x:v>
      </x:c>
      <x:c r="F60" s="17" t="str">
        <x:v>인턴</x:v>
      </x:c>
      <x:c r="G60" s="17" t="str">
        <x:v>명시 없음(원문 확인)</x:v>
      </x:c>
      <x:c r="H60" s="17" t="str">
        <x:v>2026-09-07</x:v>
      </x:c>
      <x:c r="I60" s="17" t="str">
        <x:v>2026-09-17</x:v>
      </x:c>
      <x:c r="J60" s="17" t="str">
        <x:v>모집중</x:v>
      </x:c>
      <x:c r="K60" s="17" t="str">
        <x:v>체험형·청년인턴</x:v>
      </x:c>
      <x:c r="L60" s="17" t="str">
        <x:v>우선검토</x:v>
      </x:c>
      <x:c r="M60" s="17" t="str">
        <x:v>제한 문구 미탐지</x:v>
      </x:c>
      <x:c r="N60" s="17" t="str">
        <x:v>기관 공고 원문 확인</x:v>
      </x:c>
      <x:c r="O60" s="17" t="str">
        <x:v>기관 공고 원문 확인</x:v>
      </x:c>
      <x:c r="P60" s="17" t="str">
        <x:v>기관 공고 원문 확인</x:v>
      </x:c>
      <x:c r="Q60" s="17" t="str">
        <x:v>기관 공고 원문 확인</x:v>
      </x:c>
      <x:c r="R60" s="17" t="str">
        <x:v>정상</x:v>
      </x:c>
      <x:c r="S60" s="18" t="str">
        <x:v>https://job.cleaneye.go.kr/user/ypRecruitment.do</x:v>
      </x:c>
      <x:c r="T60" s="1"/>
      <x:c r="U60" s="1"/>
      <x:c r="V60" s="1"/>
      <x:c r="W60" s="1"/>
      <x:c r="X60" s="1"/>
      <x:c r="Y60" s="1"/>
      <x:c r="Z60" s="1"/>
    </x:row>
    <x:row r="61" ht="50" customHeight="1">
      <x:c r="A61" s="17" t="n">
        <x:v>57</x:v>
      </x:c>
      <x:c r="B61" s="17" t="str">
        <x:v>서울관광재단</x:v>
      </x:c>
      <x:c r="C61" s="17" t="str">
        <x:v>서울특별시</x:v>
      </x:c>
      <x:c r="D61" s="17" t="str">
        <x:v>[2026-04] 서울관광재단 전문직(정규직) 채용공고(재공고)</x:v>
      </x:c>
      <x:c r="E61" s="17" t="str">
        <x:v>경력</x:v>
      </x:c>
      <x:c r="F61" s="17" t="str">
        <x:v>일반정규직</x:v>
      </x:c>
      <x:c r="G61" s="17" t="str">
        <x:v>명시 없음(원문 확인)</x:v>
      </x:c>
      <x:c r="H61" s="17" t="str">
        <x:v>2026-09-07</x:v>
      </x:c>
      <x:c r="I61" s="17" t="str">
        <x:v>2026-09-17</x:v>
      </x:c>
      <x:c r="J61" s="17" t="str">
        <x:v>모집중</x:v>
      </x:c>
      <x:c r="K61" s="17" t="str">
        <x:v>정규직(세부 확인)</x:v>
      </x:c>
      <x:c r="L61" s="17" t="str">
        <x:v>세부조건 확인</x:v>
      </x:c>
      <x:c r="M61" s="17" t="str">
        <x:v>제한 문구 미탐지</x:v>
      </x:c>
      <x:c r="N61" s="17" t="str">
        <x:v>기관 공고 원문 확인</x:v>
      </x:c>
      <x:c r="O61" s="17" t="str">
        <x:v>기관 공고 원문 확인</x:v>
      </x:c>
      <x:c r="P61" s="17" t="str">
        <x:v>기관 공고 원문 확인</x:v>
      </x:c>
      <x:c r="Q61" s="17" t="str">
        <x:v>기관 공고 원문 확인</x:v>
      </x:c>
      <x:c r="R61" s="17" t="str">
        <x:v>정상</x:v>
      </x:c>
      <x:c r="S61" s="18" t="str">
        <x:v>https://job.cleaneye.go.kr/user/ypRecruitment.do</x:v>
      </x:c>
      <x:c r="T61" s="1"/>
      <x:c r="U61" s="1"/>
      <x:c r="V61" s="1"/>
      <x:c r="W61" s="1"/>
      <x:c r="X61" s="1"/>
      <x:c r="Y61" s="1"/>
      <x:c r="Z61" s="1"/>
    </x:row>
    <x:row r="62" ht="50" customHeight="1">
      <x:c r="A62" s="17" t="n">
        <x:v>58</x:v>
      </x:c>
      <x:c r="B62" s="17" t="str">
        <x:v>재단법인 전라남도사회서비스원</x:v>
      </x:c>
      <x:c r="C62" s="17" t="str">
        <x:v>전남광주통합특별시</x:v>
      </x:c>
      <x:c r="D62" s="17" t="str">
        <x:v>2026년 제4차 직원(본원 기간제) 채용 3회차 재공고</x:v>
      </x:c>
      <x:c r="E62" s="17" t="str">
        <x:v>신입+경력</x:v>
      </x:c>
      <x:c r="F62" s="17" t="str">
        <x:v>기간제</x:v>
      </x:c>
      <x:c r="G62" s="17" t="str">
        <x:v>명시 없음(원문 확인)</x:v>
      </x:c>
      <x:c r="H62" s="17" t="str">
        <x:v>2026-09-07</x:v>
      </x:c>
      <x:c r="I62" s="17" t="str">
        <x:v>2026-09-17</x:v>
      </x:c>
      <x:c r="J62" s="17" t="str">
        <x:v>모집중</x:v>
      </x:c>
      <x:c r="K62" s="17" t="str">
        <x:v>기간제·비정규</x:v>
      </x:c>
      <x:c r="L62" s="17" t="str">
        <x:v>검토</x:v>
      </x:c>
      <x:c r="M62" s="17" t="str">
        <x:v>제한 문구 미탐지</x:v>
      </x:c>
      <x:c r="N62" s="17" t="str">
        <x:v>기관 공고 원문 확인</x:v>
      </x:c>
      <x:c r="O62" s="17" t="str">
        <x:v>기관 공고 원문 확인</x:v>
      </x:c>
      <x:c r="P62" s="17" t="str">
        <x:v>기관 공고 원문 확인</x:v>
      </x:c>
      <x:c r="Q62" s="17" t="str">
        <x:v>기관 공고 원문 확인</x:v>
      </x:c>
      <x:c r="R62" s="17" t="str">
        <x:v>정상</x:v>
      </x:c>
      <x:c r="S62" s="18" t="str">
        <x:v>https://job.cleaneye.go.kr/user/ypRecruitment.do</x:v>
      </x:c>
      <x:c r="T62" s="1"/>
      <x:c r="U62" s="1"/>
      <x:c r="V62" s="1"/>
      <x:c r="W62" s="1"/>
      <x:c r="X62" s="1"/>
      <x:c r="Y62" s="1"/>
      <x:c r="Z62" s="1"/>
    </x:row>
    <x:row r="63" ht="50" customHeight="1">
      <x:c r="A63" s="17" t="n">
        <x:v>59</x:v>
      </x:c>
      <x:c r="B63" s="17" t="str">
        <x:v>창원시설공단</x:v>
      </x:c>
      <x:c r="C63" s="17" t="str">
        <x:v>경상남도</x:v>
      </x:c>
      <x:c r="D63" s="17" t="str">
        <x:v>2026년 시민생활체육관 기간제(초단시간)근로자 채용공고문</x:v>
      </x:c>
      <x:c r="E63" s="17" t="str">
        <x:v>신입+경력</x:v>
      </x:c>
      <x:c r="F63" s="17" t="str">
        <x:v>기간제</x:v>
      </x:c>
      <x:c r="G63" s="17" t="str">
        <x:v>명시 없음(원문 확인)</x:v>
      </x:c>
      <x:c r="H63" s="17" t="str">
        <x:v>2026-09-07</x:v>
      </x:c>
      <x:c r="I63" s="17" t="str">
        <x:v>2026-09-11</x:v>
      </x:c>
      <x:c r="J63" s="17" t="str">
        <x:v>모집중</x:v>
      </x:c>
      <x:c r="K63" s="17" t="str">
        <x:v>기간제·비정규</x:v>
      </x:c>
      <x:c r="L63" s="17" t="str">
        <x:v>검토</x:v>
      </x:c>
      <x:c r="M63" s="17" t="str">
        <x:v>제한 문구 미탐지</x:v>
      </x:c>
      <x:c r="N63" s="17" t="str">
        <x:v>기관 공고 원문 확인</x:v>
      </x:c>
      <x:c r="O63" s="17" t="str">
        <x:v>기관 공고 원문 확인</x:v>
      </x:c>
      <x:c r="P63" s="17" t="str">
        <x:v>기관 공고 원문 확인</x:v>
      </x:c>
      <x:c r="Q63" s="17" t="str">
        <x:v>기관 공고 원문 확인</x:v>
      </x:c>
      <x:c r="R63" s="17" t="str">
        <x:v>정상</x:v>
      </x:c>
      <x:c r="S63" s="18" t="str">
        <x:v>https://job.cleaneye.go.kr/user/ypRecruitment.do</x:v>
      </x:c>
      <x:c r="T63" s="1"/>
      <x:c r="U63" s="1"/>
      <x:c r="V63" s="1"/>
      <x:c r="W63" s="1"/>
      <x:c r="X63" s="1"/>
      <x:c r="Y63" s="1"/>
      <x:c r="Z63" s="1"/>
    </x:row>
    <x:row r="64" ht="50" customHeight="1">
      <x:c r="A64" s="17" t="n">
        <x:v>60</x:v>
      </x:c>
      <x:c r="B64" s="17" t="str">
        <x:v>재단법인 전라남도사회서비스원</x:v>
      </x:c>
      <x:c r="C64" s="17" t="str">
        <x:v>전남광주통합특별시</x:v>
      </x:c>
      <x:c r="D64" s="17" t="str">
        <x:v>2026년 제9차 직원(육아휴직자 대체 실무원) 채용</x:v>
      </x:c>
      <x:c r="E64" s="17" t="str">
        <x:v>신입+경력</x:v>
      </x:c>
      <x:c r="F64" s="17" t="str">
        <x:v>기간제</x:v>
      </x:c>
      <x:c r="G64" s="17" t="str">
        <x:v>명시 없음(원문 확인)</x:v>
      </x:c>
      <x:c r="H64" s="17" t="str">
        <x:v>2026-09-07</x:v>
      </x:c>
      <x:c r="I64" s="17" t="str">
        <x:v>2026-09-17</x:v>
      </x:c>
      <x:c r="J64" s="17" t="str">
        <x:v>모집중</x:v>
      </x:c>
      <x:c r="K64" s="17" t="str">
        <x:v>기간제·비정규</x:v>
      </x:c>
      <x:c r="L64" s="17" t="str">
        <x:v>검토</x:v>
      </x:c>
      <x:c r="M64" s="17" t="str">
        <x:v>제한 문구 미탐지</x:v>
      </x:c>
      <x:c r="N64" s="17" t="str">
        <x:v>기관 공고 원문 확인</x:v>
      </x:c>
      <x:c r="O64" s="17" t="str">
        <x:v>기관 공고 원문 확인</x:v>
      </x:c>
      <x:c r="P64" s="17" t="str">
        <x:v>기관 공고 원문 확인</x:v>
      </x:c>
      <x:c r="Q64" s="17" t="str">
        <x:v>기관 공고 원문 확인</x:v>
      </x:c>
      <x:c r="R64" s="17" t="str">
        <x:v>정상</x:v>
      </x:c>
      <x:c r="S64" s="18" t="str">
        <x:v>https://job.cleaneye.go.kr/user/ypRecruitment.do</x:v>
      </x:c>
      <x:c r="T64" s="1"/>
      <x:c r="U64" s="1"/>
      <x:c r="V64" s="1"/>
      <x:c r="W64" s="1"/>
      <x:c r="X64" s="1"/>
      <x:c r="Y64" s="1"/>
      <x:c r="Z64" s="1"/>
    </x:row>
    <x:row r="65" ht="50" customHeight="1">
      <x:c r="A65" s="17" t="n">
        <x:v>61</x:v>
      </x:c>
      <x:c r="B65" s="17" t="str">
        <x:v>재단법인 전라남도사회서비스원</x:v>
      </x:c>
      <x:c r="C65" s="17" t="str">
        <x:v>전남광주통합특별시</x:v>
      </x:c>
      <x:c r="D65" s="17" t="str">
        <x:v>2026년 제8차 직원(청년미래센터) 채용</x:v>
      </x:c>
      <x:c r="E65" s="17" t="str">
        <x:v>신입+경력</x:v>
      </x:c>
      <x:c r="F65" s="17" t="str">
        <x:v>기간제</x:v>
      </x:c>
      <x:c r="G65" s="17" t="str">
        <x:v>명시 없음(원문 확인)</x:v>
      </x:c>
      <x:c r="H65" s="17" t="str">
        <x:v>2026-09-07</x:v>
      </x:c>
      <x:c r="I65" s="17" t="str">
        <x:v>2026-09-17</x:v>
      </x:c>
      <x:c r="J65" s="17" t="str">
        <x:v>모집중</x:v>
      </x:c>
      <x:c r="K65" s="17" t="str">
        <x:v>기간제·비정규</x:v>
      </x:c>
      <x:c r="L65" s="17" t="str">
        <x:v>검토</x:v>
      </x:c>
      <x:c r="M65" s="17" t="str">
        <x:v>제한 문구 미탐지</x:v>
      </x:c>
      <x:c r="N65" s="17" t="str">
        <x:v>기관 공고 원문 확인</x:v>
      </x:c>
      <x:c r="O65" s="17" t="str">
        <x:v>기관 공고 원문 확인</x:v>
      </x:c>
      <x:c r="P65" s="17" t="str">
        <x:v>기관 공고 원문 확인</x:v>
      </x:c>
      <x:c r="Q65" s="17" t="str">
        <x:v>기관 공고 원문 확인</x:v>
      </x:c>
      <x:c r="R65" s="17" t="str">
        <x:v>정상</x:v>
      </x:c>
      <x:c r="S65" s="18" t="str">
        <x:v>https://job.cleaneye.go.kr/user/ypRecruitment.do</x:v>
      </x:c>
      <x:c r="T65" s="1"/>
      <x:c r="U65" s="1"/>
      <x:c r="V65" s="1"/>
      <x:c r="W65" s="1"/>
      <x:c r="X65" s="1"/>
      <x:c r="Y65" s="1"/>
      <x:c r="Z65" s="1"/>
    </x:row>
    <x:row r="66" ht="50" customHeight="1">
      <x:c r="A66" s="17" t="n">
        <x:v>62</x:v>
      </x:c>
      <x:c r="B66" s="17" t="str">
        <x:v>경기주택도시공사</x:v>
      </x:c>
      <x:c r="C66" s="17" t="str">
        <x:v>경기도</x:v>
      </x:c>
      <x:c r="D66" s="17" t="str">
        <x:v>2026년 하반기 경기주택도시공사 장애인 청년인턴사원 공개채용 공고</x:v>
      </x:c>
      <x:c r="E66" s="17" t="str">
        <x:v>신입</x:v>
      </x:c>
      <x:c r="F66" s="17" t="str">
        <x:v>인턴</x:v>
      </x:c>
      <x:c r="G66" s="17" t="str">
        <x:v>명시 없음(원문 확인)</x:v>
      </x:c>
      <x:c r="H66" s="17" t="str">
        <x:v>2026-09-07</x:v>
      </x:c>
      <x:c r="I66" s="17" t="str">
        <x:v>2026-09-17</x:v>
      </x:c>
      <x:c r="J66" s="17" t="str">
        <x:v>모집중</x:v>
      </x:c>
      <x:c r="K66" s="17" t="str">
        <x:v>체험형·청년인턴</x:v>
      </x:c>
      <x:c r="L66" s="17" t="str">
        <x:v>검토</x:v>
      </x:c>
      <x:c r="M66" s="17" t="str">
        <x:v>제한 문구 미탐지</x:v>
      </x:c>
      <x:c r="N66" s="17" t="str">
        <x:v>기관 공고 원문 확인</x:v>
      </x:c>
      <x:c r="O66" s="17" t="str">
        <x:v>기관 공고 원문 확인</x:v>
      </x:c>
      <x:c r="P66" s="17" t="str">
        <x:v>기관 공고 원문 확인</x:v>
      </x:c>
      <x:c r="Q66" s="17" t="str">
        <x:v>기관 공고 원문 확인</x:v>
      </x:c>
      <x:c r="R66" s="17" t="str">
        <x:v>정상</x:v>
      </x:c>
      <x:c r="S66" s="18" t="str">
        <x:v>https://job.cleaneye.go.kr/user/ypRecruitment.do</x:v>
      </x:c>
      <x:c r="T66" s="1"/>
      <x:c r="U66" s="1"/>
      <x:c r="V66" s="1"/>
      <x:c r="W66" s="1"/>
      <x:c r="X66" s="1"/>
      <x:c r="Y66" s="1"/>
      <x:c r="Z66" s="1"/>
    </x:row>
    <x:row r="67" ht="50" customHeight="1">
      <x:c r="A67" s="17" t="n">
        <x:v>63</x:v>
      </x:c>
      <x:c r="B67" s="17" t="str">
        <x:v>경기도경제과학진흥원</x:v>
      </x:c>
      <x:c r="C67" s="17" t="str">
        <x:v>경기도</x:v>
      </x:c>
      <x:c r="D67" s="17" t="str">
        <x:v>(2026-시설05호) 경기도경제과학진흥원 시설운영직 채용 공고</x:v>
      </x:c>
      <x:c r="E67" s="17" t="str">
        <x:v>신입</x:v>
      </x:c>
      <x:c r="F67" s="17" t="str">
        <x:v>무기계약직</x:v>
      </x:c>
      <x:c r="G67" s="17" t="str">
        <x:v>명시 없음(원문 확인)</x:v>
      </x:c>
      <x:c r="H67" s="17" t="str">
        <x:v>2026-09-07</x:v>
      </x:c>
      <x:c r="I67" s="17" t="str">
        <x:v>2026-09-18</x:v>
      </x:c>
      <x:c r="J67" s="17" t="str">
        <x:v>모집중</x:v>
      </x:c>
      <x:c r="K67" s="17" t="str">
        <x:v>무기계약·공무직</x:v>
      </x:c>
      <x:c r="L67" s="17" t="str">
        <x:v>검토</x:v>
      </x:c>
      <x:c r="M67" s="17" t="str">
        <x:v>제한 문구 미탐지</x:v>
      </x:c>
      <x:c r="N67" s="17" t="str">
        <x:v>기관 공고 원문 확인</x:v>
      </x:c>
      <x:c r="O67" s="17" t="str">
        <x:v>기관 공고 원문 확인</x:v>
      </x:c>
      <x:c r="P67" s="17" t="str">
        <x:v>기관 공고 원문 확인</x:v>
      </x:c>
      <x:c r="Q67" s="17" t="str">
        <x:v>기관 공고 원문 확인</x:v>
      </x:c>
      <x:c r="R67" s="17" t="str">
        <x:v>정상</x:v>
      </x:c>
      <x:c r="S67" s="18" t="str">
        <x:v>https://job.cleaneye.go.kr/user/ypRecruitment.do</x:v>
      </x:c>
      <x:c r="T67" s="1"/>
      <x:c r="U67" s="1"/>
      <x:c r="V67" s="1"/>
      <x:c r="W67" s="1"/>
      <x:c r="X67" s="1"/>
      <x:c r="Y67" s="1"/>
      <x:c r="Z67" s="1"/>
    </x:row>
    <x:row r="68" ht="50" customHeight="1">
      <x:c r="A68" s="17" t="n">
        <x:v>64</x:v>
      </x:c>
      <x:c r="B68" s="17" t="str">
        <x:v>경상북도문화관광공사</x:v>
      </x:c>
      <x:c r="C68" s="17" t="str">
        <x:v>경상북도</x:v>
      </x:c>
      <x:c r="D68" s="17" t="str">
        <x:v>경상북도문화관광공사 경력직 직원 채용공고</x:v>
      </x:c>
      <x:c r="E68" s="17" t="str">
        <x:v>경력</x:v>
      </x:c>
      <x:c r="F68" s="17" t="str">
        <x:v>일반정규직</x:v>
      </x:c>
      <x:c r="G68" s="17" t="str">
        <x:v>명시 없음(원문 확인)</x:v>
      </x:c>
      <x:c r="H68" s="17" t="str">
        <x:v>2026-09-07</x:v>
      </x:c>
      <x:c r="I68" s="17" t="str">
        <x:v>2026-09-21</x:v>
      </x:c>
      <x:c r="J68" s="17" t="str">
        <x:v>모집중</x:v>
      </x:c>
      <x:c r="K68" s="17" t="str">
        <x:v>경력·전문직</x:v>
      </x:c>
      <x:c r="L68" s="17" t="str">
        <x:v>경력·전문 우선</x:v>
      </x:c>
      <x:c r="M68" s="17" t="str">
        <x:v>제한 문구 미탐지</x:v>
      </x:c>
      <x:c r="N68" s="17" t="str">
        <x:v>기관 공고 원문 확인</x:v>
      </x:c>
      <x:c r="O68" s="17" t="str">
        <x:v>기관 공고 원문 확인</x:v>
      </x:c>
      <x:c r="P68" s="17" t="str">
        <x:v>기관 공고 원문 확인</x:v>
      </x:c>
      <x:c r="Q68" s="17" t="str">
        <x:v>기관 공고 원문 확인</x:v>
      </x:c>
      <x:c r="R68" s="17" t="str">
        <x:v>정상</x:v>
      </x:c>
      <x:c r="S68" s="18" t="str">
        <x:v>https://job.cleaneye.go.kr/user/ypRecruitment.do</x:v>
      </x:c>
      <x:c r="T68" s="1"/>
      <x:c r="U68" s="1"/>
      <x:c r="V68" s="1"/>
      <x:c r="W68" s="1"/>
      <x:c r="X68" s="1"/>
      <x:c r="Y68" s="1"/>
      <x:c r="Z68" s="1"/>
    </x:row>
    <x:row r="69" ht="50" customHeight="1">
      <x:c r="A69" s="17" t="n">
        <x:v>65</x:v>
      </x:c>
      <x:c r="B69" s="17" t="str">
        <x:v>경상북도경제진흥원</x:v>
      </x:c>
      <x:c r="C69" s="17" t="str">
        <x:v>경상북도</x:v>
      </x:c>
      <x:c r="D69" s="17" t="str">
        <x:v>(재)경상북도경제진흥원 고졸기능인재 채용 공고</x:v>
      </x:c>
      <x:c r="E69" s="17" t="str">
        <x:v>신입</x:v>
      </x:c>
      <x:c r="F69" s="17" t="str">
        <x:v>일반정규직</x:v>
      </x:c>
      <x:c r="G69" s="17" t="str">
        <x:v>경상북도</x:v>
      </x:c>
      <x:c r="H69" s="17" t="str">
        <x:v>2026-09-07</x:v>
      </x:c>
      <x:c r="I69" s="17" t="str">
        <x:v>2026-09-23</x:v>
      </x:c>
      <x:c r="J69" s="17" t="str">
        <x:v>모집중</x:v>
      </x:c>
      <x:c r="K69" s="17" t="str">
        <x:v>정규직(세부 확인)</x:v>
      </x:c>
      <x:c r="L69" s="17" t="str">
        <x:v>검토</x:v>
      </x:c>
      <x:c r="M69" s="17" t="str">
        <x:v>제한 문구 미탐지</x:v>
      </x:c>
      <x:c r="N69" s="17" t="str">
        <x:v>기관 공고 원문 확인</x:v>
      </x:c>
      <x:c r="O69" s="17" t="str">
        <x:v>기관 공고 원문 확인</x:v>
      </x:c>
      <x:c r="P69" s="17" t="str">
        <x:v>기관 공고 원문 확인</x:v>
      </x:c>
      <x:c r="Q69" s="17" t="str">
        <x:v>기관 공고 원문 확인</x:v>
      </x:c>
      <x:c r="R69" s="17" t="str">
        <x:v>정상</x:v>
      </x:c>
      <x:c r="S69" s="18" t="str">
        <x:v>https://job.cleaneye.go.kr/user/ypRecruitment.do</x:v>
      </x:c>
      <x:c r="T69" s="1"/>
      <x:c r="U69" s="1"/>
      <x:c r="V69" s="1"/>
      <x:c r="W69" s="1"/>
      <x:c r="X69" s="1"/>
      <x:c r="Y69" s="1"/>
      <x:c r="Z69" s="1"/>
    </x:row>
    <x:row r="70" ht="50" customHeight="1">
      <x:c r="A70" s="17" t="n">
        <x:v>66</x:v>
      </x:c>
      <x:c r="B70" s="17" t="str">
        <x:v>세종도시교통공사</x:v>
      </x:c>
      <x:c r="C70" s="17" t="str">
        <x:v>세종특별자치시</x:v>
      </x:c>
      <x:c r="D70" s="17" t="str">
        <x:v>[임원모집공고] 세종도시교통공사 임원(사장) 공개모집 공고</x:v>
      </x:c>
      <x:c r="E70" s="17" t="str">
        <x:v>경력</x:v>
      </x:c>
      <x:c r="F70" s="17" t="str">
        <x:v>기간제</x:v>
      </x:c>
      <x:c r="G70" s="17" t="str">
        <x:v>명시 없음(원문 확인)</x:v>
      </x:c>
      <x:c r="H70" s="17" t="str">
        <x:v>2026-09-07</x:v>
      </x:c>
      <x:c r="I70" s="17" t="str">
        <x:v>2026-09-22</x:v>
      </x:c>
      <x:c r="J70" s="17" t="str">
        <x:v>모집중</x:v>
      </x:c>
      <x:c r="K70" s="17" t="str">
        <x:v>경력·전문직</x:v>
      </x:c>
      <x:c r="L70" s="17" t="str">
        <x:v>경력·전문 우선</x:v>
      </x:c>
      <x:c r="M70" s="17" t="str">
        <x:v>제한 문구 미탐지</x:v>
      </x:c>
      <x:c r="N70" s="17" t="str">
        <x:v>기관 공고 원문 확인</x:v>
      </x:c>
      <x:c r="O70" s="17" t="str">
        <x:v>기관 공고 원문 확인</x:v>
      </x:c>
      <x:c r="P70" s="17" t="str">
        <x:v>기관 공고 원문 확인</x:v>
      </x:c>
      <x:c r="Q70" s="17" t="str">
        <x:v>기관 공고 원문 확인</x:v>
      </x:c>
      <x:c r="R70" s="17" t="str">
        <x:v>정상</x:v>
      </x:c>
      <x:c r="S70" s="18" t="str">
        <x:v>https://job.cleaneye.go.kr/user/ypRecruitment.do</x:v>
      </x:c>
      <x:c r="T70" s="1"/>
      <x:c r="U70" s="1"/>
      <x:c r="V70" s="1"/>
      <x:c r="W70" s="1"/>
      <x:c r="X70" s="1"/>
      <x:c r="Y70" s="1"/>
      <x:c r="Z70" s="1"/>
    </x:row>
    <x:row r="71" ht="50" customHeight="1">
      <x:c r="A71" s="17" t="n">
        <x:v>67</x:v>
      </x:c>
      <x:c r="B71" s="17" t="str">
        <x:v>전라남도 환경산업진흥원</x:v>
      </x:c>
      <x:c r="C71" s="17" t="str">
        <x:v>전남광주통합특별시</x:v>
      </x:c>
      <x:c r="D71" s="17" t="str">
        <x:v>(재)전라남도환경산업진흥원 2026년 제4차 기간제근로자 신규채용 공고</x:v>
      </x:c>
      <x:c r="E71" s="17" t="str">
        <x:v>신입+경력</x:v>
      </x:c>
      <x:c r="F71" s="17" t="str">
        <x:v>기간제</x:v>
      </x:c>
      <x:c r="G71" s="17" t="str">
        <x:v>명시 없음(원문 확인)</x:v>
      </x:c>
      <x:c r="H71" s="17" t="str">
        <x:v>2026-09-07</x:v>
      </x:c>
      <x:c r="I71" s="17" t="str">
        <x:v>2026-09-14</x:v>
      </x:c>
      <x:c r="J71" s="17" t="str">
        <x:v>모집중</x:v>
      </x:c>
      <x:c r="K71" s="17" t="str">
        <x:v>기간제·비정규</x:v>
      </x:c>
      <x:c r="L71" s="17" t="str">
        <x:v>검토</x:v>
      </x:c>
      <x:c r="M71" s="17" t="str">
        <x:v>제한 문구 미탐지</x:v>
      </x:c>
      <x:c r="N71" s="17" t="str">
        <x:v>기관 공고 원문 확인</x:v>
      </x:c>
      <x:c r="O71" s="17" t="str">
        <x:v>기관 공고 원문 확인</x:v>
      </x:c>
      <x:c r="P71" s="17" t="str">
        <x:v>기관 공고 원문 확인</x:v>
      </x:c>
      <x:c r="Q71" s="17" t="str">
        <x:v>기관 공고 원문 확인</x:v>
      </x:c>
      <x:c r="R71" s="17" t="str">
        <x:v>정상</x:v>
      </x:c>
      <x:c r="S71" s="18" t="str">
        <x:v>https://job.cleaneye.go.kr/user/ypRecruitment.do</x:v>
      </x:c>
      <x:c r="T71" s="1"/>
      <x:c r="U71" s="1"/>
      <x:c r="V71" s="1"/>
      <x:c r="W71" s="1"/>
      <x:c r="X71" s="1"/>
      <x:c r="Y71" s="1"/>
      <x:c r="Z71" s="1"/>
    </x:row>
    <x:row r="72" ht="50" customHeight="1">
      <x:c r="A72" s="17" t="n">
        <x:v>68</x:v>
      </x:c>
      <x:c r="B72" s="17" t="str">
        <x:v>재단법인 구리시청소년재단</x:v>
      </x:c>
      <x:c r="C72" s="17" t="str">
        <x:v>경기도</x:v>
      </x:c>
      <x:c r="D72" s="17" t="str">
        <x:v>구리시청소년재단 기간제 계약직 공개채용 공고(대체인력)</x:v>
      </x:c>
      <x:c r="E72" s="17" t="str">
        <x:v>경력</x:v>
      </x:c>
      <x:c r="F72" s="17" t="str">
        <x:v>기간제</x:v>
      </x:c>
      <x:c r="G72" s="17" t="str">
        <x:v>명시 없음(원문 확인)</x:v>
      </x:c>
      <x:c r="H72" s="17" t="str">
        <x:v>2026-09-07</x:v>
      </x:c>
      <x:c r="I72" s="17" t="str">
        <x:v>2026-09-17</x:v>
      </x:c>
      <x:c r="J72" s="17" t="str">
        <x:v>모집중</x:v>
      </x:c>
      <x:c r="K72" s="17" t="str">
        <x:v>기간제·비정규</x:v>
      </x:c>
      <x:c r="L72" s="17" t="str">
        <x:v>세부조건 확인</x:v>
      </x:c>
      <x:c r="M72" s="17" t="str">
        <x:v>제한 문구 미탐지</x:v>
      </x:c>
      <x:c r="N72" s="17" t="str">
        <x:v>기관 공고 원문 확인</x:v>
      </x:c>
      <x:c r="O72" s="17" t="str">
        <x:v>기관 공고 원문 확인</x:v>
      </x:c>
      <x:c r="P72" s="17" t="str">
        <x:v>기관 공고 원문 확인</x:v>
      </x:c>
      <x:c r="Q72" s="17" t="str">
        <x:v>기관 공고 원문 확인</x:v>
      </x:c>
      <x:c r="R72" s="17" t="str">
        <x:v>정상</x:v>
      </x:c>
      <x:c r="S72" s="18" t="str">
        <x:v>https://job.cleaneye.go.kr/user/ypRecruitment.do</x:v>
      </x:c>
      <x:c r="T72" s="1"/>
      <x:c r="U72" s="1"/>
      <x:c r="V72" s="1"/>
      <x:c r="W72" s="1"/>
      <x:c r="X72" s="1"/>
      <x:c r="Y72" s="1"/>
      <x:c r="Z72" s="1"/>
    </x:row>
    <x:row r="73" ht="50" customHeight="1">
      <x:c r="A73" s="17" t="n">
        <x:v>69</x:v>
      </x:c>
      <x:c r="B73" s="17" t="str">
        <x:v>대구의료원</x:v>
      </x:c>
      <x:c r="C73" s="17" t="str">
        <x:v>대구광역시</x:v>
      </x:c>
      <x:c r="D73" s="17" t="str">
        <x:v>대구의료원 신규직원 채용공고(간호사)</x:v>
      </x:c>
      <x:c r="E73" s="17" t="str">
        <x:v>신입+경력</x:v>
      </x:c>
      <x:c r="F73" s="17" t="str">
        <x:v>일반정규직</x:v>
      </x:c>
      <x:c r="G73" s="17" t="str">
        <x:v>명시 없음(원문 확인)</x:v>
      </x:c>
      <x:c r="H73" s="17" t="str">
        <x:v>2026-09-07</x:v>
      </x:c>
      <x:c r="I73" s="17" t="str">
        <x:v>2026-09-17</x:v>
      </x:c>
      <x:c r="J73" s="17" t="str">
        <x:v>모집중</x:v>
      </x:c>
      <x:c r="K73" s="17" t="str">
        <x:v>경력·전문직</x:v>
      </x:c>
      <x:c r="L73" s="17" t="str">
        <x:v>경력·전문 우선</x:v>
      </x:c>
      <x:c r="M73" s="17" t="str">
        <x:v>제한 문구 미탐지</x:v>
      </x:c>
      <x:c r="N73" s="17" t="str">
        <x:v>기관 공고 원문 확인</x:v>
      </x:c>
      <x:c r="O73" s="17" t="str">
        <x:v>기관 공고 원문 확인</x:v>
      </x:c>
      <x:c r="P73" s="17" t="str">
        <x:v>기관 공고 원문 확인</x:v>
      </x:c>
      <x:c r="Q73" s="17" t="str">
        <x:v>기관 공고 원문 확인</x:v>
      </x:c>
      <x:c r="R73" s="17" t="str">
        <x:v>정상</x:v>
      </x:c>
      <x:c r="S73" s="18" t="str">
        <x:v>https://job.cleaneye.go.kr/user/ypRecruitment.do</x:v>
      </x:c>
      <x:c r="T73" s="1"/>
      <x:c r="U73" s="1"/>
      <x:c r="V73" s="1"/>
      <x:c r="W73" s="1"/>
      <x:c r="X73" s="1"/>
      <x:c r="Y73" s="1"/>
      <x:c r="Z73" s="1"/>
    </x:row>
    <x:row r="74" ht="50" customHeight="1">
      <x:c r="A74" s="17" t="n">
        <x:v>70</x:v>
      </x:c>
      <x:c r="B74" s="17" t="str">
        <x:v>재단법인 한국학 호남진흥원</x:v>
      </x:c>
      <x:c r="C74" s="17" t="str">
        <x:v>전남광주통합특별시</x:v>
      </x:c>
      <x:c r="D74" s="17" t="str">
        <x:v>(재)한국학호남진흥원 기간제 근로자 채용 공고</x:v>
      </x:c>
      <x:c r="E74" s="17" t="str">
        <x:v>신입</x:v>
      </x:c>
      <x:c r="F74" s="17" t="str">
        <x:v>기간제</x:v>
      </x:c>
      <x:c r="G74" s="17" t="str">
        <x:v>명시 없음(원문 확인)</x:v>
      </x:c>
      <x:c r="H74" s="17" t="str">
        <x:v>2026-09-07</x:v>
      </x:c>
      <x:c r="I74" s="17" t="str">
        <x:v>2026-09-18</x:v>
      </x:c>
      <x:c r="J74" s="17" t="str">
        <x:v>모집중</x:v>
      </x:c>
      <x:c r="K74" s="17" t="str">
        <x:v>기간제·비정규</x:v>
      </x:c>
      <x:c r="L74" s="17" t="str">
        <x:v>검토</x:v>
      </x:c>
      <x:c r="M74" s="17" t="str">
        <x:v>제한 문구 미탐지</x:v>
      </x:c>
      <x:c r="N74" s="17" t="str">
        <x:v>기관 공고 원문 확인</x:v>
      </x:c>
      <x:c r="O74" s="17" t="str">
        <x:v>기관 공고 원문 확인</x:v>
      </x:c>
      <x:c r="P74" s="17" t="str">
        <x:v>기관 공고 원문 확인</x:v>
      </x:c>
      <x:c r="Q74" s="17" t="str">
        <x:v>기관 공고 원문 확인</x:v>
      </x:c>
      <x:c r="R74" s="17" t="str">
        <x:v>정상</x:v>
      </x:c>
      <x:c r="S74" s="18" t="str">
        <x:v>https://job.cleaneye.go.kr/user/ypRecruitment.do</x:v>
      </x:c>
      <x:c r="T74" s="1"/>
      <x:c r="U74" s="1"/>
      <x:c r="V74" s="1"/>
      <x:c r="W74" s="1"/>
      <x:c r="X74" s="1"/>
      <x:c r="Y74" s="1"/>
      <x:c r="Z74" s="1"/>
    </x:row>
    <x:row r="75" ht="50" customHeight="1">
      <x:c r="A75" s="17" t="n">
        <x:v>71</x:v>
      </x:c>
      <x:c r="B75" s="17" t="str">
        <x:v>창원시설공단</x:v>
      </x:c>
      <x:c r="C75" s="17" t="str">
        <x:v>경상남도</x:v>
      </x:c>
      <x:c r="D75" s="17" t="str">
        <x:v>시민생활체육관 탁구 프로그램 도급강사 공개모집 공고</x:v>
      </x:c>
      <x:c r="E75" s="17" t="str">
        <x:v>신입+경력</x:v>
      </x:c>
      <x:c r="F75" s="17" t="str">
        <x:v>기간제</x:v>
      </x:c>
      <x:c r="G75" s="17" t="str">
        <x:v>명시 없음(원문 확인)</x:v>
      </x:c>
      <x:c r="H75" s="17" t="str">
        <x:v>2026-09-07</x:v>
      </x:c>
      <x:c r="I75" s="17" t="str">
        <x:v>2026-09-11</x:v>
      </x:c>
      <x:c r="J75" s="17" t="str">
        <x:v>모집중</x:v>
      </x:c>
      <x:c r="K75" s="17" t="str">
        <x:v>기간제·비정규</x:v>
      </x:c>
      <x:c r="L75" s="17" t="str">
        <x:v>검토</x:v>
      </x:c>
      <x:c r="M75" s="17" t="str">
        <x:v>제한 문구 미탐지</x:v>
      </x:c>
      <x:c r="N75" s="17" t="str">
        <x:v>기관 공고 원문 확인</x:v>
      </x:c>
      <x:c r="O75" s="17" t="str">
        <x:v>기관 공고 원문 확인</x:v>
      </x:c>
      <x:c r="P75" s="17" t="str">
        <x:v>기관 공고 원문 확인</x:v>
      </x:c>
      <x:c r="Q75" s="17" t="str">
        <x:v>기관 공고 원문 확인</x:v>
      </x:c>
      <x:c r="R75" s="17" t="str">
        <x:v>정상</x:v>
      </x:c>
      <x:c r="S75" s="18" t="str">
        <x:v>https://job.cleaneye.go.kr/user/ypRecruitment.do</x:v>
      </x:c>
      <x:c r="T75" s="1"/>
      <x:c r="U75" s="1"/>
      <x:c r="V75" s="1"/>
      <x:c r="W75" s="1"/>
      <x:c r="X75" s="1"/>
      <x:c r="Y75" s="1"/>
      <x:c r="Z75" s="1"/>
    </x:row>
    <x:row r="76" ht="50" customHeight="1">
      <x:c r="A76" s="17" t="n">
        <x:v>72</x:v>
      </x:c>
      <x:c r="B76" s="17" t="str">
        <x:v>창원시설공단</x:v>
      </x:c>
      <x:c r="C76" s="17" t="str">
        <x:v>경상남도</x:v>
      </x:c>
      <x:c r="D76" s="17" t="str">
        <x:v>시민생활체육관 종합안내실 기간제근로자 채용 공고문</x:v>
      </x:c>
      <x:c r="E76" s="17" t="str">
        <x:v>신입+경력</x:v>
      </x:c>
      <x:c r="F76" s="17" t="str">
        <x:v>기간제</x:v>
      </x:c>
      <x:c r="G76" s="17" t="str">
        <x:v>명시 없음(원문 확인)</x:v>
      </x:c>
      <x:c r="H76" s="17" t="str">
        <x:v>2026-09-07</x:v>
      </x:c>
      <x:c r="I76" s="17" t="str">
        <x:v>2026-09-11</x:v>
      </x:c>
      <x:c r="J76" s="17" t="str">
        <x:v>모집중</x:v>
      </x:c>
      <x:c r="K76" s="17" t="str">
        <x:v>기간제·비정규</x:v>
      </x:c>
      <x:c r="L76" s="17" t="str">
        <x:v>검토</x:v>
      </x:c>
      <x:c r="M76" s="17" t="str">
        <x:v>제한 문구 미탐지</x:v>
      </x:c>
      <x:c r="N76" s="17" t="str">
        <x:v>기관 공고 원문 확인</x:v>
      </x:c>
      <x:c r="O76" s="17" t="str">
        <x:v>기관 공고 원문 확인</x:v>
      </x:c>
      <x:c r="P76" s="17" t="str">
        <x:v>기관 공고 원문 확인</x:v>
      </x:c>
      <x:c r="Q76" s="17" t="str">
        <x:v>기관 공고 원문 확인</x:v>
      </x:c>
      <x:c r="R76" s="17" t="str">
        <x:v>정상</x:v>
      </x:c>
      <x:c r="S76" s="18" t="str">
        <x:v>https://job.cleaneye.go.kr/user/ypRecruitment.do</x:v>
      </x:c>
      <x:c r="T76" s="1"/>
      <x:c r="U76" s="1"/>
      <x:c r="V76" s="1"/>
      <x:c r="W76" s="1"/>
      <x:c r="X76" s="1"/>
      <x:c r="Y76" s="1"/>
      <x:c r="Z76" s="1"/>
    </x:row>
    <x:row r="77" ht="50" customHeight="1">
      <x:c r="A77" s="17" t="n">
        <x:v>73</x:v>
      </x:c>
      <x:c r="B77" s="17" t="str">
        <x:v>대구의료원</x:v>
      </x:c>
      <x:c r="C77" s="17" t="str">
        <x:v>대구광역시</x:v>
      </x:c>
      <x:c r="D77" s="17" t="str">
        <x:v>대구의료원 신규직원 채용 공고(약사)</x:v>
      </x:c>
      <x:c r="E77" s="17" t="str">
        <x:v>신입+경력</x:v>
      </x:c>
      <x:c r="F77" s="17" t="str">
        <x:v>일반정규직</x:v>
      </x:c>
      <x:c r="G77" s="17" t="str">
        <x:v>명시 없음(원문 확인)</x:v>
      </x:c>
      <x:c r="H77" s="17" t="str">
        <x:v>2026-09-07</x:v>
      </x:c>
      <x:c r="I77" s="17" t="str">
        <x:v>2026-09-17</x:v>
      </x:c>
      <x:c r="J77" s="17" t="str">
        <x:v>모집중</x:v>
      </x:c>
      <x:c r="K77" s="17" t="str">
        <x:v>경력·전문직</x:v>
      </x:c>
      <x:c r="L77" s="17" t="str">
        <x:v>경력·전문 우선</x:v>
      </x:c>
      <x:c r="M77" s="17" t="str">
        <x:v>제한 문구 미탐지</x:v>
      </x:c>
      <x:c r="N77" s="17" t="str">
        <x:v>기관 공고 원문 확인</x:v>
      </x:c>
      <x:c r="O77" s="17" t="str">
        <x:v>기관 공고 원문 확인</x:v>
      </x:c>
      <x:c r="P77" s="17" t="str">
        <x:v>기관 공고 원문 확인</x:v>
      </x:c>
      <x:c r="Q77" s="17" t="str">
        <x:v>기관 공고 원문 확인</x:v>
      </x:c>
      <x:c r="R77" s="17" t="str">
        <x:v>정상</x:v>
      </x:c>
      <x:c r="S77" s="18" t="str">
        <x:v>https://job.cleaneye.go.kr/user/ypRecruitment.do</x:v>
      </x:c>
      <x:c r="T77" s="1"/>
      <x:c r="U77" s="1"/>
      <x:c r="V77" s="1"/>
      <x:c r="W77" s="1"/>
      <x:c r="X77" s="1"/>
      <x:c r="Y77" s="1"/>
      <x:c r="Z77" s="1"/>
    </x:row>
    <x:row r="78" ht="50" customHeight="1">
      <x:c r="A78" s="17" t="n">
        <x:v>74</x:v>
      </x:c>
      <x:c r="B78" s="17" t="str">
        <x:v>홍성의료원</x:v>
      </x:c>
      <x:c r="C78" s="17" t="str">
        <x:v>충청남도</x:v>
      </x:c>
      <x:c r="D78" s="17" t="str">
        <x:v>계약직(육아휴직대체) 간호조무사</x:v>
      </x:c>
      <x:c r="E78" s="17" t="str">
        <x:v>신입+경력</x:v>
      </x:c>
      <x:c r="F78" s="17" t="str">
        <x:v>일반계약직</x:v>
      </x:c>
      <x:c r="G78" s="17" t="str">
        <x:v>명시 없음(원문 확인)</x:v>
      </x:c>
      <x:c r="H78" s="17" t="str">
        <x:v>2026-09-07</x:v>
      </x:c>
      <x:c r="I78" s="17" t="str">
        <x:v>2026-09-17</x:v>
      </x:c>
      <x:c r="J78" s="17" t="str">
        <x:v>모집중</x:v>
      </x:c>
      <x:c r="K78" s="17" t="str">
        <x:v>기타 채용</x:v>
      </x:c>
      <x:c r="L78" s="17" t="str">
        <x:v>검토</x:v>
      </x:c>
      <x:c r="M78" s="17" t="str">
        <x:v>제한 문구 미탐지</x:v>
      </x:c>
      <x:c r="N78" s="17" t="str">
        <x:v>기관 공고 원문 확인</x:v>
      </x:c>
      <x:c r="O78" s="17" t="str">
        <x:v>기관 공고 원문 확인</x:v>
      </x:c>
      <x:c r="P78" s="17" t="str">
        <x:v>기관 공고 원문 확인</x:v>
      </x:c>
      <x:c r="Q78" s="17" t="str">
        <x:v>기관 공고 원문 확인</x:v>
      </x:c>
      <x:c r="R78" s="17" t="str">
        <x:v>정상</x:v>
      </x:c>
      <x:c r="S78" s="18" t="str">
        <x:v>https://job.cleaneye.go.kr/user/ypRecruitment.do</x:v>
      </x:c>
      <x:c r="T78" s="1"/>
      <x:c r="U78" s="1"/>
      <x:c r="V78" s="1"/>
      <x:c r="W78" s="1"/>
      <x:c r="X78" s="1"/>
      <x:c r="Y78" s="1"/>
      <x:c r="Z78" s="1"/>
    </x:row>
    <x:row r="79" ht="50" customHeight="1">
      <x:c r="A79" s="17" t="n">
        <x:v>75</x:v>
      </x:c>
      <x:c r="B79" s="17" t="str">
        <x:v>목포국제축구센터</x:v>
      </x:c>
      <x:c r="C79" s="17" t="str">
        <x:v>전남광주통합특별시</x:v>
      </x:c>
      <x:c r="D79" s="17" t="str">
        <x:v>재단법인 목포국제축구센터 직원 공개 채용 공고</x:v>
      </x:c>
      <x:c r="E79" s="17" t="str">
        <x:v>신입+경력</x:v>
      </x:c>
      <x:c r="F79" s="17" t="str">
        <x:v>전문계약직</x:v>
      </x:c>
      <x:c r="G79" s="17" t="str">
        <x:v>명시 없음(원문 확인)</x:v>
      </x:c>
      <x:c r="H79" s="17" t="str">
        <x:v>2026-09-07</x:v>
      </x:c>
      <x:c r="I79" s="17" t="str">
        <x:v>2026-09-17</x:v>
      </x:c>
      <x:c r="J79" s="17" t="str">
        <x:v>모집중</x:v>
      </x:c>
      <x:c r="K79" s="17" t="str">
        <x:v>기타 채용</x:v>
      </x:c>
      <x:c r="L79" s="17" t="str">
        <x:v>검토</x:v>
      </x:c>
      <x:c r="M79" s="17" t="str">
        <x:v>제한 문구 미탐지</x:v>
      </x:c>
      <x:c r="N79" s="17" t="str">
        <x:v>기관 공고 원문 확인</x:v>
      </x:c>
      <x:c r="O79" s="17" t="str">
        <x:v>기관 공고 원문 확인</x:v>
      </x:c>
      <x:c r="P79" s="17" t="str">
        <x:v>기관 공고 원문 확인</x:v>
      </x:c>
      <x:c r="Q79" s="17" t="str">
        <x:v>기관 공고 원문 확인</x:v>
      </x:c>
      <x:c r="R79" s="17" t="str">
        <x:v>정상</x:v>
      </x:c>
      <x:c r="S79" s="18" t="str">
        <x:v>https://job.cleaneye.go.kr/user/ypRecruitment.do</x:v>
      </x:c>
      <x:c r="T79" s="1"/>
      <x:c r="U79" s="1"/>
      <x:c r="V79" s="1"/>
      <x:c r="W79" s="1"/>
      <x:c r="X79" s="1"/>
      <x:c r="Y79" s="1"/>
      <x:c r="Z79" s="1"/>
    </x:row>
    <x:row r="80" ht="50" customHeight="1">
      <x:c r="A80" s="17" t="n">
        <x:v>76</x:v>
      </x:c>
      <x:c r="B80" s="17" t="str">
        <x:v>재단법인 청주시활성화재단</x:v>
      </x:c>
      <x:c r="C80" s="17" t="str">
        <x:v>충청북도</x:v>
      </x:c>
      <x:c r="D80" s="17" t="str">
        <x:v>2026 재단법인 청주시활성화재단 기간제근로자 채용 재공고</x:v>
      </x:c>
      <x:c r="E80" s="17" t="str">
        <x:v>신입</x:v>
      </x:c>
      <x:c r="F80" s="17" t="str">
        <x:v>기간제</x:v>
      </x:c>
      <x:c r="G80" s="17" t="str">
        <x:v>청주시</x:v>
      </x:c>
      <x:c r="H80" s="17" t="str">
        <x:v>2026-09-07</x:v>
      </x:c>
      <x:c r="I80" s="17" t="str">
        <x:v>2026-09-17</x:v>
      </x:c>
      <x:c r="J80" s="17" t="str">
        <x:v>모집중</x:v>
      </x:c>
      <x:c r="K80" s="17" t="str">
        <x:v>기간제·비정규</x:v>
      </x:c>
      <x:c r="L80" s="17" t="str">
        <x:v>검토</x:v>
      </x:c>
      <x:c r="M80" s="17" t="str">
        <x:v>제한 문구 미탐지</x:v>
      </x:c>
      <x:c r="N80" s="17" t="str">
        <x:v>기관 공고 원문 확인</x:v>
      </x:c>
      <x:c r="O80" s="17" t="str">
        <x:v>기관 공고 원문 확인</x:v>
      </x:c>
      <x:c r="P80" s="17" t="str">
        <x:v>기관 공고 원문 확인</x:v>
      </x:c>
      <x:c r="Q80" s="17" t="str">
        <x:v>기관 공고 원문 확인</x:v>
      </x:c>
      <x:c r="R80" s="17" t="str">
        <x:v>정상</x:v>
      </x:c>
      <x:c r="S80" s="18" t="str">
        <x:v>https://job.cleaneye.go.kr/user/ypRecruitment.do</x:v>
      </x:c>
      <x:c r="T80" s="1"/>
      <x:c r="U80" s="1"/>
      <x:c r="V80" s="1"/>
      <x:c r="W80" s="1"/>
      <x:c r="X80" s="1"/>
      <x:c r="Y80" s="1"/>
      <x:c r="Z80" s="1"/>
    </x:row>
    <x:row r="81" ht="50" customHeight="1">
      <x:c r="A81" s="17" t="n">
        <x:v>77</x:v>
      </x:c>
      <x:c r="B81" s="17" t="str">
        <x:v>(주)킨텍스</x:v>
      </x:c>
      <x:c r="C81" s="17" t="str">
        <x:v>경기도</x:v>
      </x:c>
      <x:c r="D81" s="17" t="str">
        <x:v>제2026-022호 킨텍스 임시직 직원 공개채용 공고</x:v>
      </x:c>
      <x:c r="E81" s="17" t="str">
        <x:v>신입</x:v>
      </x:c>
      <x:c r="F81" s="17" t="str">
        <x:v>기간제</x:v>
      </x:c>
      <x:c r="G81" s="17" t="str">
        <x:v>명시 없음(원문 확인)</x:v>
      </x:c>
      <x:c r="H81" s="17" t="str">
        <x:v>2026-09-07</x:v>
      </x:c>
      <x:c r="I81" s="17" t="str">
        <x:v>2026-09-17</x:v>
      </x:c>
      <x:c r="J81" s="17" t="str">
        <x:v>모집중</x:v>
      </x:c>
      <x:c r="K81" s="17" t="str">
        <x:v>기간제·비정규</x:v>
      </x:c>
      <x:c r="L81" s="17" t="str">
        <x:v>검토</x:v>
      </x:c>
      <x:c r="M81" s="17" t="str">
        <x:v>제한 문구 미탐지</x:v>
      </x:c>
      <x:c r="N81" s="17" t="str">
        <x:v>기관 공고 원문 확인</x:v>
      </x:c>
      <x:c r="O81" s="17" t="str">
        <x:v>기관 공고 원문 확인</x:v>
      </x:c>
      <x:c r="P81" s="17" t="str">
        <x:v>기관 공고 원문 확인</x:v>
      </x:c>
      <x:c r="Q81" s="17" t="str">
        <x:v>기관 공고 원문 확인</x:v>
      </x:c>
      <x:c r="R81" s="17" t="str">
        <x:v>정상</x:v>
      </x:c>
      <x:c r="S81" s="18" t="str">
        <x:v>https://job.cleaneye.go.kr/user/ypRecruitment.do</x:v>
      </x:c>
      <x:c r="T81" s="1"/>
      <x:c r="U81" s="1"/>
      <x:c r="V81" s="1"/>
      <x:c r="W81" s="1"/>
      <x:c r="X81" s="1"/>
      <x:c r="Y81" s="1"/>
      <x:c r="Z81" s="1"/>
    </x:row>
    <x:row r="82" ht="50" customHeight="1">
      <x:c r="A82" s="17" t="n">
        <x:v>78</x:v>
      </x:c>
      <x:c r="B82" s="17" t="str">
        <x:v>고양도시관리공사</x:v>
      </x:c>
      <x:c r="C82" s="17" t="str">
        <x:v>경기도</x:v>
      </x:c>
      <x:c r="D82" s="17" t="str">
        <x:v>고양도시관리공사 임원 공개모집 공고</x:v>
      </x:c>
      <x:c r="E82" s="17" t="str">
        <x:v>경력</x:v>
      </x:c>
      <x:c r="F82" s="17" t="str">
        <x:v>전문계약직</x:v>
      </x:c>
      <x:c r="G82" s="17" t="str">
        <x:v>명시 없음(원문 확인)</x:v>
      </x:c>
      <x:c r="H82" s="17" t="str">
        <x:v>2026-09-07</x:v>
      </x:c>
      <x:c r="I82" s="17" t="str">
        <x:v>2026-09-22</x:v>
      </x:c>
      <x:c r="J82" s="17" t="str">
        <x:v>모집중</x:v>
      </x:c>
      <x:c r="K82" s="17" t="str">
        <x:v>경력·전문직</x:v>
      </x:c>
      <x:c r="L82" s="17" t="str">
        <x:v>경력·전문 우선</x:v>
      </x:c>
      <x:c r="M82" s="17" t="str">
        <x:v>제한 문구 미탐지</x:v>
      </x:c>
      <x:c r="N82" s="17" t="str">
        <x:v>기관 공고 원문 확인</x:v>
      </x:c>
      <x:c r="O82" s="17" t="str">
        <x:v>기관 공고 원문 확인</x:v>
      </x:c>
      <x:c r="P82" s="17" t="str">
        <x:v>기관 공고 원문 확인</x:v>
      </x:c>
      <x:c r="Q82" s="17" t="str">
        <x:v>기관 공고 원문 확인</x:v>
      </x:c>
      <x:c r="R82" s="17" t="str">
        <x:v>정상</x:v>
      </x:c>
      <x:c r="S82" s="18" t="str">
        <x:v>https://job.cleaneye.go.kr/user/ypRecruitment.do</x:v>
      </x:c>
      <x:c r="T82" s="1"/>
      <x:c r="U82" s="1"/>
      <x:c r="V82" s="1"/>
      <x:c r="W82" s="1"/>
      <x:c r="X82" s="1"/>
      <x:c r="Y82" s="1"/>
      <x:c r="Z82" s="1"/>
    </x:row>
    <x:row r="83" ht="50" customHeight="1">
      <x:c r="A83" s="17" t="n">
        <x:v>79</x:v>
      </x:c>
      <x:c r="B83" s="17" t="str">
        <x:v>중랑구시설관리공단</x:v>
      </x:c>
      <x:c r="C83" s="17" t="str">
        <x:v>서울특별시</x:v>
      </x:c>
      <x:c r="D83" s="17" t="str">
        <x:v>중랑구시설관리공단(중랑문화체육팀) 시간강사(셔플댄스) 채용 공고</x:v>
      </x:c>
      <x:c r="E83" s="17" t="str">
        <x:v>신입+경력</x:v>
      </x:c>
      <x:c r="F83" s="17" t="str">
        <x:v>기간제</x:v>
      </x:c>
      <x:c r="G83" s="17" t="str">
        <x:v>명시 없음(원문 확인)</x:v>
      </x:c>
      <x:c r="H83" s="17" t="str">
        <x:v>2026-09-07</x:v>
      </x:c>
      <x:c r="I83" s="17" t="str">
        <x:v>2026-09-11</x:v>
      </x:c>
      <x:c r="J83" s="17" t="str">
        <x:v>모집중</x:v>
      </x:c>
      <x:c r="K83" s="17" t="str">
        <x:v>기간제·비정규</x:v>
      </x:c>
      <x:c r="L83" s="17" t="str">
        <x:v>검토</x:v>
      </x:c>
      <x:c r="M83" s="17" t="str">
        <x:v>제한 문구 미탐지</x:v>
      </x:c>
      <x:c r="N83" s="17" t="str">
        <x:v>기관 공고 원문 확인</x:v>
      </x:c>
      <x:c r="O83" s="17" t="str">
        <x:v>기관 공고 원문 확인</x:v>
      </x:c>
      <x:c r="P83" s="17" t="str">
        <x:v>기관 공고 원문 확인</x:v>
      </x:c>
      <x:c r="Q83" s="17" t="str">
        <x:v>기관 공고 원문 확인</x:v>
      </x:c>
      <x:c r="R83" s="17" t="str">
        <x:v>정상</x:v>
      </x:c>
      <x:c r="S83" s="18" t="str">
        <x:v>https://job.cleaneye.go.kr/user/ypRecruitment.do</x:v>
      </x:c>
      <x:c r="T83" s="1"/>
      <x:c r="U83" s="1"/>
      <x:c r="V83" s="1"/>
      <x:c r="W83" s="1"/>
      <x:c r="X83" s="1"/>
      <x:c r="Y83" s="1"/>
      <x:c r="Z83" s="1"/>
    </x:row>
    <x:row r="84" ht="50" customHeight="1">
      <x:c r="A84" s="17" t="n">
        <x:v>80</x:v>
      </x:c>
      <x:c r="B84" s="17" t="str">
        <x:v>부산경제진흥원</x:v>
      </x:c>
      <x:c r="C84" s="17" t="str">
        <x:v>부산광역시</x:v>
      </x:c>
      <x:c r="D84" s="17" t="str">
        <x:v>부산경제진흥원 직업능력개발훈련사업 임시직 채용 공고</x:v>
      </x:c>
      <x:c r="E84" s="17" t="str">
        <x:v>신입</x:v>
      </x:c>
      <x:c r="F84" s="17" t="str">
        <x:v>일반계약직</x:v>
      </x:c>
      <x:c r="G84" s="17" t="str">
        <x:v>명시 없음(원문 확인)</x:v>
      </x:c>
      <x:c r="H84" s="17" t="str">
        <x:v>2026-09-07</x:v>
      </x:c>
      <x:c r="I84" s="17" t="str">
        <x:v>2026-09-17</x:v>
      </x:c>
      <x:c r="J84" s="17" t="str">
        <x:v>모집중</x:v>
      </x:c>
      <x:c r="K84" s="17" t="str">
        <x:v>기타 채용</x:v>
      </x:c>
      <x:c r="L84" s="17" t="str">
        <x:v>검토</x:v>
      </x:c>
      <x:c r="M84" s="17" t="str">
        <x:v>제한 문구 미탐지</x:v>
      </x:c>
      <x:c r="N84" s="17" t="str">
        <x:v>기관 공고 원문 확인</x:v>
      </x:c>
      <x:c r="O84" s="17" t="str">
        <x:v>기관 공고 원문 확인</x:v>
      </x:c>
      <x:c r="P84" s="17" t="str">
        <x:v>기관 공고 원문 확인</x:v>
      </x:c>
      <x:c r="Q84" s="17" t="str">
        <x:v>기관 공고 원문 확인</x:v>
      </x:c>
      <x:c r="R84" s="17" t="str">
        <x:v>정상</x:v>
      </x:c>
      <x:c r="S84" s="18" t="str">
        <x:v>https://job.cleaneye.go.kr/user/ypRecruitment.do</x:v>
      </x:c>
      <x:c r="T84" s="1"/>
      <x:c r="U84" s="1"/>
      <x:c r="V84" s="1"/>
      <x:c r="W84" s="1"/>
      <x:c r="X84" s="1"/>
      <x:c r="Y84" s="1"/>
      <x:c r="Z84" s="1"/>
    </x:row>
    <x:row r="85" ht="50" customHeight="1">
      <x:c r="A85" s="17" t="n">
        <x:v>81</x:v>
      </x:c>
      <x:c r="B85" s="17" t="str">
        <x:v>부산광역시기장군도시관리공단</x:v>
      </x:c>
      <x:c r="C85" s="17" t="str">
        <x:v>부산광역시</x:v>
      </x:c>
      <x:c r="D85" s="17" t="str">
        <x:v>기장군도시관리공단 2026년 제5회 기간제근로자 공개채용 재공고</x:v>
      </x:c>
      <x:c r="E85" s="17" t="str">
        <x:v>신입+경력</x:v>
      </x:c>
      <x:c r="F85" s="17" t="str">
        <x:v>기간제</x:v>
      </x:c>
      <x:c r="G85" s="17" t="str">
        <x:v>명시 없음(원문 확인)</x:v>
      </x:c>
      <x:c r="H85" s="17" t="str">
        <x:v>2026-09-07</x:v>
      </x:c>
      <x:c r="I85" s="17" t="str">
        <x:v>2026-09-17</x:v>
      </x:c>
      <x:c r="J85" s="17" t="str">
        <x:v>모집중</x:v>
      </x:c>
      <x:c r="K85" s="17" t="str">
        <x:v>기간제·비정규</x:v>
      </x:c>
      <x:c r="L85" s="17" t="str">
        <x:v>검토</x:v>
      </x:c>
      <x:c r="M85" s="17" t="str">
        <x:v>제한 문구 미탐지</x:v>
      </x:c>
      <x:c r="N85" s="17" t="str">
        <x:v>기관 공고 원문 확인</x:v>
      </x:c>
      <x:c r="O85" s="17" t="str">
        <x:v>기관 공고 원문 확인</x:v>
      </x:c>
      <x:c r="P85" s="17" t="str">
        <x:v>기관 공고 원문 확인</x:v>
      </x:c>
      <x:c r="Q85" s="17" t="str">
        <x:v>기관 공고 원문 확인</x:v>
      </x:c>
      <x:c r="R85" s="17" t="str">
        <x:v>정상</x:v>
      </x:c>
      <x:c r="S85" s="18" t="str">
        <x:v>https://job.cleaneye.go.kr/user/ypRecruitment.do</x:v>
      </x:c>
      <x:c r="T85" s="1"/>
      <x:c r="U85" s="1"/>
      <x:c r="V85" s="1"/>
      <x:c r="W85" s="1"/>
      <x:c r="X85" s="1"/>
      <x:c r="Y85" s="1"/>
      <x:c r="Z85" s="1"/>
    </x:row>
    <x:row r="86" ht="50" customHeight="1">
      <x:c r="A86" s="17" t="n">
        <x:v>82</x:v>
      </x:c>
      <x:c r="B86" s="17" t="str">
        <x:v>대구중구도심재생문화재단</x:v>
      </x:c>
      <x:c r="C86" s="17" t="str">
        <x:v>대구광역시</x:v>
      </x:c>
      <x:c r="D86" s="17" t="str">
        <x:v>재) 대구광역시 중구 도심재생문화재단 2026년 소공인특화지원센터 공동인프라 장비운영 기간제근로자(매니저) 채용 공고</x:v>
      </x:c>
      <x:c r="E86" s="17" t="str">
        <x:v>신입+경력</x:v>
      </x:c>
      <x:c r="F86" s="17" t="str">
        <x:v>기간제</x:v>
      </x:c>
      <x:c r="G86" s="17" t="str">
        <x:v>명시 없음(원문 확인)</x:v>
      </x:c>
      <x:c r="H86" s="17" t="str">
        <x:v>2026-09-07</x:v>
      </x:c>
      <x:c r="I86" s="17" t="str">
        <x:v>2026-09-21</x:v>
      </x:c>
      <x:c r="J86" s="17" t="str">
        <x:v>모집중</x:v>
      </x:c>
      <x:c r="K86" s="17" t="str">
        <x:v>기간제·비정규</x:v>
      </x:c>
      <x:c r="L86" s="17" t="str">
        <x:v>검토</x:v>
      </x:c>
      <x:c r="M86" s="17" t="str">
        <x:v>제한 문구 미탐지</x:v>
      </x:c>
      <x:c r="N86" s="17" t="str">
        <x:v>기관 공고 원문 확인</x:v>
      </x:c>
      <x:c r="O86" s="17" t="str">
        <x:v>기관 공고 원문 확인</x:v>
      </x:c>
      <x:c r="P86" s="17" t="str">
        <x:v>기관 공고 원문 확인</x:v>
      </x:c>
      <x:c r="Q86" s="17" t="str">
        <x:v>기관 공고 원문 확인</x:v>
      </x:c>
      <x:c r="R86" s="17" t="str">
        <x:v>정상</x:v>
      </x:c>
      <x:c r="S86" s="18" t="str">
        <x:v>https://job.cleaneye.go.kr/user/ypRecruitment.do</x:v>
      </x:c>
      <x:c r="T86" s="1"/>
      <x:c r="U86" s="1"/>
      <x:c r="V86" s="1"/>
      <x:c r="W86" s="1"/>
      <x:c r="X86" s="1"/>
      <x:c r="Y86" s="1"/>
      <x:c r="Z86" s="1"/>
    </x:row>
    <x:row r="87" ht="50" customHeight="1">
      <x:c r="A87" s="17" t="n">
        <x:v>83</x:v>
      </x:c>
      <x:c r="B87" s="17" t="str">
        <x:v>의정부도시공사</x:v>
      </x:c>
      <x:c r="C87" s="17" t="str">
        <x:v>경기도</x:v>
      </x:c>
      <x:c r="D87" s="17" t="str">
        <x:v>2026년 제10회 생활체육처 기간제근로자 채용 공고</x:v>
      </x:c>
      <x:c r="E87" s="17" t="str">
        <x:v>신입</x:v>
      </x:c>
      <x:c r="F87" s="17" t="str">
        <x:v>기간제</x:v>
      </x:c>
      <x:c r="G87" s="17" t="str">
        <x:v>명시 없음(원문 확인)</x:v>
      </x:c>
      <x:c r="H87" s="17" t="str">
        <x:v>2026-09-07</x:v>
      </x:c>
      <x:c r="I87" s="17" t="str">
        <x:v>2026-09-11</x:v>
      </x:c>
      <x:c r="J87" s="17" t="str">
        <x:v>모집중</x:v>
      </x:c>
      <x:c r="K87" s="17" t="str">
        <x:v>기간제·비정규</x:v>
      </x:c>
      <x:c r="L87" s="17" t="str">
        <x:v>검토</x:v>
      </x:c>
      <x:c r="M87" s="17" t="str">
        <x:v>제한 문구 미탐지</x:v>
      </x:c>
      <x:c r="N87" s="17" t="str">
        <x:v>기관 공고 원문 확인</x:v>
      </x:c>
      <x:c r="O87" s="17" t="str">
        <x:v>기관 공고 원문 확인</x:v>
      </x:c>
      <x:c r="P87" s="17" t="str">
        <x:v>기관 공고 원문 확인</x:v>
      </x:c>
      <x:c r="Q87" s="17" t="str">
        <x:v>기관 공고 원문 확인</x:v>
      </x:c>
      <x:c r="R87" s="17" t="str">
        <x:v>정상</x:v>
      </x:c>
      <x:c r="S87" s="18" t="str">
        <x:v>https://job.cleaneye.go.kr/user/ypRecruitment.do</x:v>
      </x:c>
      <x:c r="T87" s="1"/>
      <x:c r="U87" s="1"/>
      <x:c r="V87" s="1"/>
      <x:c r="W87" s="1"/>
      <x:c r="X87" s="1"/>
      <x:c r="Y87" s="1"/>
      <x:c r="Z87" s="1"/>
    </x:row>
    <x:row r="88" ht="50" customHeight="1">
      <x:c r="A88" s="17" t="n">
        <x:v>84</x:v>
      </x:c>
      <x:c r="B88" s="17" t="str">
        <x:v>인천광역시연수구시설안전관리공단</x:v>
      </x:c>
      <x:c r="C88" s="17" t="str">
        <x:v>인천광역시</x:v>
      </x:c>
      <x:c r="D88" s="17" t="str">
        <x:v>2026년 제10회 체육사업팀 기간제근로자 채용 공고</x:v>
      </x:c>
      <x:c r="E88" s="17" t="str">
        <x:v>신입+경력</x:v>
      </x:c>
      <x:c r="F88" s="17" t="str">
        <x:v>기간제</x:v>
      </x:c>
      <x:c r="G88" s="17" t="str">
        <x:v>명시 없음(원문 확인)</x:v>
      </x:c>
      <x:c r="H88" s="17" t="str">
        <x:v>2026-09-07</x:v>
      </x:c>
      <x:c r="I88" s="17" t="str">
        <x:v>2026-09-11</x:v>
      </x:c>
      <x:c r="J88" s="17" t="str">
        <x:v>모집중</x:v>
      </x:c>
      <x:c r="K88" s="17" t="str">
        <x:v>기간제·비정규</x:v>
      </x:c>
      <x:c r="L88" s="17" t="str">
        <x:v>검토</x:v>
      </x:c>
      <x:c r="M88" s="17" t="str">
        <x:v>제한 문구 미탐지</x:v>
      </x:c>
      <x:c r="N88" s="17" t="str">
        <x:v>기관 공고 원문 확인</x:v>
      </x:c>
      <x:c r="O88" s="17" t="str">
        <x:v>기관 공고 원문 확인</x:v>
      </x:c>
      <x:c r="P88" s="17" t="str">
        <x:v>기관 공고 원문 확인</x:v>
      </x:c>
      <x:c r="Q88" s="17" t="str">
        <x:v>기관 공고 원문 확인</x:v>
      </x:c>
      <x:c r="R88" s="17" t="str">
        <x:v>정상</x:v>
      </x:c>
      <x:c r="S88" s="18" t="str">
        <x:v>https://job.cleaneye.go.kr/user/ypRecruitment.do</x:v>
      </x:c>
      <x:c r="T88" s="1"/>
      <x:c r="U88" s="1"/>
      <x:c r="V88" s="1"/>
      <x:c r="W88" s="1"/>
      <x:c r="X88" s="1"/>
      <x:c r="Y88" s="1"/>
      <x:c r="Z88" s="1"/>
    </x:row>
    <x:row r="89" ht="50" customHeight="1">
      <x:c r="A89" s="17" t="n">
        <x:v>85</x:v>
      </x:c>
      <x:c r="B89" s="17" t="str">
        <x:v>남양주도시공사</x:v>
      </x:c>
      <x:c r="C89" s="17" t="str">
        <x:v>경기도</x:v>
      </x:c>
      <x:c r="D89" s="17" t="str">
        <x:v>남양주도시공사 기간제근로자（시간강사） 공개경쟁채용 재공고</x:v>
      </x:c>
      <x:c r="E89" s="17" t="str">
        <x:v>신입+경력</x:v>
      </x:c>
      <x:c r="F89" s="17" t="str">
        <x:v>기간제</x:v>
      </x:c>
      <x:c r="G89" s="17" t="str">
        <x:v>명시 없음(원문 확인)</x:v>
      </x:c>
      <x:c r="H89" s="17" t="str">
        <x:v>2026-09-07</x:v>
      </x:c>
      <x:c r="I89" s="17" t="str">
        <x:v>2026-09-14</x:v>
      </x:c>
      <x:c r="J89" s="17" t="str">
        <x:v>모집중</x:v>
      </x:c>
      <x:c r="K89" s="17" t="str">
        <x:v>기간제·비정규</x:v>
      </x:c>
      <x:c r="L89" s="17" t="str">
        <x:v>검토</x:v>
      </x:c>
      <x:c r="M89" s="17" t="str">
        <x:v>제한 문구 미탐지</x:v>
      </x:c>
      <x:c r="N89" s="17" t="str">
        <x:v>기관 공고 원문 확인</x:v>
      </x:c>
      <x:c r="O89" s="17" t="str">
        <x:v>기관 공고 원문 확인</x:v>
      </x:c>
      <x:c r="P89" s="17" t="str">
        <x:v>기관 공고 원문 확인</x:v>
      </x:c>
      <x:c r="Q89" s="17" t="str">
        <x:v>기관 공고 원문 확인</x:v>
      </x:c>
      <x:c r="R89" s="17" t="str">
        <x:v>정상</x:v>
      </x:c>
      <x:c r="S89" s="18" t="str">
        <x:v>https://job.cleaneye.go.kr/user/ypRecruitment.do</x:v>
      </x:c>
      <x:c r="T89" s="1"/>
      <x:c r="U89" s="1"/>
      <x:c r="V89" s="1"/>
      <x:c r="W89" s="1"/>
      <x:c r="X89" s="1"/>
      <x:c r="Y89" s="1"/>
      <x:c r="Z89" s="1"/>
    </x:row>
    <x:row r="90" ht="50" customHeight="1">
      <x:c r="A90" s="17" t="n">
        <x:v>86</x:v>
      </x:c>
      <x:c r="B90" s="17" t="str">
        <x:v>재단법인 창녕양파앤마늘식품연구원</x:v>
      </x:c>
      <x:c r="C90" s="17" t="str">
        <x:v>경상남도</x:v>
      </x:c>
      <x:c r="D90" s="17" t="str">
        <x:v>(재)창녕양파앤마늘식품연구원 2026년도 연구원 채용 공고</x:v>
      </x:c>
      <x:c r="E90" s="17" t="str">
        <x:v>신입+경력</x:v>
      </x:c>
      <x:c r="F90" s="17" t="str">
        <x:v>일반정규직</x:v>
      </x:c>
      <x:c r="G90" s="17" t="str">
        <x:v>명시 없음(원문 확인)</x:v>
      </x:c>
      <x:c r="H90" s="17" t="str">
        <x:v>2026-09-07</x:v>
      </x:c>
      <x:c r="I90" s="17" t="str">
        <x:v>2026-09-14</x:v>
      </x:c>
      <x:c r="J90" s="17" t="str">
        <x:v>모집중</x:v>
      </x:c>
      <x:c r="K90" s="17" t="str">
        <x:v>정규직(세부 확인)</x:v>
      </x:c>
      <x:c r="L90" s="17" t="str">
        <x:v>검토</x:v>
      </x:c>
      <x:c r="M90" s="17" t="str">
        <x:v>제한 문구 미탐지</x:v>
      </x:c>
      <x:c r="N90" s="17" t="str">
        <x:v>기관 공고 원문 확인</x:v>
      </x:c>
      <x:c r="O90" s="17" t="str">
        <x:v>기관 공고 원문 확인</x:v>
      </x:c>
      <x:c r="P90" s="17" t="str">
        <x:v>기관 공고 원문 확인</x:v>
      </x:c>
      <x:c r="Q90" s="17" t="str">
        <x:v>기관 공고 원문 확인</x:v>
      </x:c>
      <x:c r="R90" s="17" t="str">
        <x:v>정상</x:v>
      </x:c>
      <x:c r="S90" s="18" t="str">
        <x:v>https://job.cleaneye.go.kr/user/ypRecruitment.do</x:v>
      </x:c>
      <x:c r="T90" s="1"/>
      <x:c r="U90" s="1"/>
      <x:c r="V90" s="1"/>
      <x:c r="W90" s="1"/>
      <x:c r="X90" s="1"/>
      <x:c r="Y90" s="1"/>
      <x:c r="Z90" s="1"/>
    </x:row>
    <x:row r="91" ht="50" customHeight="1">
      <x:c r="A91" s="17" t="n">
        <x:v>87</x:v>
      </x:c>
      <x:c r="B91" s="17" t="str">
        <x:v>재단법인 광주광역시 사회서비스원</x:v>
      </x:c>
      <x:c r="C91" s="17" t="str"/>
      <x:c r="D91" s="17" t="str">
        <x:v>2026년 제10차 소속시설 직원채용 공고</x:v>
      </x:c>
      <x:c r="E91" s="17" t="str">
        <x:v>신입+경력</x:v>
      </x:c>
      <x:c r="F91" s="17" t="str">
        <x:v>일반정규직</x:v>
      </x:c>
      <x:c r="G91" s="17" t="str">
        <x:v>명시 없음(원문 확인)</x:v>
      </x:c>
      <x:c r="H91" s="17" t="str">
        <x:v>2026-09-07</x:v>
      </x:c>
      <x:c r="I91" s="17" t="str">
        <x:v>2026-09-11</x:v>
      </x:c>
      <x:c r="J91" s="17" t="str">
        <x:v>모집중</x:v>
      </x:c>
      <x:c r="K91" s="17" t="str">
        <x:v>정규직(세부 확인)</x:v>
      </x:c>
      <x:c r="L91" s="17" t="str">
        <x:v>검토</x:v>
      </x:c>
      <x:c r="M91" s="17" t="str">
        <x:v>제한 문구 미탐지</x:v>
      </x:c>
      <x:c r="N91" s="17" t="str">
        <x:v>기관 공고 원문 확인</x:v>
      </x:c>
      <x:c r="O91" s="17" t="str">
        <x:v>기관 공고 원문 확인</x:v>
      </x:c>
      <x:c r="P91" s="17" t="str">
        <x:v>기관 공고 원문 확인</x:v>
      </x:c>
      <x:c r="Q91" s="17" t="str">
        <x:v>기관 공고 원문 확인</x:v>
      </x:c>
      <x:c r="R91" s="17" t="str">
        <x:v>정상</x:v>
      </x:c>
      <x:c r="S91" s="18" t="str">
        <x:v>https://job.cleaneye.go.kr/user/ypRecruitment.do</x:v>
      </x:c>
      <x:c r="T91" s="1"/>
      <x:c r="U91" s="1"/>
      <x:c r="V91" s="1"/>
      <x:c r="W91" s="1"/>
      <x:c r="X91" s="1"/>
      <x:c r="Y91" s="1"/>
      <x:c r="Z91" s="1"/>
    </x:row>
    <x:row r="92" ht="50" customHeight="1">
      <x:c r="A92" s="17" t="n">
        <x:v>88</x:v>
      </x:c>
      <x:c r="B92" s="17" t="str">
        <x:v>인천시설공단</x:v>
      </x:c>
      <x:c r="C92" s="17" t="str">
        <x:v>인천광역시</x:v>
      </x:c>
      <x:c r="D92" s="17" t="str">
        <x:v>청사관리 기간제근로자 채용(26-03) 공고</x:v>
      </x:c>
      <x:c r="E92" s="17" t="str">
        <x:v>신입</x:v>
      </x:c>
      <x:c r="F92" s="17" t="str">
        <x:v>기간제</x:v>
      </x:c>
      <x:c r="G92" s="17" t="str">
        <x:v>명시 없음(원문 확인)</x:v>
      </x:c>
      <x:c r="H92" s="17" t="str">
        <x:v>2026-09-07</x:v>
      </x:c>
      <x:c r="I92" s="17" t="str">
        <x:v>2026-09-11</x:v>
      </x:c>
      <x:c r="J92" s="17" t="str">
        <x:v>모집중</x:v>
      </x:c>
      <x:c r="K92" s="17" t="str">
        <x:v>기간제·비정규</x:v>
      </x:c>
      <x:c r="L92" s="17" t="str">
        <x:v>검토</x:v>
      </x:c>
      <x:c r="M92" s="17" t="str">
        <x:v>제한 문구 미탐지</x:v>
      </x:c>
      <x:c r="N92" s="17" t="str">
        <x:v>기관 공고 원문 확인</x:v>
      </x:c>
      <x:c r="O92" s="17" t="str">
        <x:v>기관 공고 원문 확인</x:v>
      </x:c>
      <x:c r="P92" s="17" t="str">
        <x:v>기관 공고 원문 확인</x:v>
      </x:c>
      <x:c r="Q92" s="17" t="str">
        <x:v>기관 공고 원문 확인</x:v>
      </x:c>
      <x:c r="R92" s="17" t="str">
        <x:v>정상</x:v>
      </x:c>
      <x:c r="S92" s="18" t="str">
        <x:v>https://job.cleaneye.go.kr/user/ypRecruitment.do</x:v>
      </x:c>
      <x:c r="T92" s="1"/>
      <x:c r="U92" s="1"/>
      <x:c r="V92" s="1"/>
      <x:c r="W92" s="1"/>
      <x:c r="X92" s="1"/>
      <x:c r="Y92" s="1"/>
      <x:c r="Z92" s="1"/>
    </x:row>
    <x:row r="93" ht="50" customHeight="1">
      <x:c r="A93" s="17" t="n">
        <x:v>89</x:v>
      </x:c>
      <x:c r="B93" s="17" t="str">
        <x:v>재단법인 구리시상권활성화재단</x:v>
      </x:c>
      <x:c r="C93" s="17" t="str">
        <x:v>경기도</x:v>
      </x:c>
      <x:c r="D93" s="17" t="str">
        <x:v>구리시상권활성화재단 2026년 제3차 기간제(로컬테마상권 조성사업) 직원 채용 재공고</x:v>
      </x:c>
      <x:c r="E93" s="17" t="str">
        <x:v>신입+경력</x:v>
      </x:c>
      <x:c r="F93" s="17" t="str">
        <x:v>기간제</x:v>
      </x:c>
      <x:c r="G93" s="17" t="str">
        <x:v>명시 없음(원문 확인)</x:v>
      </x:c>
      <x:c r="H93" s="17" t="str">
        <x:v>2026-09-07</x:v>
      </x:c>
      <x:c r="I93" s="17" t="str">
        <x:v>2026-09-11</x:v>
      </x:c>
      <x:c r="J93" s="17" t="str">
        <x:v>모집중</x:v>
      </x:c>
      <x:c r="K93" s="17" t="str">
        <x:v>기간제·비정규</x:v>
      </x:c>
      <x:c r="L93" s="17" t="str">
        <x:v>검토</x:v>
      </x:c>
      <x:c r="M93" s="17" t="str">
        <x:v>제한 문구 미탐지</x:v>
      </x:c>
      <x:c r="N93" s="17" t="str">
        <x:v>기관 공고 원문 확인</x:v>
      </x:c>
      <x:c r="O93" s="17" t="str">
        <x:v>기관 공고 원문 확인</x:v>
      </x:c>
      <x:c r="P93" s="17" t="str">
        <x:v>기관 공고 원문 확인</x:v>
      </x:c>
      <x:c r="Q93" s="17" t="str">
        <x:v>기관 공고 원문 확인</x:v>
      </x:c>
      <x:c r="R93" s="17" t="str">
        <x:v>정상</x:v>
      </x:c>
      <x:c r="S93" s="18" t="str">
        <x:v>https://job.cleaneye.go.kr/user/ypRecruitment.do</x:v>
      </x:c>
      <x:c r="T93" s="1"/>
      <x:c r="U93" s="1"/>
      <x:c r="V93" s="1"/>
      <x:c r="W93" s="1"/>
      <x:c r="X93" s="1"/>
      <x:c r="Y93" s="1"/>
      <x:c r="Z93" s="1"/>
    </x:row>
    <x:row r="94" ht="50" customHeight="1">
      <x:c r="A94" s="17" t="n">
        <x:v>90</x:v>
      </x:c>
      <x:c r="B94" s="17" t="str">
        <x:v>태백시시설관리공단</x:v>
      </x:c>
      <x:c r="C94" s="17" t="str">
        <x:v>강원특별자치도</x:v>
      </x:c>
      <x:c r="D94" s="17" t="str">
        <x:v>태백시시설관리공단 이사장 공개모집</x:v>
      </x:c>
      <x:c r="E94" s="17" t="str">
        <x:v>신입+경력</x:v>
      </x:c>
      <x:c r="F94" s="17" t="str">
        <x:v>비상임</x:v>
      </x:c>
      <x:c r="G94" s="17" t="str">
        <x:v>명시 없음(원문 확인)</x:v>
      </x:c>
      <x:c r="H94" s="17" t="str">
        <x:v>2026-09-07</x:v>
      </x:c>
      <x:c r="I94" s="17" t="str">
        <x:v>2026-09-16</x:v>
      </x:c>
      <x:c r="J94" s="17" t="str">
        <x:v>모집중</x:v>
      </x:c>
      <x:c r="K94" s="17" t="str">
        <x:v>기타 채용</x:v>
      </x:c>
      <x:c r="L94" s="17" t="str">
        <x:v>세부조건 확인</x:v>
      </x:c>
      <x:c r="M94" s="17" t="str">
        <x:v>제한 문구 미탐지</x:v>
      </x:c>
      <x:c r="N94" s="17" t="str">
        <x:v>기관 공고 원문 확인</x:v>
      </x:c>
      <x:c r="O94" s="17" t="str">
        <x:v>기관 공고 원문 확인</x:v>
      </x:c>
      <x:c r="P94" s="17" t="str">
        <x:v>기관 공고 원문 확인</x:v>
      </x:c>
      <x:c r="Q94" s="17" t="str">
        <x:v>기관 공고 원문 확인</x:v>
      </x:c>
      <x:c r="R94" s="17" t="str">
        <x:v>정상</x:v>
      </x:c>
      <x:c r="S94" s="18" t="str">
        <x:v>https://job.cleaneye.go.kr/user/ypRecruitment.do</x:v>
      </x:c>
      <x:c r="T94" s="1"/>
      <x:c r="U94" s="1"/>
      <x:c r="V94" s="1"/>
      <x:c r="W94" s="1"/>
      <x:c r="X94" s="1"/>
      <x:c r="Y94" s="1"/>
      <x:c r="Z94" s="1"/>
    </x:row>
    <x:row r="95" ht="50" customHeight="1">
      <x:c r="A95" s="17" t="n">
        <x:v>91</x:v>
      </x:c>
      <x:c r="B95" s="17" t="str">
        <x:v>남양주도시공사</x:v>
      </x:c>
      <x:c r="C95" s="17" t="str">
        <x:v>경기도</x:v>
      </x:c>
      <x:c r="D95" s="17" t="str">
        <x:v>남양주도시공사 2026년도 제22회 기간제근로자 공개경쟁채용 공고</x:v>
      </x:c>
      <x:c r="E95" s="17" t="str">
        <x:v>신입+경력</x:v>
      </x:c>
      <x:c r="F95" s="17" t="str">
        <x:v>기간제</x:v>
      </x:c>
      <x:c r="G95" s="17" t="str">
        <x:v>명시 없음(원문 확인)</x:v>
      </x:c>
      <x:c r="H95" s="17" t="str">
        <x:v>2026-09-07</x:v>
      </x:c>
      <x:c r="I95" s="17" t="str">
        <x:v>2026-09-14</x:v>
      </x:c>
      <x:c r="J95" s="17" t="str">
        <x:v>모집중</x:v>
      </x:c>
      <x:c r="K95" s="17" t="str">
        <x:v>기간제·비정규</x:v>
      </x:c>
      <x:c r="L95" s="17" t="str">
        <x:v>검토</x:v>
      </x:c>
      <x:c r="M95" s="17" t="str">
        <x:v>제한 문구 미탐지</x:v>
      </x:c>
      <x:c r="N95" s="17" t="str">
        <x:v>기관 공고 원문 확인</x:v>
      </x:c>
      <x:c r="O95" s="17" t="str">
        <x:v>기관 공고 원문 확인</x:v>
      </x:c>
      <x:c r="P95" s="17" t="str">
        <x:v>기관 공고 원문 확인</x:v>
      </x:c>
      <x:c r="Q95" s="17" t="str">
        <x:v>기관 공고 원문 확인</x:v>
      </x:c>
      <x:c r="R95" s="17" t="str">
        <x:v>정상</x:v>
      </x:c>
      <x:c r="S95" s="18" t="str">
        <x:v>https://job.cleaneye.go.kr/user/ypRecruitment.do</x:v>
      </x:c>
      <x:c r="T95" s="1"/>
      <x:c r="U95" s="1"/>
      <x:c r="V95" s="1"/>
      <x:c r="W95" s="1"/>
      <x:c r="X95" s="1"/>
      <x:c r="Y95" s="1"/>
      <x:c r="Z95" s="1"/>
    </x:row>
    <x:row r="96" ht="50" customHeight="1">
      <x:c r="A96" s="17" t="n">
        <x:v>92</x:v>
      </x:c>
      <x:c r="B96" s="17" t="str">
        <x:v>울산시설공단</x:v>
      </x:c>
      <x:c r="C96" s="17" t="str">
        <x:v>울산광역시</x:v>
      </x:c>
      <x:c r="D96" s="17" t="str">
        <x:v>2026년 울산시설공단 공원운영팀 수영장안전관리 기간제(단시간)근로자 채용 공고</x:v>
      </x:c>
      <x:c r="E96" s="17" t="str">
        <x:v>신입</x:v>
      </x:c>
      <x:c r="F96" s="17" t="str">
        <x:v>기간제</x:v>
      </x:c>
      <x:c r="G96" s="17" t="str">
        <x:v>울산광역시</x:v>
      </x:c>
      <x:c r="H96" s="17" t="str">
        <x:v>2026-09-07</x:v>
      </x:c>
      <x:c r="I96" s="17" t="str">
        <x:v>2026-09-11</x:v>
      </x:c>
      <x:c r="J96" s="17" t="str">
        <x:v>모집중</x:v>
      </x:c>
      <x:c r="K96" s="17" t="str">
        <x:v>기간제·비정규</x:v>
      </x:c>
      <x:c r="L96" s="17" t="str">
        <x:v>검토</x:v>
      </x:c>
      <x:c r="M96" s="17" t="str">
        <x:v>제한 문구 미탐지</x:v>
      </x:c>
      <x:c r="N96" s="17" t="str">
        <x:v>기관 공고 원문 확인</x:v>
      </x:c>
      <x:c r="O96" s="17" t="str">
        <x:v>기관 공고 원문 확인</x:v>
      </x:c>
      <x:c r="P96" s="17" t="str">
        <x:v>기관 공고 원문 확인</x:v>
      </x:c>
      <x:c r="Q96" s="17" t="str">
        <x:v>기관 공고 원문 확인</x:v>
      </x:c>
      <x:c r="R96" s="17" t="str">
        <x:v>정상</x:v>
      </x:c>
      <x:c r="S96" s="18" t="str">
        <x:v>https://job.cleaneye.go.kr/user/ypRecruitment.do</x:v>
      </x:c>
      <x:c r="T96" s="1"/>
      <x:c r="U96" s="1"/>
      <x:c r="V96" s="1"/>
      <x:c r="W96" s="1"/>
      <x:c r="X96" s="1"/>
      <x:c r="Y96" s="1"/>
      <x:c r="Z96" s="1"/>
    </x:row>
    <x:row r="97" ht="50" customHeight="1">
      <x:c r="A97" s="17" t="n">
        <x:v>93</x:v>
      </x:c>
      <x:c r="B97" s="17" t="str">
        <x:v>재단법인 천안시청소년재단</x:v>
      </x:c>
      <x:c r="C97" s="17" t="str">
        <x:v>충청남도</x:v>
      </x:c>
      <x:c r="D97" s="17" t="str">
        <x:v>천안시청소년재단 2026년 제5회 기간제·단시간 근로자 채용 공고</x:v>
      </x:c>
      <x:c r="E97" s="17" t="str">
        <x:v>신입+경력</x:v>
      </x:c>
      <x:c r="F97" s="17" t="str">
        <x:v>기간제</x:v>
      </x:c>
      <x:c r="G97" s="17" t="str">
        <x:v>명시 없음(원문 확인)</x:v>
      </x:c>
      <x:c r="H97" s="17" t="str">
        <x:v>2026-09-07</x:v>
      </x:c>
      <x:c r="I97" s="17" t="str">
        <x:v>2026-09-11</x:v>
      </x:c>
      <x:c r="J97" s="17" t="str">
        <x:v>모집중</x:v>
      </x:c>
      <x:c r="K97" s="17" t="str">
        <x:v>기간제·비정규</x:v>
      </x:c>
      <x:c r="L97" s="17" t="str">
        <x:v>검토</x:v>
      </x:c>
      <x:c r="M97" s="17" t="str">
        <x:v>제한 문구 미탐지</x:v>
      </x:c>
      <x:c r="N97" s="17" t="str">
        <x:v>기관 공고 원문 확인</x:v>
      </x:c>
      <x:c r="O97" s="17" t="str">
        <x:v>기관 공고 원문 확인</x:v>
      </x:c>
      <x:c r="P97" s="17" t="str">
        <x:v>기관 공고 원문 확인</x:v>
      </x:c>
      <x:c r="Q97" s="17" t="str">
        <x:v>기관 공고 원문 확인</x:v>
      </x:c>
      <x:c r="R97" s="17" t="str">
        <x:v>정상</x:v>
      </x:c>
      <x:c r="S97" s="18" t="str">
        <x:v>https://job.cleaneye.go.kr/user/ypRecruitment.do</x:v>
      </x:c>
      <x:c r="T97" s="1"/>
      <x:c r="U97" s="1"/>
      <x:c r="V97" s="1"/>
      <x:c r="W97" s="1"/>
      <x:c r="X97" s="1"/>
      <x:c r="Y97" s="1"/>
      <x:c r="Z97" s="1"/>
    </x:row>
    <x:row r="98" ht="50" customHeight="1">
      <x:c r="A98" s="17" t="n">
        <x:v>94</x:v>
      </x:c>
      <x:c r="B98" s="17" t="str">
        <x:v>인천광역시연수구시설안전관리공단</x:v>
      </x:c>
      <x:c r="C98" s="17" t="str">
        <x:v>인천광역시</x:v>
      </x:c>
      <x:c r="D98" s="17" t="str">
        <x:v>2026년 제11회 송도체육센터 시간 강사 채용 공고</x:v>
      </x:c>
      <x:c r="E98" s="17" t="str">
        <x:v>신입+경력</x:v>
      </x:c>
      <x:c r="F98" s="17" t="str">
        <x:v>기간제</x:v>
      </x:c>
      <x:c r="G98" s="17" t="str">
        <x:v>명시 없음(원문 확인)</x:v>
      </x:c>
      <x:c r="H98" s="17" t="str">
        <x:v>2026-09-07</x:v>
      </x:c>
      <x:c r="I98" s="17" t="str">
        <x:v>2026-09-11</x:v>
      </x:c>
      <x:c r="J98" s="17" t="str">
        <x:v>모집중</x:v>
      </x:c>
      <x:c r="K98" s="17" t="str">
        <x:v>기간제·비정규</x:v>
      </x:c>
      <x:c r="L98" s="17" t="str">
        <x:v>검토</x:v>
      </x:c>
      <x:c r="M98" s="17" t="str">
        <x:v>제한 문구 미탐지</x:v>
      </x:c>
      <x:c r="N98" s="17" t="str">
        <x:v>기관 공고 원문 확인</x:v>
      </x:c>
      <x:c r="O98" s="17" t="str">
        <x:v>기관 공고 원문 확인</x:v>
      </x:c>
      <x:c r="P98" s="17" t="str">
        <x:v>기관 공고 원문 확인</x:v>
      </x:c>
      <x:c r="Q98" s="17" t="str">
        <x:v>기관 공고 원문 확인</x:v>
      </x:c>
      <x:c r="R98" s="17" t="str">
        <x:v>정상</x:v>
      </x:c>
      <x:c r="S98" s="18" t="str">
        <x:v>https://job.cleaneye.go.kr/user/ypRecruitment.do</x:v>
      </x:c>
      <x:c r="T98" s="1"/>
      <x:c r="U98" s="1"/>
      <x:c r="V98" s="1"/>
      <x:c r="W98" s="1"/>
      <x:c r="X98" s="1"/>
      <x:c r="Y98" s="1"/>
      <x:c r="Z98" s="1"/>
    </x:row>
    <x:row r="99" ht="50" customHeight="1">
      <x:c r="A99" s="17" t="n">
        <x:v>95</x:v>
      </x:c>
      <x:c r="B99" s="17" t="str">
        <x:v>강원특별자치도강릉의료원</x:v>
      </x:c>
      <x:c r="C99" s="17" t="str">
        <x:v>강원특별자치도</x:v>
      </x:c>
      <x:c r="D99" s="17" t="str">
        <x:v>공고2026-66호 기간제 물리치료사(육아휴직대체)</x:v>
      </x:c>
      <x:c r="E99" s="17" t="str">
        <x:v>신입+경력</x:v>
      </x:c>
      <x:c r="F99" s="17" t="str">
        <x:v>기간제</x:v>
      </x:c>
      <x:c r="G99" s="17" t="str">
        <x:v>명시 없음(원문 확인)</x:v>
      </x:c>
      <x:c r="H99" s="17" t="str">
        <x:v>2026-09-05</x:v>
      </x:c>
      <x:c r="I99" s="17" t="str">
        <x:v>2026-09-14</x:v>
      </x:c>
      <x:c r="J99" s="17" t="str">
        <x:v>모집중</x:v>
      </x:c>
      <x:c r="K99" s="17" t="str">
        <x:v>기간제·비정규</x:v>
      </x:c>
      <x:c r="L99" s="17" t="str">
        <x:v>검토</x:v>
      </x:c>
      <x:c r="M99" s="17" t="str">
        <x:v>제한 문구 미탐지</x:v>
      </x:c>
      <x:c r="N99" s="17" t="str">
        <x:v>기관 공고 원문 확인</x:v>
      </x:c>
      <x:c r="O99" s="17" t="str">
        <x:v>기관 공고 원문 확인</x:v>
      </x:c>
      <x:c r="P99" s="17" t="str">
        <x:v>기관 공고 원문 확인</x:v>
      </x:c>
      <x:c r="Q99" s="17" t="str">
        <x:v>기관 공고 원문 확인</x:v>
      </x:c>
      <x:c r="R99" s="17" t="str">
        <x:v>정상</x:v>
      </x:c>
      <x:c r="S99" s="18" t="str">
        <x:v>https://job.cleaneye.go.kr/user/ypRecruitment.do</x:v>
      </x:c>
      <x:c r="T99" s="1"/>
      <x:c r="U99" s="1"/>
      <x:c r="V99" s="1"/>
      <x:c r="W99" s="1"/>
      <x:c r="X99" s="1"/>
      <x:c r="Y99" s="1"/>
      <x:c r="Z99" s="1"/>
    </x:row>
    <x:row r="100" ht="50" customHeight="1">
      <x:c r="A100" s="17" t="n">
        <x:v>96</x:v>
      </x:c>
      <x:c r="B100" s="17" t="str">
        <x:v>강원특별자치도강릉의료원</x:v>
      </x:c>
      <x:c r="C100" s="17" t="str">
        <x:v>강원특별자치도</x:v>
      </x:c>
      <x:c r="D100" s="17" t="str">
        <x:v>공고2026-66호 기간제 간호사(육아휴직대체) 채용 공고</x:v>
      </x:c>
      <x:c r="E100" s="17" t="str">
        <x:v>신입+경력</x:v>
      </x:c>
      <x:c r="F100" s="17" t="str">
        <x:v>기간제</x:v>
      </x:c>
      <x:c r="G100" s="17" t="str">
        <x:v>명시 없음(원문 확인)</x:v>
      </x:c>
      <x:c r="H100" s="17" t="str">
        <x:v>2026-09-05</x:v>
      </x:c>
      <x:c r="I100" s="17" t="str">
        <x:v>2026-09-14</x:v>
      </x:c>
      <x:c r="J100" s="17" t="str">
        <x:v>모집중</x:v>
      </x:c>
      <x:c r="K100" s="17" t="str">
        <x:v>경력·전문직</x:v>
      </x:c>
      <x:c r="L100" s="17" t="str">
        <x:v>경력·전문 우선</x:v>
      </x:c>
      <x:c r="M100" s="17" t="str">
        <x:v>제한 문구 미탐지</x:v>
      </x:c>
      <x:c r="N100" s="17" t="str">
        <x:v>기관 공고 원문 확인</x:v>
      </x:c>
      <x:c r="O100" s="17" t="str">
        <x:v>기관 공고 원문 확인</x:v>
      </x:c>
      <x:c r="P100" s="17" t="str">
        <x:v>기관 공고 원문 확인</x:v>
      </x:c>
      <x:c r="Q100" s="17" t="str">
        <x:v>기관 공고 원문 확인</x:v>
      </x:c>
      <x:c r="R100" s="17" t="str">
        <x:v>정상</x:v>
      </x:c>
      <x:c r="S100" s="18" t="str">
        <x:v>https://job.cleaneye.go.kr/user/ypRecruitment.do</x:v>
      </x:c>
      <x:c r="T100" s="1"/>
      <x:c r="U100" s="1"/>
      <x:c r="V100" s="1"/>
      <x:c r="W100" s="1"/>
      <x:c r="X100" s="1"/>
      <x:c r="Y100" s="1"/>
      <x:c r="Z100" s="1"/>
    </x:row>
    <x:row r="101" ht="50" customHeight="1">
      <x:c r="A101" s="17" t="n">
        <x:v>97</x:v>
      </x:c>
      <x:c r="B101" s="17" t="str">
        <x:v>강원특별자치도강릉의료원</x:v>
      </x:c>
      <x:c r="C101" s="17" t="str">
        <x:v>강원특별자치도</x:v>
      </x:c>
      <x:c r="D101" s="17" t="str">
        <x:v>공고2026-66호 간호직 7급 간호사(수술 진료지원)</x:v>
      </x:c>
      <x:c r="E101" s="17" t="str">
        <x:v>경력</x:v>
      </x:c>
      <x:c r="F101" s="17" t="str">
        <x:v>일반정규직</x:v>
      </x:c>
      <x:c r="G101" s="17" t="str">
        <x:v>명시 없음(원문 확인)</x:v>
      </x:c>
      <x:c r="H101" s="17" t="str">
        <x:v>2026-09-05</x:v>
      </x:c>
      <x:c r="I101" s="17" t="str">
        <x:v>2026-09-14</x:v>
      </x:c>
      <x:c r="J101" s="17" t="str">
        <x:v>모집중</x:v>
      </x:c>
      <x:c r="K101" s="17" t="str">
        <x:v>경력·전문직</x:v>
      </x:c>
      <x:c r="L101" s="17" t="str">
        <x:v>경력·전문 우선</x:v>
      </x:c>
      <x:c r="M101" s="17" t="str">
        <x:v>제한 문구 미탐지</x:v>
      </x:c>
      <x:c r="N101" s="17" t="str">
        <x:v>기관 공고 원문 확인</x:v>
      </x:c>
      <x:c r="O101" s="17" t="str">
        <x:v>기관 공고 원문 확인</x:v>
      </x:c>
      <x:c r="P101" s="17" t="str">
        <x:v>기관 공고 원문 확인</x:v>
      </x:c>
      <x:c r="Q101" s="17" t="str">
        <x:v>기관 공고 원문 확인</x:v>
      </x:c>
      <x:c r="R101" s="17" t="str">
        <x:v>정상</x:v>
      </x:c>
      <x:c r="S101" s="18" t="str">
        <x:v>https://job.cleaneye.go.kr/user/ypRecruitment.do</x:v>
      </x:c>
      <x:c r="T101" s="1"/>
      <x:c r="U101" s="1"/>
      <x:c r="V101" s="1"/>
      <x:c r="W101" s="1"/>
      <x:c r="X101" s="1"/>
      <x:c r="Y101" s="1"/>
      <x:c r="Z101" s="1"/>
    </x:row>
    <x:row r="102" ht="50" customHeight="1">
      <x:c r="A102" s="17" t="n">
        <x:v>98</x:v>
      </x:c>
      <x:c r="B102" s="17" t="str">
        <x:v>경상북도포항의료원</x:v>
      </x:c>
      <x:c r="C102" s="17" t="str">
        <x:v>경상북도</x:v>
      </x:c>
      <x:c r="D102" s="17" t="str">
        <x:v>경상북도포항의료원 간호사, 출산 및 육아휴직 대체 심사간호사 모집</x:v>
      </x:c>
      <x:c r="E102" s="17" t="str">
        <x:v>신입+경력</x:v>
      </x:c>
      <x:c r="F102" s="17" t="str">
        <x:v>일반정규직</x:v>
      </x:c>
      <x:c r="G102" s="17" t="str">
        <x:v>명시 없음(원문 확인)</x:v>
      </x:c>
      <x:c r="H102" s="17" t="str">
        <x:v>2026-09-05</x:v>
      </x:c>
      <x:c r="I102" s="17" t="str">
        <x:v>2026-09-14</x:v>
      </x:c>
      <x:c r="J102" s="17" t="str">
        <x:v>모집중</x:v>
      </x:c>
      <x:c r="K102" s="17" t="str">
        <x:v>경력·전문직</x:v>
      </x:c>
      <x:c r="L102" s="17" t="str">
        <x:v>경력·전문 우선</x:v>
      </x:c>
      <x:c r="M102" s="17" t="str">
        <x:v>제한 문구 미탐지</x:v>
      </x:c>
      <x:c r="N102" s="17" t="str">
        <x:v>기관 공고 원문 확인</x:v>
      </x:c>
      <x:c r="O102" s="17" t="str">
        <x:v>기관 공고 원문 확인</x:v>
      </x:c>
      <x:c r="P102" s="17" t="str">
        <x:v>기관 공고 원문 확인</x:v>
      </x:c>
      <x:c r="Q102" s="17" t="str">
        <x:v>기관 공고 원문 확인</x:v>
      </x:c>
      <x:c r="R102" s="17" t="str">
        <x:v>정상</x:v>
      </x:c>
      <x:c r="S102" s="18" t="str">
        <x:v>https://job.cleaneye.go.kr/user/ypRecruitment.do</x:v>
      </x:c>
      <x:c r="T102" s="1"/>
      <x:c r="U102" s="1"/>
      <x:c r="V102" s="1"/>
      <x:c r="W102" s="1"/>
      <x:c r="X102" s="1"/>
      <x:c r="Y102" s="1"/>
      <x:c r="Z102" s="1"/>
    </x:row>
    <x:row r="103" ht="50" customHeight="1">
      <x:c r="A103" s="17" t="n">
        <x:v>99</x:v>
      </x:c>
      <x:c r="B103" s="17" t="str">
        <x:v>강원특별자치도강릉의료원</x:v>
      </x:c>
      <x:c r="C103" s="17" t="str">
        <x:v>강원특별자치도</x:v>
      </x:c>
      <x:c r="D103" s="17" t="str">
        <x:v>공고2026-66호 기간제 의료보조원(장애인 등록증 소지자)</x:v>
      </x:c>
      <x:c r="E103" s="17" t="str">
        <x:v>신입+경력</x:v>
      </x:c>
      <x:c r="F103" s="17" t="str">
        <x:v>기간제</x:v>
      </x:c>
      <x:c r="G103" s="17" t="str">
        <x:v>명시 없음(원문 확인)</x:v>
      </x:c>
      <x:c r="H103" s="17" t="str">
        <x:v>2026-09-05</x:v>
      </x:c>
      <x:c r="I103" s="17" t="str">
        <x:v>2026-09-14</x:v>
      </x:c>
      <x:c r="J103" s="17" t="str">
        <x:v>모집중</x:v>
      </x:c>
      <x:c r="K103" s="17" t="str">
        <x:v>기간제·비정규</x:v>
      </x:c>
      <x:c r="L103" s="17" t="str">
        <x:v>검토</x:v>
      </x:c>
      <x:c r="M103" s="17" t="str">
        <x:v>제한 문구 미탐지</x:v>
      </x:c>
      <x:c r="N103" s="17" t="str">
        <x:v>기관 공고 원문 확인</x:v>
      </x:c>
      <x:c r="O103" s="17" t="str">
        <x:v>기관 공고 원문 확인</x:v>
      </x:c>
      <x:c r="P103" s="17" t="str">
        <x:v>기관 공고 원문 확인</x:v>
      </x:c>
      <x:c r="Q103" s="17" t="str">
        <x:v>기관 공고 원문 확인</x:v>
      </x:c>
      <x:c r="R103" s="17" t="str">
        <x:v>정상</x:v>
      </x:c>
      <x:c r="S103" s="18" t="str">
        <x:v>https://job.cleaneye.go.kr/user/ypRecruitment.do</x:v>
      </x:c>
      <x:c r="T103" s="1"/>
      <x:c r="U103" s="1"/>
      <x:c r="V103" s="1"/>
      <x:c r="W103" s="1"/>
      <x:c r="X103" s="1"/>
      <x:c r="Y103" s="1"/>
      <x:c r="Z103" s="1"/>
    </x:row>
    <x:row r="104" ht="50" customHeight="1">
      <x:c r="A104" s="17" t="n">
        <x:v>100</x:v>
      </x:c>
      <x:c r="B104" s="17" t="str">
        <x:v>강원특별자치도강릉의료원</x:v>
      </x:c>
      <x:c r="C104" s="17" t="str">
        <x:v>강원특별자치도</x:v>
      </x:c>
      <x:c r="D104" s="17" t="str">
        <x:v>공고2026-65호 응급실 전담의 채용공고</x:v>
      </x:c>
      <x:c r="E104" s="17" t="str">
        <x:v>신입+경력</x:v>
      </x:c>
      <x:c r="F104" s="17" t="str">
        <x:v>일반정규직</x:v>
      </x:c>
      <x:c r="G104" s="17" t="str">
        <x:v>명시 없음(원문 확인)</x:v>
      </x:c>
      <x:c r="H104" s="17" t="str">
        <x:v>2026-09-05</x:v>
      </x:c>
      <x:c r="I104" s="17" t="str">
        <x:v>2026-09-14</x:v>
      </x:c>
      <x:c r="J104" s="17" t="str">
        <x:v>모집중</x:v>
      </x:c>
      <x:c r="K104" s="17" t="str">
        <x:v>정규직(세부 확인)</x:v>
      </x:c>
      <x:c r="L104" s="17" t="str">
        <x:v>검토</x:v>
      </x:c>
      <x:c r="M104" s="17" t="str">
        <x:v>제한 문구 미탐지</x:v>
      </x:c>
      <x:c r="N104" s="17" t="str">
        <x:v>기관 공고 원문 확인</x:v>
      </x:c>
      <x:c r="O104" s="17" t="str">
        <x:v>기관 공고 원문 확인</x:v>
      </x:c>
      <x:c r="P104" s="17" t="str">
        <x:v>기관 공고 원문 확인</x:v>
      </x:c>
      <x:c r="Q104" s="17" t="str">
        <x:v>기관 공고 원문 확인</x:v>
      </x:c>
      <x:c r="R104" s="17" t="str">
        <x:v>정상</x:v>
      </x:c>
      <x:c r="S104" s="18" t="str">
        <x:v>https://job.cleaneye.go.kr/user/ypRecruitment.do</x:v>
      </x:c>
      <x:c r="T104" s="1"/>
      <x:c r="U104" s="1"/>
      <x:c r="V104" s="1"/>
      <x:c r="W104" s="1"/>
      <x:c r="X104" s="1"/>
      <x:c r="Y104" s="1"/>
      <x:c r="Z104" s="1"/>
    </x:row>
    <x:row r="105" ht="50" customHeight="1">
      <x:c r="A105" s="17" t="n">
        <x:v>101</x:v>
      </x:c>
      <x:c r="B105" s="17" t="str">
        <x:v>강원특별자치도강릉의료원</x:v>
      </x:c>
      <x:c r="C105" s="17" t="str">
        <x:v>강원특별자치도</x:v>
      </x:c>
      <x:c r="D105" s="17" t="str">
        <x:v>공고2026-65호 내과 전문의</x:v>
      </x:c>
      <x:c r="E105" s="17" t="str">
        <x:v>신입+경력</x:v>
      </x:c>
      <x:c r="F105" s="17" t="str">
        <x:v>일반정규직</x:v>
      </x:c>
      <x:c r="G105" s="17" t="str">
        <x:v>명시 없음(원문 확인)</x:v>
      </x:c>
      <x:c r="H105" s="17" t="str">
        <x:v>2026-09-05</x:v>
      </x:c>
      <x:c r="I105" s="17" t="str">
        <x:v>2026-09-14</x:v>
      </x:c>
      <x:c r="J105" s="17" t="str">
        <x:v>모집중</x:v>
      </x:c>
      <x:c r="K105" s="17" t="str">
        <x:v>경력·전문직</x:v>
      </x:c>
      <x:c r="L105" s="17" t="str">
        <x:v>경력·전문 우선</x:v>
      </x:c>
      <x:c r="M105" s="17" t="str">
        <x:v>제한 문구 미탐지</x:v>
      </x:c>
      <x:c r="N105" s="17" t="str">
        <x:v>기관 공고 원문 확인</x:v>
      </x:c>
      <x:c r="O105" s="17" t="str">
        <x:v>기관 공고 원문 확인</x:v>
      </x:c>
      <x:c r="P105" s="17" t="str">
        <x:v>기관 공고 원문 확인</x:v>
      </x:c>
      <x:c r="Q105" s="17" t="str">
        <x:v>기관 공고 원문 확인</x:v>
      </x:c>
      <x:c r="R105" s="17" t="str">
        <x:v>정상</x:v>
      </x:c>
      <x:c r="S105" s="18" t="str">
        <x:v>https://job.cleaneye.go.kr/user/ypRecruitment.do</x:v>
      </x:c>
      <x:c r="T105" s="1"/>
      <x:c r="U105" s="1"/>
      <x:c r="V105" s="1"/>
      <x:c r="W105" s="1"/>
      <x:c r="X105" s="1"/>
      <x:c r="Y105" s="1"/>
      <x:c r="Z105" s="1"/>
    </x:row>
    <x:row r="106" ht="50" customHeight="1">
      <x:c r="A106" s="17" t="n">
        <x:v>102</x:v>
      </x:c>
      <x:c r="B106" s="17" t="str">
        <x:v>강원특별자치도강릉의료원</x:v>
      </x:c>
      <x:c r="C106" s="17" t="str">
        <x:v>강원특별자치도</x:v>
      </x:c>
      <x:c r="D106" s="17" t="str">
        <x:v>공고2026-66호 공무직 장례식장 조리원</x:v>
      </x:c>
      <x:c r="E106" s="17" t="str">
        <x:v>신입+경력</x:v>
      </x:c>
      <x:c r="F106" s="17" t="str">
        <x:v>무기계약직</x:v>
      </x:c>
      <x:c r="G106" s="17" t="str">
        <x:v>명시 없음(원문 확인)</x:v>
      </x:c>
      <x:c r="H106" s="17" t="str">
        <x:v>2026-09-05</x:v>
      </x:c>
      <x:c r="I106" s="17" t="str">
        <x:v>2026-09-14</x:v>
      </x:c>
      <x:c r="J106" s="17" t="str">
        <x:v>모집중</x:v>
      </x:c>
      <x:c r="K106" s="17" t="str">
        <x:v>무기계약·공무직</x:v>
      </x:c>
      <x:c r="L106" s="17" t="str">
        <x:v>검토</x:v>
      </x:c>
      <x:c r="M106" s="17" t="str">
        <x:v>제한 문구 미탐지</x:v>
      </x:c>
      <x:c r="N106" s="17" t="str">
        <x:v>기관 공고 원문 확인</x:v>
      </x:c>
      <x:c r="O106" s="17" t="str">
        <x:v>기관 공고 원문 확인</x:v>
      </x:c>
      <x:c r="P106" s="17" t="str">
        <x:v>기관 공고 원문 확인</x:v>
      </x:c>
      <x:c r="Q106" s="17" t="str">
        <x:v>기관 공고 원문 확인</x:v>
      </x:c>
      <x:c r="R106" s="17" t="str">
        <x:v>정상</x:v>
      </x:c>
      <x:c r="S106" s="18" t="str">
        <x:v>https://job.cleaneye.go.kr/user/ypRecruitment.do</x:v>
      </x:c>
      <x:c r="T106" s="1"/>
      <x:c r="U106" s="1"/>
      <x:c r="V106" s="1"/>
      <x:c r="W106" s="1"/>
      <x:c r="X106" s="1"/>
      <x:c r="Y106" s="1"/>
      <x:c r="Z106" s="1"/>
    </x:row>
    <x:row r="107" ht="50" customHeight="1">
      <x:c r="A107" s="17" t="n">
        <x:v>103</x:v>
      </x:c>
      <x:c r="B107" s="17" t="str">
        <x:v>부산경제진흥원</x:v>
      </x:c>
      <x:c r="C107" s="17" t="str">
        <x:v>부산광역시</x:v>
      </x:c>
      <x:c r="D107" s="17" t="str">
        <x:v>부산경제진흥원 2026년 5차 수탁사업 전담인력 채용 공고</x:v>
      </x:c>
      <x:c r="E107" s="17" t="str">
        <x:v>신입</x:v>
      </x:c>
      <x:c r="F107" s="17" t="str">
        <x:v>일반계약직</x:v>
      </x:c>
      <x:c r="G107" s="17" t="str">
        <x:v>명시 없음(원문 확인)</x:v>
      </x:c>
      <x:c r="H107" s="17" t="str">
        <x:v>2026-09-04</x:v>
      </x:c>
      <x:c r="I107" s="17" t="str">
        <x:v>2026-09-14</x:v>
      </x:c>
      <x:c r="J107" s="17" t="str">
        <x:v>모집중</x:v>
      </x:c>
      <x:c r="K107" s="17" t="str">
        <x:v>기타 채용</x:v>
      </x:c>
      <x:c r="L107" s="17" t="str">
        <x:v>검토</x:v>
      </x:c>
      <x:c r="M107" s="17" t="str">
        <x:v>제한 문구 미탐지</x:v>
      </x:c>
      <x:c r="N107" s="17" t="str">
        <x:v>기관 공고 원문 확인</x:v>
      </x:c>
      <x:c r="O107" s="17" t="str">
        <x:v>기관 공고 원문 확인</x:v>
      </x:c>
      <x:c r="P107" s="17" t="str">
        <x:v>기관 공고 원문 확인</x:v>
      </x:c>
      <x:c r="Q107" s="17" t="str">
        <x:v>기관 공고 원문 확인</x:v>
      </x:c>
      <x:c r="R107" s="17" t="str">
        <x:v>정상</x:v>
      </x:c>
      <x:c r="S107" s="18" t="str">
        <x:v>https://job.cleaneye.go.kr/user/ypRecruitment.do</x:v>
      </x:c>
      <x:c r="T107" s="1"/>
      <x:c r="U107" s="1"/>
      <x:c r="V107" s="1"/>
      <x:c r="W107" s="1"/>
      <x:c r="X107" s="1"/>
      <x:c r="Y107" s="1"/>
      <x:c r="Z107" s="1"/>
    </x:row>
    <x:row r="108" ht="50" customHeight="1">
      <x:c r="A108" s="17" t="n">
        <x:v>104</x:v>
      </x:c>
      <x:c r="B108" s="17" t="str">
        <x:v>강원연구원</x:v>
      </x:c>
      <x:c r="C108" s="17" t="str">
        <x:v>강원특별자치도</x:v>
      </x:c>
      <x:c r="D108" s="17" t="str">
        <x:v>강원연구원 제7차 부설센터 연구원 공개채용 재공고</x:v>
      </x:c>
      <x:c r="E108" s="17" t="str">
        <x:v>신입+경력</x:v>
      </x:c>
      <x:c r="F108" s="17" t="str">
        <x:v>기간제</x:v>
      </x:c>
      <x:c r="G108" s="17" t="str">
        <x:v>명시 없음(원문 확인)</x:v>
      </x:c>
      <x:c r="H108" s="17" t="str">
        <x:v>2026-09-04</x:v>
      </x:c>
      <x:c r="I108" s="17" t="str">
        <x:v>2026-09-14</x:v>
      </x:c>
      <x:c r="J108" s="17" t="str">
        <x:v>모집중</x:v>
      </x:c>
      <x:c r="K108" s="17" t="str">
        <x:v>기간제·비정규</x:v>
      </x:c>
      <x:c r="L108" s="17" t="str">
        <x:v>검토</x:v>
      </x:c>
      <x:c r="M108" s="17" t="str">
        <x:v>제한 문구 미탐지</x:v>
      </x:c>
      <x:c r="N108" s="17" t="str">
        <x:v>기관 공고 원문 확인</x:v>
      </x:c>
      <x:c r="O108" s="17" t="str">
        <x:v>기관 공고 원문 확인</x:v>
      </x:c>
      <x:c r="P108" s="17" t="str">
        <x:v>기관 공고 원문 확인</x:v>
      </x:c>
      <x:c r="Q108" s="17" t="str">
        <x:v>기관 공고 원문 확인</x:v>
      </x:c>
      <x:c r="R108" s="17" t="str">
        <x:v>정상</x:v>
      </x:c>
      <x:c r="S108" s="18" t="str">
        <x:v>https://job.cleaneye.go.kr/user/ypRecruitment.do</x:v>
      </x:c>
      <x:c r="T108" s="1"/>
      <x:c r="U108" s="1"/>
      <x:c r="V108" s="1"/>
      <x:c r="W108" s="1"/>
      <x:c r="X108" s="1"/>
      <x:c r="Y108" s="1"/>
      <x:c r="Z108" s="1"/>
    </x:row>
    <x:row r="109" ht="50" customHeight="1">
      <x:c r="A109" s="17" t="n">
        <x:v>105</x:v>
      </x:c>
      <x:c r="B109" s="17" t="str">
        <x:v>재단법인 제주특별자치도 사회서비스원</x:v>
      </x:c>
      <x:c r="C109" s="17" t="str">
        <x:v>제주특별자치도</x:v>
      </x:c>
      <x:c r="D109" s="17" t="str">
        <x:v>(재)제주특별자치도 사회서비스원 임원(비상임 이사) 공개 모집</x:v>
      </x:c>
      <x:c r="E109" s="17" t="str">
        <x:v>경력</x:v>
      </x:c>
      <x:c r="F109" s="17" t="str">
        <x:v>비상임</x:v>
      </x:c>
      <x:c r="G109" s="17" t="str">
        <x:v>명시 없음(원문 확인)</x:v>
      </x:c>
      <x:c r="H109" s="17" t="str">
        <x:v>2026-09-04</x:v>
      </x:c>
      <x:c r="I109" s="17" t="str">
        <x:v>2026-09-21</x:v>
      </x:c>
      <x:c r="J109" s="17" t="str">
        <x:v>모집중</x:v>
      </x:c>
      <x:c r="K109" s="17" t="str">
        <x:v>경력·전문직</x:v>
      </x:c>
      <x:c r="L109" s="17" t="str">
        <x:v>경력·전문 우선</x:v>
      </x:c>
      <x:c r="M109" s="17" t="str">
        <x:v>제한 문구 미탐지</x:v>
      </x:c>
      <x:c r="N109" s="17" t="str">
        <x:v>기관 공고 원문 확인</x:v>
      </x:c>
      <x:c r="O109" s="17" t="str">
        <x:v>기관 공고 원문 확인</x:v>
      </x:c>
      <x:c r="P109" s="17" t="str">
        <x:v>기관 공고 원문 확인</x:v>
      </x:c>
      <x:c r="Q109" s="17" t="str">
        <x:v>기관 공고 원문 확인</x:v>
      </x:c>
      <x:c r="R109" s="17" t="str">
        <x:v>정상</x:v>
      </x:c>
      <x:c r="S109" s="18" t="str">
        <x:v>https://job.cleaneye.go.kr/user/ypRecruitment.do</x:v>
      </x:c>
      <x:c r="T109" s="1"/>
      <x:c r="U109" s="1"/>
      <x:c r="V109" s="1"/>
      <x:c r="W109" s="1"/>
      <x:c r="X109" s="1"/>
      <x:c r="Y109" s="1"/>
      <x:c r="Z109" s="1"/>
    </x:row>
    <x:row r="110" ht="50" customHeight="1">
      <x:c r="A110" s="17" t="n">
        <x:v>106</x:v>
      </x:c>
      <x:c r="B110" s="17" t="str">
        <x:v>재단법인 양천문화재단</x:v>
      </x:c>
      <x:c r="C110" s="17" t="str">
        <x:v>서울특별시</x:v>
      </x:c>
      <x:c r="D110" s="17" t="str">
        <x:v>2026년 제5차 (재)양천문화재단 직원 채용(~9/14)</x:v>
      </x:c>
      <x:c r="E110" s="17" t="str">
        <x:v>신입+경력</x:v>
      </x:c>
      <x:c r="F110" s="17" t="str">
        <x:v>기간제</x:v>
      </x:c>
      <x:c r="G110" s="17" t="str">
        <x:v>명시 없음(원문 확인)</x:v>
      </x:c>
      <x:c r="H110" s="17" t="str">
        <x:v>2026-09-04</x:v>
      </x:c>
      <x:c r="I110" s="17" t="str">
        <x:v>2026-09-14</x:v>
      </x:c>
      <x:c r="J110" s="17" t="str">
        <x:v>모집중</x:v>
      </x:c>
      <x:c r="K110" s="17" t="str">
        <x:v>기간제·비정규</x:v>
      </x:c>
      <x:c r="L110" s="17" t="str">
        <x:v>검토</x:v>
      </x:c>
      <x:c r="M110" s="17" t="str">
        <x:v>제한 문구 미탐지</x:v>
      </x:c>
      <x:c r="N110" s="17" t="str">
        <x:v>기관 공고 원문 확인</x:v>
      </x:c>
      <x:c r="O110" s="17" t="str">
        <x:v>기관 공고 원문 확인</x:v>
      </x:c>
      <x:c r="P110" s="17" t="str">
        <x:v>기관 공고 원문 확인</x:v>
      </x:c>
      <x:c r="Q110" s="17" t="str">
        <x:v>기관 공고 원문 확인</x:v>
      </x:c>
      <x:c r="R110" s="17" t="str">
        <x:v>포털 중복 4건</x:v>
      </x:c>
      <x:c r="S110" s="18" t="str">
        <x:v>https://job.cleaneye.go.kr/user/ypRecruitment.do</x:v>
      </x:c>
      <x:c r="T110" s="1"/>
      <x:c r="U110" s="1"/>
      <x:c r="V110" s="1"/>
      <x:c r="W110" s="1"/>
      <x:c r="X110" s="1"/>
      <x:c r="Y110" s="1"/>
      <x:c r="Z110" s="1"/>
    </x:row>
    <x:row r="111" ht="50" customHeight="1">
      <x:c r="A111" s="17" t="n">
        <x:v>107</x:v>
      </x:c>
      <x:c r="B111" s="17" t="str">
        <x:v>재단법인 완주공공급식지원센터</x:v>
      </x:c>
      <x:c r="C111" s="17" t="str">
        <x:v>전북특별자치도</x:v>
      </x:c>
      <x:c r="D111" s="17" t="str">
        <x:v>(재)완주공공급식지원센터 직원 채용 공고(제2026-11호)</x:v>
      </x:c>
      <x:c r="E111" s="17" t="str">
        <x:v>신입+경력</x:v>
      </x:c>
      <x:c r="F111" s="17" t="str">
        <x:v>기간제</x:v>
      </x:c>
      <x:c r="G111" s="17" t="str">
        <x:v>명시 없음(원문 확인)</x:v>
      </x:c>
      <x:c r="H111" s="17" t="str">
        <x:v>2026-09-04</x:v>
      </x:c>
      <x:c r="I111" s="17" t="str">
        <x:v>2026-09-11</x:v>
      </x:c>
      <x:c r="J111" s="17" t="str">
        <x:v>모집중</x:v>
      </x:c>
      <x:c r="K111" s="17" t="str">
        <x:v>기간제·비정규</x:v>
      </x:c>
      <x:c r="L111" s="17" t="str">
        <x:v>검토</x:v>
      </x:c>
      <x:c r="M111" s="17" t="str">
        <x:v>제한 문구 미탐지</x:v>
      </x:c>
      <x:c r="N111" s="17" t="str">
        <x:v>기관 공고 원문 확인</x:v>
      </x:c>
      <x:c r="O111" s="17" t="str">
        <x:v>기관 공고 원문 확인</x:v>
      </x:c>
      <x:c r="P111" s="17" t="str">
        <x:v>기관 공고 원문 확인</x:v>
      </x:c>
      <x:c r="Q111" s="17" t="str">
        <x:v>기관 공고 원문 확인</x:v>
      </x:c>
      <x:c r="R111" s="17" t="str">
        <x:v>정상</x:v>
      </x:c>
      <x:c r="S111" s="18" t="str">
        <x:v>https://job.cleaneye.go.kr/user/ypRecruitment.do</x:v>
      </x:c>
      <x:c r="T111" s="1"/>
      <x:c r="U111" s="1"/>
      <x:c r="V111" s="1"/>
      <x:c r="W111" s="1"/>
      <x:c r="X111" s="1"/>
      <x:c r="Y111" s="1"/>
      <x:c r="Z111" s="1"/>
    </x:row>
    <x:row r="112" ht="50" customHeight="1">
      <x:c r="A112" s="17" t="n">
        <x:v>108</x:v>
      </x:c>
      <x:c r="B112" s="17" t="str">
        <x:v>대구농수산물유통관리공사</x:v>
      </x:c>
      <x:c r="C112" s="17" t="str">
        <x:v>대구광역시</x:v>
      </x:c>
      <x:c r="D112" s="17" t="str">
        <x:v>2026년 하반기 대구농수산물유통관리공사 장애인 청년 체험형 인턴 채용공고(~`26.9.14.)</x:v>
      </x:c>
      <x:c r="E112" s="17" t="str">
        <x:v>신입+경력</x:v>
      </x:c>
      <x:c r="F112" s="17" t="str">
        <x:v>인턴</x:v>
      </x:c>
      <x:c r="G112" s="17" t="str">
        <x:v>대구광역시</x:v>
      </x:c>
      <x:c r="H112" s="17" t="str">
        <x:v>2026-09-04</x:v>
      </x:c>
      <x:c r="I112" s="17" t="str">
        <x:v>2026-09-14</x:v>
      </x:c>
      <x:c r="J112" s="17" t="str">
        <x:v>모집중</x:v>
      </x:c>
      <x:c r="K112" s="17" t="str">
        <x:v>체험형·청년인턴</x:v>
      </x:c>
      <x:c r="L112" s="17" t="str">
        <x:v>검토</x:v>
      </x:c>
      <x:c r="M112" s="17" t="str">
        <x:v>제한 문구 미탐지</x:v>
      </x:c>
      <x:c r="N112" s="17" t="str">
        <x:v>기관 공고 원문 확인</x:v>
      </x:c>
      <x:c r="O112" s="17" t="str">
        <x:v>기관 공고 원문 확인</x:v>
      </x:c>
      <x:c r="P112" s="17" t="str">
        <x:v>기관 공고 원문 확인</x:v>
      </x:c>
      <x:c r="Q112" s="17" t="str">
        <x:v>기관 공고 원문 확인</x:v>
      </x:c>
      <x:c r="R112" s="17" t="str">
        <x:v>정상</x:v>
      </x:c>
      <x:c r="S112" s="18" t="str">
        <x:v>https://job.cleaneye.go.kr/user/ypRecruitment.do</x:v>
      </x:c>
      <x:c r="T112" s="1"/>
      <x:c r="U112" s="1"/>
      <x:c r="V112" s="1"/>
      <x:c r="W112" s="1"/>
      <x:c r="X112" s="1"/>
      <x:c r="Y112" s="1"/>
      <x:c r="Z112" s="1"/>
    </x:row>
    <x:row r="113" ht="50" customHeight="1">
      <x:c r="A113" s="17" t="n">
        <x:v>109</x:v>
      </x:c>
      <x:c r="B113" s="17" t="str">
        <x:v>노원구시설관리공단</x:v>
      </x:c>
      <x:c r="C113" s="17" t="str">
        <x:v>서울특별시</x:v>
      </x:c>
      <x:c r="D113" s="17" t="str">
        <x:v>노원구시설관리공단]기간제근로자(육아휴직 대체) 공개경쟁 채용 공고</x:v>
      </x:c>
      <x:c r="E113" s="17" t="str">
        <x:v>신입</x:v>
      </x:c>
      <x:c r="F113" s="17" t="str">
        <x:v>기간제</x:v>
      </x:c>
      <x:c r="G113" s="17" t="str">
        <x:v>명시 없음(원문 확인)</x:v>
      </x:c>
      <x:c r="H113" s="17" t="str">
        <x:v>2026-09-04</x:v>
      </x:c>
      <x:c r="I113" s="17" t="str">
        <x:v>2026-09-14</x:v>
      </x:c>
      <x:c r="J113" s="17" t="str">
        <x:v>모집중</x:v>
      </x:c>
      <x:c r="K113" s="17" t="str">
        <x:v>기간제·비정규</x:v>
      </x:c>
      <x:c r="L113" s="17" t="str">
        <x:v>검토</x:v>
      </x:c>
      <x:c r="M113" s="17" t="str">
        <x:v>제한 문구 미탐지</x:v>
      </x:c>
      <x:c r="N113" s="17" t="str">
        <x:v>기관 공고 원문 확인</x:v>
      </x:c>
      <x:c r="O113" s="17" t="str">
        <x:v>기관 공고 원문 확인</x:v>
      </x:c>
      <x:c r="P113" s="17" t="str">
        <x:v>기관 공고 원문 확인</x:v>
      </x:c>
      <x:c r="Q113" s="17" t="str">
        <x:v>기관 공고 원문 확인</x:v>
      </x:c>
      <x:c r="R113" s="17" t="str">
        <x:v>정상</x:v>
      </x:c>
      <x:c r="S113" s="18" t="str">
        <x:v>https://job.cleaneye.go.kr/user/ypRecruitment.do</x:v>
      </x:c>
      <x:c r="T113" s="1"/>
      <x:c r="U113" s="1"/>
      <x:c r="V113" s="1"/>
      <x:c r="W113" s="1"/>
      <x:c r="X113" s="1"/>
      <x:c r="Y113" s="1"/>
      <x:c r="Z113" s="1"/>
    </x:row>
    <x:row r="114" ht="50" customHeight="1">
      <x:c r="A114" s="17" t="n">
        <x:v>110</x:v>
      </x:c>
      <x:c r="B114" s="17" t="str">
        <x:v>경남로봇랜드재단</x:v>
      </x:c>
      <x:c r="C114" s="17" t="str">
        <x:v>경상남도</x:v>
      </x:c>
      <x:c r="D114" s="17" t="str">
        <x:v>2026년 경남로봇랜드재단 계약직 채용 공고(보훈)</x:v>
      </x:c>
      <x:c r="E114" s="17" t="str">
        <x:v>신입+경력</x:v>
      </x:c>
      <x:c r="F114" s="17" t="str">
        <x:v>일반계약직</x:v>
      </x:c>
      <x:c r="G114" s="17" t="str">
        <x:v>명시 없음(원문 확인)</x:v>
      </x:c>
      <x:c r="H114" s="17" t="str">
        <x:v>2026-09-04</x:v>
      </x:c>
      <x:c r="I114" s="17" t="str">
        <x:v>2026-09-14</x:v>
      </x:c>
      <x:c r="J114" s="17" t="str">
        <x:v>모집중</x:v>
      </x:c>
      <x:c r="K114" s="17" t="str">
        <x:v>제한경쟁·조건부</x:v>
      </x:c>
      <x:c r="L114" s="17" t="str">
        <x:v>조건 충족자만</x:v>
      </x:c>
      <x:c r="M114" s="17" t="str">
        <x:v>보훈 관련 제한경쟁</x:v>
      </x:c>
      <x:c r="N114" s="17" t="str">
        <x:v>기관 공고 원문 확인</x:v>
      </x:c>
      <x:c r="O114" s="17" t="str">
        <x:v>기관 공고 원문 확인</x:v>
      </x:c>
      <x:c r="P114" s="17" t="str">
        <x:v>기관 공고 원문 확인</x:v>
      </x:c>
      <x:c r="Q114" s="17" t="str">
        <x:v>기관 공고 원문 확인</x:v>
      </x:c>
      <x:c r="R114" s="17" t="str">
        <x:v>포털 중복 2건</x:v>
      </x:c>
      <x:c r="S114" s="18" t="str">
        <x:v>https://job.cleaneye.go.kr/user/ypRecruitment.do</x:v>
      </x:c>
      <x:c r="T114" s="1"/>
      <x:c r="U114" s="1"/>
      <x:c r="V114" s="1"/>
      <x:c r="W114" s="1"/>
      <x:c r="X114" s="1"/>
      <x:c r="Y114" s="1"/>
      <x:c r="Z114" s="1"/>
    </x:row>
    <x:row r="115" ht="50" customHeight="1">
      <x:c r="A115" s="17" t="n">
        <x:v>111</x:v>
      </x:c>
      <x:c r="B115" s="17" t="str">
        <x:v>재단법인 충북과학기술혁신원</x:v>
      </x:c>
      <x:c r="C115" s="17" t="str">
        <x:v>충청북도</x:v>
      </x:c>
      <x:c r="D115" s="17" t="str">
        <x:v>(재)충북과학기술혁신원 14대 원장 선임 공고</x:v>
      </x:c>
      <x:c r="E115" s="17" t="str">
        <x:v>경력</x:v>
      </x:c>
      <x:c r="F115" s="17" t="str">
        <x:v>전문계약직</x:v>
      </x:c>
      <x:c r="G115" s="17" t="str">
        <x:v>명시 없음(원문 확인)</x:v>
      </x:c>
      <x:c r="H115" s="17" t="str">
        <x:v>2026-09-04</x:v>
      </x:c>
      <x:c r="I115" s="17" t="str">
        <x:v>2026-09-19</x:v>
      </x:c>
      <x:c r="J115" s="17" t="str">
        <x:v>모집중</x:v>
      </x:c>
      <x:c r="K115" s="17" t="str">
        <x:v>경력·전문직</x:v>
      </x:c>
      <x:c r="L115" s="17" t="str">
        <x:v>경력·전문 우선</x:v>
      </x:c>
      <x:c r="M115" s="17" t="str">
        <x:v>제한 문구 미탐지</x:v>
      </x:c>
      <x:c r="N115" s="17" t="str">
        <x:v>기관 공고 원문 확인</x:v>
      </x:c>
      <x:c r="O115" s="17" t="str">
        <x:v>기관 공고 원문 확인</x:v>
      </x:c>
      <x:c r="P115" s="17" t="str">
        <x:v>기관 공고 원문 확인</x:v>
      </x:c>
      <x:c r="Q115" s="17" t="str">
        <x:v>기관 공고 원문 확인</x:v>
      </x:c>
      <x:c r="R115" s="17" t="str">
        <x:v>정상</x:v>
      </x:c>
      <x:c r="S115" s="18" t="str">
        <x:v>https://job.cleaneye.go.kr/user/ypRecruitment.do</x:v>
      </x:c>
      <x:c r="T115" s="1"/>
      <x:c r="U115" s="1"/>
      <x:c r="V115" s="1"/>
      <x:c r="W115" s="1"/>
      <x:c r="X115" s="1"/>
      <x:c r="Y115" s="1"/>
      <x:c r="Z115" s="1"/>
    </x:row>
    <x:row r="116" ht="50" customHeight="1">
      <x:c r="A116" s="17" t="n">
        <x:v>112</x:v>
      </x:c>
      <x:c r="B116" s="17" t="str">
        <x:v>강원연구원</x:v>
      </x:c>
      <x:c r="C116" s="17" t="str">
        <x:v>강원특별자치도</x:v>
      </x:c>
      <x:c r="D116" s="17" t="str">
        <x:v>강원연구원 제4차 장기 연구지원 연구원 공개채용 재공고</x:v>
      </x:c>
      <x:c r="E116" s="17" t="str">
        <x:v>신입+경력</x:v>
      </x:c>
      <x:c r="F116" s="17" t="str">
        <x:v>기간제</x:v>
      </x:c>
      <x:c r="G116" s="17" t="str">
        <x:v>명시 없음(원문 확인)</x:v>
      </x:c>
      <x:c r="H116" s="17" t="str">
        <x:v>2026-09-04</x:v>
      </x:c>
      <x:c r="I116" s="17" t="str">
        <x:v>2026-09-14</x:v>
      </x:c>
      <x:c r="J116" s="17" t="str">
        <x:v>모집중</x:v>
      </x:c>
      <x:c r="K116" s="17" t="str">
        <x:v>기간제·비정규</x:v>
      </x:c>
      <x:c r="L116" s="17" t="str">
        <x:v>검토</x:v>
      </x:c>
      <x:c r="M116" s="17" t="str">
        <x:v>제한 문구 미탐지</x:v>
      </x:c>
      <x:c r="N116" s="17" t="str">
        <x:v>기관 공고 원문 확인</x:v>
      </x:c>
      <x:c r="O116" s="17" t="str">
        <x:v>기관 공고 원문 확인</x:v>
      </x:c>
      <x:c r="P116" s="17" t="str">
        <x:v>기관 공고 원문 확인</x:v>
      </x:c>
      <x:c r="Q116" s="17" t="str">
        <x:v>기관 공고 원문 확인</x:v>
      </x:c>
      <x:c r="R116" s="17" t="str">
        <x:v>정상</x:v>
      </x:c>
      <x:c r="S116" s="18" t="str">
        <x:v>https://job.cleaneye.go.kr/user/ypRecruitment.do</x:v>
      </x:c>
      <x:c r="T116" s="1"/>
      <x:c r="U116" s="1"/>
      <x:c r="V116" s="1"/>
      <x:c r="W116" s="1"/>
      <x:c r="X116" s="1"/>
      <x:c r="Y116" s="1"/>
      <x:c r="Z116" s="1"/>
    </x:row>
    <x:row r="117" ht="50" customHeight="1">
      <x:c r="A117" s="17" t="n">
        <x:v>113</x:v>
      </x:c>
      <x:c r="B117" s="17" t="str">
        <x:v>청도공영사업공사</x:v>
      </x:c>
      <x:c r="C117" s="17" t="str">
        <x:v>경상북도</x:v>
      </x:c>
      <x:c r="D117" s="17" t="str">
        <x:v>청도공영사업공사 임원(비상임이사) 공개모집 공고</x:v>
      </x:c>
      <x:c r="E117" s="17" t="str">
        <x:v>경력</x:v>
      </x:c>
      <x:c r="F117" s="17" t="str">
        <x:v>비상임</x:v>
      </x:c>
      <x:c r="G117" s="17" t="str">
        <x:v>명시 없음(원문 확인)</x:v>
      </x:c>
      <x:c r="H117" s="17" t="str">
        <x:v>2026-09-04</x:v>
      </x:c>
      <x:c r="I117" s="17" t="str">
        <x:v>2026-09-20</x:v>
      </x:c>
      <x:c r="J117" s="17" t="str">
        <x:v>모집중</x:v>
      </x:c>
      <x:c r="K117" s="17" t="str">
        <x:v>경력·전문직</x:v>
      </x:c>
      <x:c r="L117" s="17" t="str">
        <x:v>경력·전문 우선</x:v>
      </x:c>
      <x:c r="M117" s="17" t="str">
        <x:v>제한 문구 미탐지</x:v>
      </x:c>
      <x:c r="N117" s="17" t="str">
        <x:v>기관 공고 원문 확인</x:v>
      </x:c>
      <x:c r="O117" s="17" t="str">
        <x:v>기관 공고 원문 확인</x:v>
      </x:c>
      <x:c r="P117" s="17" t="str">
        <x:v>기관 공고 원문 확인</x:v>
      </x:c>
      <x:c r="Q117" s="17" t="str">
        <x:v>기관 공고 원문 확인</x:v>
      </x:c>
      <x:c r="R117" s="17" t="str">
        <x:v>정상</x:v>
      </x:c>
      <x:c r="S117" s="18" t="str">
        <x:v>https://job.cleaneye.go.kr/user/ypRecruitment.do</x:v>
      </x:c>
      <x:c r="T117" s="1"/>
      <x:c r="U117" s="1"/>
      <x:c r="V117" s="1"/>
      <x:c r="W117" s="1"/>
      <x:c r="X117" s="1"/>
      <x:c r="Y117" s="1"/>
      <x:c r="Z117" s="1"/>
    </x:row>
    <x:row r="118" ht="50" customHeight="1">
      <x:c r="A118" s="17" t="n">
        <x:v>114</x:v>
      </x:c>
      <x:c r="B118" s="17" t="str">
        <x:v>충청북도 충주의료원</x:v>
      </x:c>
      <x:c r="C118" s="17" t="str">
        <x:v>충청북도</x:v>
      </x:c>
      <x:c r="D118" s="17" t="str">
        <x:v>충주의료원 보건직(임상병리사) 채용 공고</x:v>
      </x:c>
      <x:c r="E118" s="17" t="str">
        <x:v>신입+경력</x:v>
      </x:c>
      <x:c r="F118" s="17" t="str">
        <x:v>일반정규직</x:v>
      </x:c>
      <x:c r="G118" s="17" t="str">
        <x:v>충청북도</x:v>
      </x:c>
      <x:c r="H118" s="17" t="str">
        <x:v>2026-09-04</x:v>
      </x:c>
      <x:c r="I118" s="17" t="str">
        <x:v>2026-09-14</x:v>
      </x:c>
      <x:c r="J118" s="17" t="str">
        <x:v>모집중</x:v>
      </x:c>
      <x:c r="K118" s="17" t="str">
        <x:v>정규직(세부 확인)</x:v>
      </x:c>
      <x:c r="L118" s="17" t="str">
        <x:v>검토</x:v>
      </x:c>
      <x:c r="M118" s="17" t="str">
        <x:v>제한 문구 미탐지</x:v>
      </x:c>
      <x:c r="N118" s="17" t="str">
        <x:v>기관 공고 원문 확인</x:v>
      </x:c>
      <x:c r="O118" s="17" t="str">
        <x:v>기관 공고 원문 확인</x:v>
      </x:c>
      <x:c r="P118" s="17" t="str">
        <x:v>기관 공고 원문 확인</x:v>
      </x:c>
      <x:c r="Q118" s="17" t="str">
        <x:v>기관 공고 원문 확인</x:v>
      </x:c>
      <x:c r="R118" s="17" t="str">
        <x:v>정상</x:v>
      </x:c>
      <x:c r="S118" s="18" t="str">
        <x:v>https://job.cleaneye.go.kr/user/ypRecruitment.do</x:v>
      </x:c>
      <x:c r="T118" s="1"/>
      <x:c r="U118" s="1"/>
      <x:c r="V118" s="1"/>
      <x:c r="W118" s="1"/>
      <x:c r="X118" s="1"/>
      <x:c r="Y118" s="1"/>
      <x:c r="Z118" s="1"/>
    </x:row>
    <x:row r="119" ht="50" customHeight="1">
      <x:c r="A119" s="17" t="n">
        <x:v>115</x:v>
      </x:c>
      <x:c r="B119" s="17" t="str">
        <x:v>충청남도개발공사</x:v>
      </x:c>
      <x:c r="C119" s="17" t="str">
        <x:v>충청남도</x:v>
      </x:c>
      <x:c r="D119" s="17" t="str">
        <x:v>2026년 충청남도개발공사 무기계약직 사원 모집 공고(일반공개경쟁)</x:v>
      </x:c>
      <x:c r="E119" s="17" t="str">
        <x:v>신입</x:v>
      </x:c>
      <x:c r="F119" s="17" t="str">
        <x:v>무기계약직</x:v>
      </x:c>
      <x:c r="G119" s="17" t="str">
        <x:v>충청남도</x:v>
      </x:c>
      <x:c r="H119" s="17" t="str">
        <x:v>2026-09-04</x:v>
      </x:c>
      <x:c r="I119" s="17" t="str">
        <x:v>2026-09-14</x:v>
      </x:c>
      <x:c r="J119" s="17" t="str">
        <x:v>모집중</x:v>
      </x:c>
      <x:c r="K119" s="17" t="str">
        <x:v>무기계약·공무직</x:v>
      </x:c>
      <x:c r="L119" s="17" t="str">
        <x:v>검토</x:v>
      </x:c>
      <x:c r="M119" s="17" t="str">
        <x:v>제한 문구 미탐지</x:v>
      </x:c>
      <x:c r="N119" s="17" t="str">
        <x:v>기관 공고 원문 확인</x:v>
      </x:c>
      <x:c r="O119" s="17" t="str">
        <x:v>기관 공고 원문 확인</x:v>
      </x:c>
      <x:c r="P119" s="17" t="str">
        <x:v>기관 공고 원문 확인</x:v>
      </x:c>
      <x:c r="Q119" s="17" t="str">
        <x:v>기관 공고 원문 확인</x:v>
      </x:c>
      <x:c r="R119" s="17" t="str">
        <x:v>정상</x:v>
      </x:c>
      <x:c r="S119" s="18" t="str">
        <x:v>https://job.cleaneye.go.kr/user/ypRecruitment.do</x:v>
      </x:c>
      <x:c r="T119" s="1"/>
      <x:c r="U119" s="1"/>
      <x:c r="V119" s="1"/>
      <x:c r="W119" s="1"/>
      <x:c r="X119" s="1"/>
      <x:c r="Y119" s="1"/>
      <x:c r="Z119" s="1"/>
    </x:row>
    <x:row r="120" ht="50" customHeight="1">
      <x:c r="A120" s="17" t="n">
        <x:v>116</x:v>
      </x:c>
      <x:c r="B120" s="17" t="str">
        <x:v>경상북도안동의료원</x:v>
      </x:c>
      <x:c r="C120" s="17" t="str">
        <x:v>경상북도</x:v>
      </x:c>
      <x:c r="D120" s="17" t="str">
        <x:v>계약직 간호사(도청 의무실) 채용공고</x:v>
      </x:c>
      <x:c r="E120" s="17" t="str">
        <x:v>신입+경력</x:v>
      </x:c>
      <x:c r="F120" s="17" t="str">
        <x:v>기간제</x:v>
      </x:c>
      <x:c r="G120" s="17" t="str">
        <x:v>명시 없음(원문 확인)</x:v>
      </x:c>
      <x:c r="H120" s="17" t="str">
        <x:v>2026-09-04</x:v>
      </x:c>
      <x:c r="I120" s="17" t="str">
        <x:v>2026-09-14</x:v>
      </x:c>
      <x:c r="J120" s="17" t="str">
        <x:v>모집중</x:v>
      </x:c>
      <x:c r="K120" s="17" t="str">
        <x:v>경력·전문직</x:v>
      </x:c>
      <x:c r="L120" s="17" t="str">
        <x:v>경력·전문 우선</x:v>
      </x:c>
      <x:c r="M120" s="17" t="str">
        <x:v>제한 문구 미탐지</x:v>
      </x:c>
      <x:c r="N120" s="17" t="str">
        <x:v>기관 공고 원문 확인</x:v>
      </x:c>
      <x:c r="O120" s="17" t="str">
        <x:v>기관 공고 원문 확인</x:v>
      </x:c>
      <x:c r="P120" s="17" t="str">
        <x:v>기관 공고 원문 확인</x:v>
      </x:c>
      <x:c r="Q120" s="17" t="str">
        <x:v>기관 공고 원문 확인</x:v>
      </x:c>
      <x:c r="R120" s="17" t="str">
        <x:v>정상</x:v>
      </x:c>
      <x:c r="S120" s="18" t="str">
        <x:v>https://job.cleaneye.go.kr/user/ypRecruitment.do</x:v>
      </x:c>
      <x:c r="T120" s="1"/>
      <x:c r="U120" s="1"/>
      <x:c r="V120" s="1"/>
      <x:c r="W120" s="1"/>
      <x:c r="X120" s="1"/>
      <x:c r="Y120" s="1"/>
      <x:c r="Z120" s="1"/>
    </x:row>
    <x:row r="121" ht="50" customHeight="1">
      <x:c r="A121" s="17" t="n">
        <x:v>117</x:v>
      </x:c>
      <x:c r="B121" s="17" t="str">
        <x:v>경상북도안동의료원</x:v>
      </x:c>
      <x:c r="C121" s="17" t="str">
        <x:v>경상북도</x:v>
      </x:c>
      <x:c r="D121" s="17" t="str">
        <x:v>계약직 간호사(공공보건부) 채용공고</x:v>
      </x:c>
      <x:c r="E121" s="17" t="str">
        <x:v>신입+경력</x:v>
      </x:c>
      <x:c r="F121" s="17" t="str">
        <x:v>기간제</x:v>
      </x:c>
      <x:c r="G121" s="17" t="str">
        <x:v>명시 없음(원문 확인)</x:v>
      </x:c>
      <x:c r="H121" s="17" t="str">
        <x:v>2026-09-04</x:v>
      </x:c>
      <x:c r="I121" s="17" t="str">
        <x:v>2026-09-14</x:v>
      </x:c>
      <x:c r="J121" s="17" t="str">
        <x:v>모집중</x:v>
      </x:c>
      <x:c r="K121" s="17" t="str">
        <x:v>경력·전문직</x:v>
      </x:c>
      <x:c r="L121" s="17" t="str">
        <x:v>경력·전문 우선</x:v>
      </x:c>
      <x:c r="M121" s="17" t="str">
        <x:v>제한 문구 미탐지</x:v>
      </x:c>
      <x:c r="N121" s="17" t="str">
        <x:v>기관 공고 원문 확인</x:v>
      </x:c>
      <x:c r="O121" s="17" t="str">
        <x:v>기관 공고 원문 확인</x:v>
      </x:c>
      <x:c r="P121" s="17" t="str">
        <x:v>기관 공고 원문 확인</x:v>
      </x:c>
      <x:c r="Q121" s="17" t="str">
        <x:v>기관 공고 원문 확인</x:v>
      </x:c>
      <x:c r="R121" s="17" t="str">
        <x:v>정상</x:v>
      </x:c>
      <x:c r="S121" s="18" t="str">
        <x:v>https://job.cleaneye.go.kr/user/ypRecruitment.do</x:v>
      </x:c>
      <x:c r="T121" s="1"/>
      <x:c r="U121" s="1"/>
      <x:c r="V121" s="1"/>
      <x:c r="W121" s="1"/>
      <x:c r="X121" s="1"/>
      <x:c r="Y121" s="1"/>
      <x:c r="Z121" s="1"/>
    </x:row>
    <x:row r="122" ht="50" customHeight="1">
      <x:c r="A122" s="17" t="n">
        <x:v>118</x:v>
      </x:c>
      <x:c r="B122" s="17" t="str">
        <x:v>경남로봇랜드재단</x:v>
      </x:c>
      <x:c r="C122" s="17" t="str">
        <x:v>경상남도</x:v>
      </x:c>
      <x:c r="D122" s="17" t="str">
        <x:v>2026년 경남로봇랜드재단 계약직 채용 재공고</x:v>
      </x:c>
      <x:c r="E122" s="17" t="str">
        <x:v>신입+경력</x:v>
      </x:c>
      <x:c r="F122" s="17" t="str">
        <x:v>일반계약직</x:v>
      </x:c>
      <x:c r="G122" s="17" t="str">
        <x:v>명시 없음(원문 확인)</x:v>
      </x:c>
      <x:c r="H122" s="17" t="str">
        <x:v>2026-09-04</x:v>
      </x:c>
      <x:c r="I122" s="17" t="str">
        <x:v>2026-09-14</x:v>
      </x:c>
      <x:c r="J122" s="17" t="str">
        <x:v>모집중</x:v>
      </x:c>
      <x:c r="K122" s="17" t="str">
        <x:v>기타 채용</x:v>
      </x:c>
      <x:c r="L122" s="17" t="str">
        <x:v>검토</x:v>
      </x:c>
      <x:c r="M122" s="17" t="str">
        <x:v>제한 문구 미탐지</x:v>
      </x:c>
      <x:c r="N122" s="17" t="str">
        <x:v>기관 공고 원문 확인</x:v>
      </x:c>
      <x:c r="O122" s="17" t="str">
        <x:v>기관 공고 원문 확인</x:v>
      </x:c>
      <x:c r="P122" s="17" t="str">
        <x:v>기관 공고 원문 확인</x:v>
      </x:c>
      <x:c r="Q122" s="17" t="str">
        <x:v>기관 공고 원문 확인</x:v>
      </x:c>
      <x:c r="R122" s="17" t="str">
        <x:v>포털 중복 3건</x:v>
      </x:c>
      <x:c r="S122" s="18" t="str">
        <x:v>https://job.cleaneye.go.kr/user/ypRecruitment.do</x:v>
      </x:c>
      <x:c r="T122" s="1"/>
      <x:c r="U122" s="1"/>
      <x:c r="V122" s="1"/>
      <x:c r="W122" s="1"/>
      <x:c r="X122" s="1"/>
      <x:c r="Y122" s="1"/>
      <x:c r="Z122" s="1"/>
    </x:row>
    <x:row r="123" ht="50" customHeight="1">
      <x:c r="A123" s="17" t="n">
        <x:v>119</x:v>
      </x:c>
      <x:c r="B123" s="17" t="str">
        <x:v>대한민국동작주식회사</x:v>
      </x:c>
      <x:c r="C123" s="17" t="str">
        <x:v>서울특별시</x:v>
      </x:c>
      <x:c r="D123" s="17" t="str">
        <x:v>2026년 제7차 정규직 및 현장직 기간제근로자 채용 재공고</x:v>
      </x:c>
      <x:c r="E123" s="17" t="str">
        <x:v>신입+경력</x:v>
      </x:c>
      <x:c r="F123" s="17" t="str">
        <x:v>기간제</x:v>
      </x:c>
      <x:c r="G123" s="17" t="str">
        <x:v>서울특별시 동작구</x:v>
      </x:c>
      <x:c r="H123" s="17" t="str">
        <x:v>2026-09-04</x:v>
      </x:c>
      <x:c r="I123" s="17" t="str">
        <x:v>2026-09-28</x:v>
      </x:c>
      <x:c r="J123" s="17" t="str">
        <x:v>모집중</x:v>
      </x:c>
      <x:c r="K123" s="17" t="str">
        <x:v>기간제·비정규</x:v>
      </x:c>
      <x:c r="L123" s="17" t="str">
        <x:v>검토</x:v>
      </x:c>
      <x:c r="M123" s="17" t="str">
        <x:v>제한 문구 미탐지</x:v>
      </x:c>
      <x:c r="N123" s="17" t="str">
        <x:v>기관 공고 원문 확인</x:v>
      </x:c>
      <x:c r="O123" s="17" t="str">
        <x:v>기관 공고 원문 확인</x:v>
      </x:c>
      <x:c r="P123" s="17" t="str">
        <x:v>기관 공고 원문 확인</x:v>
      </x:c>
      <x:c r="Q123" s="17" t="str">
        <x:v>기관 공고 원문 확인</x:v>
      </x:c>
      <x:c r="R123" s="17" t="str">
        <x:v>정상</x:v>
      </x:c>
      <x:c r="S123" s="18" t="str">
        <x:v>https://job.cleaneye.go.kr/user/ypRecruitment.do</x:v>
      </x:c>
      <x:c r="T123" s="1"/>
      <x:c r="U123" s="1"/>
      <x:c r="V123" s="1"/>
      <x:c r="W123" s="1"/>
      <x:c r="X123" s="1"/>
      <x:c r="Y123" s="1"/>
      <x:c r="Z123" s="1"/>
    </x:row>
    <x:row r="124" ht="50" customHeight="1">
      <x:c r="A124" s="17" t="n">
        <x:v>120</x:v>
      </x:c>
      <x:c r="B124" s="17" t="str">
        <x:v>관악구시설관리공단</x:v>
      </x:c>
      <x:c r="C124" s="17" t="str">
        <x:v>서울특별시</x:v>
      </x:c>
      <x:c r="D124" s="17" t="str">
        <x:v>2026년 제4회 관악구시설관리공단 공무직 공개경쟁채용 공고</x:v>
      </x:c>
      <x:c r="E124" s="17" t="str">
        <x:v>신입</x:v>
      </x:c>
      <x:c r="F124" s="17" t="str">
        <x:v>무기계약직</x:v>
      </x:c>
      <x:c r="G124" s="17" t="str">
        <x:v>명시 없음(원문 확인)</x:v>
      </x:c>
      <x:c r="H124" s="17" t="str">
        <x:v>2026-09-04</x:v>
      </x:c>
      <x:c r="I124" s="17" t="str">
        <x:v>2026-09-13</x:v>
      </x:c>
      <x:c r="J124" s="17" t="str">
        <x:v>모집중</x:v>
      </x:c>
      <x:c r="K124" s="17" t="str">
        <x:v>무기계약·공무직</x:v>
      </x:c>
      <x:c r="L124" s="17" t="str">
        <x:v>검토</x:v>
      </x:c>
      <x:c r="M124" s="17" t="str">
        <x:v>제한 문구 미탐지</x:v>
      </x:c>
      <x:c r="N124" s="17" t="str">
        <x:v>기관 공고 원문 확인</x:v>
      </x:c>
      <x:c r="O124" s="17" t="str">
        <x:v>기관 공고 원문 확인</x:v>
      </x:c>
      <x:c r="P124" s="17" t="str">
        <x:v>기관 공고 원문 확인</x:v>
      </x:c>
      <x:c r="Q124" s="17" t="str">
        <x:v>기관 공고 원문 확인</x:v>
      </x:c>
      <x:c r="R124" s="17" t="str">
        <x:v>정상</x:v>
      </x:c>
      <x:c r="S124" s="18" t="str">
        <x:v>https://job.cleaneye.go.kr/user/ypRecruitment.do</x:v>
      </x:c>
      <x:c r="T124" s="1"/>
      <x:c r="U124" s="1"/>
      <x:c r="V124" s="1"/>
      <x:c r="W124" s="1"/>
      <x:c r="X124" s="1"/>
      <x:c r="Y124" s="1"/>
      <x:c r="Z124" s="1"/>
    </x:row>
    <x:row r="125" ht="50" customHeight="1">
      <x:c r="A125" s="17" t="n">
        <x:v>121</x:v>
      </x:c>
      <x:c r="B125" s="17" t="str">
        <x:v>관악구시설관리공단</x:v>
      </x:c>
      <x:c r="C125" s="17" t="str">
        <x:v>서울특별시</x:v>
      </x:c>
      <x:c r="D125" s="17" t="str">
        <x:v>2026년 제4회 관악구시설관리공단 임시직(고령친화직) 공개제한경쟁채용 공고</x:v>
      </x:c>
      <x:c r="E125" s="17" t="str">
        <x:v>신입</x:v>
      </x:c>
      <x:c r="F125" s="17" t="str">
        <x:v>기간제</x:v>
      </x:c>
      <x:c r="G125" s="17" t="str">
        <x:v>명시 없음(원문 확인)</x:v>
      </x:c>
      <x:c r="H125" s="17" t="str">
        <x:v>2026-09-04</x:v>
      </x:c>
      <x:c r="I125" s="17" t="str">
        <x:v>2026-09-13</x:v>
      </x:c>
      <x:c r="J125" s="17" t="str">
        <x:v>모집중</x:v>
      </x:c>
      <x:c r="K125" s="17" t="str">
        <x:v>제한경쟁·조건부</x:v>
      </x:c>
      <x:c r="L125" s="17" t="str">
        <x:v>조건 충족자만</x:v>
      </x:c>
      <x:c r="M125" s="17" t="str">
        <x:v>제한경쟁</x:v>
      </x:c>
      <x:c r="N125" s="17" t="str">
        <x:v>기관 공고 원문 확인</x:v>
      </x:c>
      <x:c r="O125" s="17" t="str">
        <x:v>기관 공고 원문 확인</x:v>
      </x:c>
      <x:c r="P125" s="17" t="str">
        <x:v>기관 공고 원문 확인</x:v>
      </x:c>
      <x:c r="Q125" s="17" t="str">
        <x:v>기관 공고 원문 확인</x:v>
      </x:c>
      <x:c r="R125" s="17" t="str">
        <x:v>정상</x:v>
      </x:c>
      <x:c r="S125" s="18" t="str">
        <x:v>https://job.cleaneye.go.kr/user/ypRecruitment.do</x:v>
      </x:c>
      <x:c r="T125" s="1"/>
      <x:c r="U125" s="1"/>
      <x:c r="V125" s="1"/>
      <x:c r="W125" s="1"/>
      <x:c r="X125" s="1"/>
      <x:c r="Y125" s="1"/>
      <x:c r="Z125" s="1"/>
    </x:row>
    <x:row r="126" ht="50" customHeight="1">
      <x:c r="A126" s="17" t="n">
        <x:v>122</x:v>
      </x:c>
      <x:c r="B126" s="17" t="str">
        <x:v>울진군의료원</x:v>
      </x:c>
      <x:c r="C126" s="17" t="str">
        <x:v>경상북도</x:v>
      </x:c>
      <x:c r="D126" s="17" t="str">
        <x:v>울진군의료원 의사채용 공고(산부인과)</x:v>
      </x:c>
      <x:c r="E126" s="17" t="str">
        <x:v>신입+경력</x:v>
      </x:c>
      <x:c r="F126" s="17" t="str">
        <x:v>전문계약직</x:v>
      </x:c>
      <x:c r="G126" s="17" t="str">
        <x:v>명시 없음(원문 확인)</x:v>
      </x:c>
      <x:c r="H126" s="17" t="str">
        <x:v>2026-09-04</x:v>
      </x:c>
      <x:c r="I126" s="17" t="str">
        <x:v>2026-12-31</x:v>
      </x:c>
      <x:c r="J126" s="17" t="str">
        <x:v>모집중</x:v>
      </x:c>
      <x:c r="K126" s="17" t="str">
        <x:v>기타 채용</x:v>
      </x:c>
      <x:c r="L126" s="17" t="str">
        <x:v>검토</x:v>
      </x:c>
      <x:c r="M126" s="17" t="str">
        <x:v>제한 문구 미탐지</x:v>
      </x:c>
      <x:c r="N126" s="17" t="str">
        <x:v>기관 공고 원문 확인</x:v>
      </x:c>
      <x:c r="O126" s="17" t="str">
        <x:v>기관 공고 원문 확인</x:v>
      </x:c>
      <x:c r="P126" s="17" t="str">
        <x:v>기관 공고 원문 확인</x:v>
      </x:c>
      <x:c r="Q126" s="17" t="str">
        <x:v>기관 공고 원문 확인</x:v>
      </x:c>
      <x:c r="R126" s="17" t="str">
        <x:v>정상</x:v>
      </x:c>
      <x:c r="S126" s="18" t="str">
        <x:v>https://job.cleaneye.go.kr/user/ypRecruitment.do</x:v>
      </x:c>
      <x:c r="T126" s="1"/>
      <x:c r="U126" s="1"/>
      <x:c r="V126" s="1"/>
      <x:c r="W126" s="1"/>
      <x:c r="X126" s="1"/>
      <x:c r="Y126" s="1"/>
      <x:c r="Z126" s="1"/>
    </x:row>
    <x:row r="127" ht="50" customHeight="1">
      <x:c r="A127" s="17" t="n">
        <x:v>123</x:v>
      </x:c>
      <x:c r="B127" s="17" t="str">
        <x:v>창원시설공단</x:v>
      </x:c>
      <x:c r="C127" s="17" t="str">
        <x:v>경상남도</x:v>
      </x:c>
      <x:c r="D127" s="17" t="str">
        <x:v>진해해양공원 기간제 근로자 공개경쟁 채용 공고</x:v>
      </x:c>
      <x:c r="E127" s="17" t="str">
        <x:v>신입+경력</x:v>
      </x:c>
      <x:c r="F127" s="17" t="str">
        <x:v>기간제</x:v>
      </x:c>
      <x:c r="G127" s="17" t="str">
        <x:v>명시 없음(원문 확인)</x:v>
      </x:c>
      <x:c r="H127" s="17" t="str">
        <x:v>2026-09-04</x:v>
      </x:c>
      <x:c r="I127" s="17" t="str">
        <x:v>2026-09-10</x:v>
      </x:c>
      <x:c r="J127" s="17" t="str">
        <x:v>모집중</x:v>
      </x:c>
      <x:c r="K127" s="17" t="str">
        <x:v>기간제·비정규</x:v>
      </x:c>
      <x:c r="L127" s="17" t="str">
        <x:v>검토</x:v>
      </x:c>
      <x:c r="M127" s="17" t="str">
        <x:v>제한 문구 미탐지</x:v>
      </x:c>
      <x:c r="N127" s="17" t="str">
        <x:v>기관 공고 원문 확인</x:v>
      </x:c>
      <x:c r="O127" s="17" t="str">
        <x:v>기관 공고 원문 확인</x:v>
      </x:c>
      <x:c r="P127" s="17" t="str">
        <x:v>기관 공고 원문 확인</x:v>
      </x:c>
      <x:c r="Q127" s="17" t="str">
        <x:v>기관 공고 원문 확인</x:v>
      </x:c>
      <x:c r="R127" s="17" t="str">
        <x:v>정상</x:v>
      </x:c>
      <x:c r="S127" s="18" t="str">
        <x:v>https://job.cleaneye.go.kr/user/ypRecruitment.do</x:v>
      </x:c>
      <x:c r="T127" s="1"/>
      <x:c r="U127" s="1"/>
      <x:c r="V127" s="1"/>
      <x:c r="W127" s="1"/>
      <x:c r="X127" s="1"/>
      <x:c r="Y127" s="1"/>
      <x:c r="Z127" s="1"/>
    </x:row>
    <x:row r="128" ht="50" customHeight="1">
      <x:c r="A128" s="17" t="n">
        <x:v>124</x:v>
      </x:c>
      <x:c r="B128" s="17" t="str">
        <x:v>서산시복지재단</x:v>
      </x:c>
      <x:c r="C128" s="17" t="str">
        <x:v>충청남도</x:v>
      </x:c>
      <x:c r="D128" s="17" t="str">
        <x:v>(재)서산시복지재단 직원 공개경쟁 모집 공고</x:v>
      </x:c>
      <x:c r="E128" s="17" t="str">
        <x:v>경력</x:v>
      </x:c>
      <x:c r="F128" s="17" t="str">
        <x:v>일반계약직</x:v>
      </x:c>
      <x:c r="G128" s="17" t="str">
        <x:v>명시 없음(원문 확인)</x:v>
      </x:c>
      <x:c r="H128" s="17" t="str">
        <x:v>2026-09-04</x:v>
      </x:c>
      <x:c r="I128" s="17" t="str">
        <x:v>2026-09-10</x:v>
      </x:c>
      <x:c r="J128" s="17" t="str">
        <x:v>모집중</x:v>
      </x:c>
      <x:c r="K128" s="17" t="str">
        <x:v>기타 채용</x:v>
      </x:c>
      <x:c r="L128" s="17" t="str">
        <x:v>세부조건 확인</x:v>
      </x:c>
      <x:c r="M128" s="17" t="str">
        <x:v>제한 문구 미탐지</x:v>
      </x:c>
      <x:c r="N128" s="17" t="str">
        <x:v>기관 공고 원문 확인</x:v>
      </x:c>
      <x:c r="O128" s="17" t="str">
        <x:v>기관 공고 원문 확인</x:v>
      </x:c>
      <x:c r="P128" s="17" t="str">
        <x:v>기관 공고 원문 확인</x:v>
      </x:c>
      <x:c r="Q128" s="17" t="str">
        <x:v>기관 공고 원문 확인</x:v>
      </x:c>
      <x:c r="R128" s="17" t="str">
        <x:v>정상</x:v>
      </x:c>
      <x:c r="S128" s="18" t="str">
        <x:v>https://job.cleaneye.go.kr/user/ypRecruitment.do</x:v>
      </x:c>
      <x:c r="T128" s="1"/>
      <x:c r="U128" s="1"/>
      <x:c r="V128" s="1"/>
      <x:c r="W128" s="1"/>
      <x:c r="X128" s="1"/>
      <x:c r="Y128" s="1"/>
      <x:c r="Z128" s="1"/>
    </x:row>
    <x:row r="129" ht="50" customHeight="1">
      <x:c r="A129" s="17" t="n">
        <x:v>125</x:v>
      </x:c>
      <x:c r="B129" s="17" t="str">
        <x:v>부산환경공단</x:v>
      </x:c>
      <x:c r="C129" s="17" t="str">
        <x:v>부산광역시</x:v>
      </x:c>
      <x:c r="D129" s="17" t="str">
        <x:v>부산환경공단 하수자원사업소 기간제근로자(경비종사원) 채용 재공고</x:v>
      </x:c>
      <x:c r="E129" s="17" t="str">
        <x:v>신입</x:v>
      </x:c>
      <x:c r="F129" s="17" t="str">
        <x:v>기간제</x:v>
      </x:c>
      <x:c r="G129" s="17" t="str">
        <x:v>부산광역시</x:v>
      </x:c>
      <x:c r="H129" s="17" t="str">
        <x:v>2026-09-04</x:v>
      </x:c>
      <x:c r="I129" s="17" t="str">
        <x:v>2026-09-11</x:v>
      </x:c>
      <x:c r="J129" s="17" t="str">
        <x:v>모집중</x:v>
      </x:c>
      <x:c r="K129" s="17" t="str">
        <x:v>기간제·비정규</x:v>
      </x:c>
      <x:c r="L129" s="17" t="str">
        <x:v>검토</x:v>
      </x:c>
      <x:c r="M129" s="17" t="str">
        <x:v>제한 문구 미탐지</x:v>
      </x:c>
      <x:c r="N129" s="17" t="str">
        <x:v>기관 공고 원문 확인</x:v>
      </x:c>
      <x:c r="O129" s="17" t="str">
        <x:v>기관 공고 원문 확인</x:v>
      </x:c>
      <x:c r="P129" s="17" t="str">
        <x:v>기관 공고 원문 확인</x:v>
      </x:c>
      <x:c r="Q129" s="17" t="str">
        <x:v>기관 공고 원문 확인</x:v>
      </x:c>
      <x:c r="R129" s="17" t="str">
        <x:v>정상</x:v>
      </x:c>
      <x:c r="S129" s="18" t="str">
        <x:v>https://job.cleaneye.go.kr/user/ypRecruitment.do</x:v>
      </x:c>
      <x:c r="T129" s="1"/>
      <x:c r="U129" s="1"/>
      <x:c r="V129" s="1"/>
      <x:c r="W129" s="1"/>
      <x:c r="X129" s="1"/>
      <x:c r="Y129" s="1"/>
      <x:c r="Z129" s="1"/>
    </x:row>
    <x:row r="130" ht="50" customHeight="1">
      <x:c r="A130" s="17" t="n">
        <x:v>126</x:v>
      </x:c>
      <x:c r="B130" s="17" t="str">
        <x:v>관악구시설관리공단</x:v>
      </x:c>
      <x:c r="C130" s="17" t="str">
        <x:v>서울특별시</x:v>
      </x:c>
      <x:c r="D130" s="17" t="str">
        <x:v>2026년 제4회 관악구시설관리공단 일반직 공개경쟁채용 공고</x:v>
      </x:c>
      <x:c r="E130" s="17" t="str">
        <x:v>신입</x:v>
      </x:c>
      <x:c r="F130" s="17" t="str">
        <x:v>일반정규직</x:v>
      </x:c>
      <x:c r="G130" s="17" t="str">
        <x:v>명시 없음(원문 확인)</x:v>
      </x:c>
      <x:c r="H130" s="17" t="str">
        <x:v>2026-09-04</x:v>
      </x:c>
      <x:c r="I130" s="17" t="str">
        <x:v>2026-09-13</x:v>
      </x:c>
      <x:c r="J130" s="17" t="str">
        <x:v>모집중</x:v>
      </x:c>
      <x:c r="K130" s="17" t="str">
        <x:v>신입·정규직</x:v>
      </x:c>
      <x:c r="L130" s="17" t="str">
        <x:v>우선검토</x:v>
      </x:c>
      <x:c r="M130" s="17" t="str">
        <x:v>제한 문구 미탐지</x:v>
      </x:c>
      <x:c r="N130" s="17" t="str">
        <x:v>기관 공고 원문 확인</x:v>
      </x:c>
      <x:c r="O130" s="17" t="str">
        <x:v>기관 공고 원문 확인</x:v>
      </x:c>
      <x:c r="P130" s="17" t="str">
        <x:v>기관 공고 원문 확인</x:v>
      </x:c>
      <x:c r="Q130" s="17" t="str">
        <x:v>기관 공고 원문 확인</x:v>
      </x:c>
      <x:c r="R130" s="17" t="str">
        <x:v>정상</x:v>
      </x:c>
      <x:c r="S130" s="18" t="str">
        <x:v>https://job.cleaneye.go.kr/user/ypRecruitment.do</x:v>
      </x:c>
      <x:c r="T130" s="1"/>
      <x:c r="U130" s="1"/>
      <x:c r="V130" s="1"/>
      <x:c r="W130" s="1"/>
      <x:c r="X130" s="1"/>
      <x:c r="Y130" s="1"/>
      <x:c r="Z130" s="1"/>
    </x:row>
    <x:row r="131" ht="50" customHeight="1">
      <x:c r="A131" s="17" t="n">
        <x:v>127</x:v>
      </x:c>
      <x:c r="B131" s="17" t="str">
        <x:v>인천시설공단</x:v>
      </x:c>
      <x:c r="C131" s="17" t="str">
        <x:v>인천광역시</x:v>
      </x:c>
      <x:c r="D131" s="17" t="str">
        <x:v>2026년 청소년수련관 스포츠센터 생활체육 프로그램 강사 채용 공고(제2026-23호)</x:v>
      </x:c>
      <x:c r="E131" s="17" t="str">
        <x:v>신입</x:v>
      </x:c>
      <x:c r="F131" s="17" t="str">
        <x:v>기간제</x:v>
      </x:c>
      <x:c r="G131" s="17" t="str">
        <x:v>명시 없음(원문 확인)</x:v>
      </x:c>
      <x:c r="H131" s="17" t="str">
        <x:v>2026-09-04</x:v>
      </x:c>
      <x:c r="I131" s="17" t="str">
        <x:v>2026-09-11</x:v>
      </x:c>
      <x:c r="J131" s="17" t="str">
        <x:v>모집중</x:v>
      </x:c>
      <x:c r="K131" s="17" t="str">
        <x:v>기간제·비정규</x:v>
      </x:c>
      <x:c r="L131" s="17" t="str">
        <x:v>검토</x:v>
      </x:c>
      <x:c r="M131" s="17" t="str">
        <x:v>제한 문구 미탐지</x:v>
      </x:c>
      <x:c r="N131" s="17" t="str">
        <x:v>기관 공고 원문 확인</x:v>
      </x:c>
      <x:c r="O131" s="17" t="str">
        <x:v>기관 공고 원문 확인</x:v>
      </x:c>
      <x:c r="P131" s="17" t="str">
        <x:v>기관 공고 원문 확인</x:v>
      </x:c>
      <x:c r="Q131" s="17" t="str">
        <x:v>기관 공고 원문 확인</x:v>
      </x:c>
      <x:c r="R131" s="17" t="str">
        <x:v>정상</x:v>
      </x:c>
      <x:c r="S131" s="18" t="str">
        <x:v>https://job.cleaneye.go.kr/user/ypRecruitment.do</x:v>
      </x:c>
      <x:c r="T131" s="1"/>
      <x:c r="U131" s="1"/>
      <x:c r="V131" s="1"/>
      <x:c r="W131" s="1"/>
      <x:c r="X131" s="1"/>
      <x:c r="Y131" s="1"/>
      <x:c r="Z131" s="1"/>
    </x:row>
    <x:row r="132" ht="50" customHeight="1">
      <x:c r="A132" s="17" t="n">
        <x:v>128</x:v>
      </x:c>
      <x:c r="B132" s="17" t="str">
        <x:v>경기도의료원</x:v>
      </x:c>
      <x:c r="C132" s="17" t="str">
        <x:v>경기도</x:v>
      </x:c>
      <x:c r="D132" s="17" t="str">
        <x:v>경기도의료원 수원병원 간호사(정규직)채용 공고</x:v>
      </x:c>
      <x:c r="E132" s="17" t="str">
        <x:v>신입+경력</x:v>
      </x:c>
      <x:c r="F132" s="17" t="str">
        <x:v>일반정규직</x:v>
      </x:c>
      <x:c r="G132" s="17" t="str">
        <x:v>명시 없음(원문 확인)</x:v>
      </x:c>
      <x:c r="H132" s="17" t="str">
        <x:v>2026-09-04</x:v>
      </x:c>
      <x:c r="I132" s="17" t="str">
        <x:v>2026-09-14</x:v>
      </x:c>
      <x:c r="J132" s="17" t="str">
        <x:v>모집중</x:v>
      </x:c>
      <x:c r="K132" s="17" t="str">
        <x:v>경력·전문직</x:v>
      </x:c>
      <x:c r="L132" s="17" t="str">
        <x:v>경력·전문 우선</x:v>
      </x:c>
      <x:c r="M132" s="17" t="str">
        <x:v>제한 문구 미탐지</x:v>
      </x:c>
      <x:c r="N132" s="17" t="str">
        <x:v>기관 공고 원문 확인</x:v>
      </x:c>
      <x:c r="O132" s="17" t="str">
        <x:v>기관 공고 원문 확인</x:v>
      </x:c>
      <x:c r="P132" s="17" t="str">
        <x:v>기관 공고 원문 확인</x:v>
      </x:c>
      <x:c r="Q132" s="17" t="str">
        <x:v>기관 공고 원문 확인</x:v>
      </x:c>
      <x:c r="R132" s="17" t="str">
        <x:v>정상</x:v>
      </x:c>
      <x:c r="S132" s="18" t="str">
        <x:v>https://job.cleaneye.go.kr/user/ypRecruitment.do</x:v>
      </x:c>
      <x:c r="T132" s="1"/>
      <x:c r="U132" s="1"/>
      <x:c r="V132" s="1"/>
      <x:c r="W132" s="1"/>
      <x:c r="X132" s="1"/>
      <x:c r="Y132" s="1"/>
      <x:c r="Z132" s="1"/>
    </x:row>
    <x:row r="133" ht="50" customHeight="1">
      <x:c r="A133" s="17" t="n">
        <x:v>129</x:v>
      </x:c>
      <x:c r="B133" s="17" t="str">
        <x:v>서초문화재단</x:v>
      </x:c>
      <x:c r="C133" s="17" t="str">
        <x:v>서울특별시</x:v>
      </x:c>
      <x:c r="D133" s="17" t="str">
        <x:v>2026-07차 서초문화재단 직원 채용 공고</x:v>
      </x:c>
      <x:c r="E133" s="17" t="str">
        <x:v>신입</x:v>
      </x:c>
      <x:c r="F133" s="17" t="str">
        <x:v>기간제</x:v>
      </x:c>
      <x:c r="G133" s="17" t="str">
        <x:v>명시 없음(원문 확인)</x:v>
      </x:c>
      <x:c r="H133" s="17" t="str">
        <x:v>2026-09-04</x:v>
      </x:c>
      <x:c r="I133" s="17" t="str">
        <x:v>2026-09-15</x:v>
      </x:c>
      <x:c r="J133" s="17" t="str">
        <x:v>모집중</x:v>
      </x:c>
      <x:c r="K133" s="17" t="str">
        <x:v>기간제·비정규</x:v>
      </x:c>
      <x:c r="L133" s="17" t="str">
        <x:v>검토</x:v>
      </x:c>
      <x:c r="M133" s="17" t="str">
        <x:v>제한 문구 미탐지</x:v>
      </x:c>
      <x:c r="N133" s="17" t="str">
        <x:v>기관 공고 원문 확인</x:v>
      </x:c>
      <x:c r="O133" s="17" t="str">
        <x:v>기관 공고 원문 확인</x:v>
      </x:c>
      <x:c r="P133" s="17" t="str">
        <x:v>기관 공고 원문 확인</x:v>
      </x:c>
      <x:c r="Q133" s="17" t="str">
        <x:v>기관 공고 원문 확인</x:v>
      </x:c>
      <x:c r="R133" s="17" t="str">
        <x:v>정상</x:v>
      </x:c>
      <x:c r="S133" s="18" t="str">
        <x:v>https://job.cleaneye.go.kr/user/ypRecruitment.do</x:v>
      </x:c>
      <x:c r="T133" s="1"/>
      <x:c r="U133" s="1"/>
      <x:c r="V133" s="1"/>
      <x:c r="W133" s="1"/>
      <x:c r="X133" s="1"/>
      <x:c r="Y133" s="1"/>
      <x:c r="Z133" s="1"/>
    </x:row>
    <x:row r="134" ht="50" customHeight="1">
      <x:c r="A134" s="17" t="n">
        <x:v>130</x:v>
      </x:c>
      <x:c r="B134" s="17" t="str">
        <x:v>김해인재양성재단</x:v>
      </x:c>
      <x:c r="C134" s="17" t="str">
        <x:v>경상남도</x:v>
      </x:c>
      <x:c r="D134" s="17" t="str">
        <x:v>재단법인 김해인재양성재단 대표이사 모집 공고</x:v>
      </x:c>
      <x:c r="E134" s="17" t="str">
        <x:v>신입+경력</x:v>
      </x:c>
      <x:c r="F134" s="17" t="str">
        <x:v>전문계약직</x:v>
      </x:c>
      <x:c r="G134" s="17" t="str">
        <x:v>명시 없음(원문 확인)</x:v>
      </x:c>
      <x:c r="H134" s="17" t="str">
        <x:v>2026-09-04</x:v>
      </x:c>
      <x:c r="I134" s="17" t="str">
        <x:v>2026-09-14</x:v>
      </x:c>
      <x:c r="J134" s="17" t="str">
        <x:v>모집중</x:v>
      </x:c>
      <x:c r="K134" s="17" t="str">
        <x:v>기타 채용</x:v>
      </x:c>
      <x:c r="L134" s="17" t="str">
        <x:v>검토</x:v>
      </x:c>
      <x:c r="M134" s="17" t="str">
        <x:v>제한 문구 미탐지</x:v>
      </x:c>
      <x:c r="N134" s="17" t="str">
        <x:v>기관 공고 원문 확인</x:v>
      </x:c>
      <x:c r="O134" s="17" t="str">
        <x:v>기관 공고 원문 확인</x:v>
      </x:c>
      <x:c r="P134" s="17" t="str">
        <x:v>기관 공고 원문 확인</x:v>
      </x:c>
      <x:c r="Q134" s="17" t="str">
        <x:v>기관 공고 원문 확인</x:v>
      </x:c>
      <x:c r="R134" s="17" t="str">
        <x:v>정상</x:v>
      </x:c>
      <x:c r="S134" s="18" t="str">
        <x:v>https://job.cleaneye.go.kr/user/ypRecruitment.do</x:v>
      </x:c>
      <x:c r="T134" s="1"/>
      <x:c r="U134" s="1"/>
      <x:c r="V134" s="1"/>
      <x:c r="W134" s="1"/>
      <x:c r="X134" s="1"/>
      <x:c r="Y134" s="1"/>
      <x:c r="Z134" s="1"/>
    </x:row>
    <x:row r="135" ht="50" customHeight="1">
      <x:c r="A135" s="17" t="n">
        <x:v>131</x:v>
      </x:c>
      <x:c r="B135" s="17" t="str">
        <x:v>김해문화관광재단</x:v>
      </x:c>
      <x:c r="C135" s="17" t="str">
        <x:v>경상남도</x:v>
      </x:c>
      <x:c r="D135" s="17" t="str">
        <x:v>(재)김해문화관광재단 김해시립김영원미술관 기간제 노동자(체험 프로그램 보조) 채용 공고</x:v>
      </x:c>
      <x:c r="E135" s="17" t="str">
        <x:v>신입+경력</x:v>
      </x:c>
      <x:c r="F135" s="17" t="str">
        <x:v>기간제</x:v>
      </x:c>
      <x:c r="G135" s="17" t="str">
        <x:v>명시 없음(원문 확인)</x:v>
      </x:c>
      <x:c r="H135" s="17" t="str">
        <x:v>2026-09-04</x:v>
      </x:c>
      <x:c r="I135" s="17" t="str">
        <x:v>2026-09-13</x:v>
      </x:c>
      <x:c r="J135" s="17" t="str">
        <x:v>모집중</x:v>
      </x:c>
      <x:c r="K135" s="17" t="str">
        <x:v>기간제·비정규</x:v>
      </x:c>
      <x:c r="L135" s="17" t="str">
        <x:v>검토</x:v>
      </x:c>
      <x:c r="M135" s="17" t="str">
        <x:v>제한 문구 미탐지</x:v>
      </x:c>
      <x:c r="N135" s="17" t="str">
        <x:v>기관 공고 원문 확인</x:v>
      </x:c>
      <x:c r="O135" s="17" t="str">
        <x:v>기관 공고 원문 확인</x:v>
      </x:c>
      <x:c r="P135" s="17" t="str">
        <x:v>기관 공고 원문 확인</x:v>
      </x:c>
      <x:c r="Q135" s="17" t="str">
        <x:v>기관 공고 원문 확인</x:v>
      </x:c>
      <x:c r="R135" s="17" t="str">
        <x:v>정상</x:v>
      </x:c>
      <x:c r="S135" s="18" t="str">
        <x:v>https://job.cleaneye.go.kr/user/ypRecruitment.do</x:v>
      </x:c>
      <x:c r="T135" s="1"/>
      <x:c r="U135" s="1"/>
      <x:c r="V135" s="1"/>
      <x:c r="W135" s="1"/>
      <x:c r="X135" s="1"/>
      <x:c r="Y135" s="1"/>
      <x:c r="Z135" s="1"/>
    </x:row>
    <x:row r="136" ht="50" customHeight="1">
      <x:c r="A136" s="17" t="n">
        <x:v>132</x:v>
      </x:c>
      <x:c r="B136" s="17" t="str">
        <x:v>울진군의료원</x:v>
      </x:c>
      <x:c r="C136" s="17" t="str">
        <x:v>경상북도</x:v>
      </x:c>
      <x:c r="D136" s="17" t="str">
        <x:v>울진군의료원 직원채용 공고(임상병리사 간호조무사, 진료보조, 사회복지사)</x:v>
      </x:c>
      <x:c r="E136" s="17" t="str">
        <x:v>신입+경력</x:v>
      </x:c>
      <x:c r="F136" s="17" t="str">
        <x:v>일반정규직</x:v>
      </x:c>
      <x:c r="G136" s="17" t="str">
        <x:v>명시 없음(원문 확인)</x:v>
      </x:c>
      <x:c r="H136" s="17" t="str">
        <x:v>2026-09-04</x:v>
      </x:c>
      <x:c r="I136" s="17" t="str">
        <x:v>2026-09-14</x:v>
      </x:c>
      <x:c r="J136" s="17" t="str">
        <x:v>모집중</x:v>
      </x:c>
      <x:c r="K136" s="17" t="str">
        <x:v>정규직(세부 확인)</x:v>
      </x:c>
      <x:c r="L136" s="17" t="str">
        <x:v>검토</x:v>
      </x:c>
      <x:c r="M136" s="17" t="str">
        <x:v>제한 문구 미탐지</x:v>
      </x:c>
      <x:c r="N136" s="17" t="str">
        <x:v>기관 공고 원문 확인</x:v>
      </x:c>
      <x:c r="O136" s="17" t="str">
        <x:v>기관 공고 원문 확인</x:v>
      </x:c>
      <x:c r="P136" s="17" t="str">
        <x:v>기관 공고 원문 확인</x:v>
      </x:c>
      <x:c r="Q136" s="17" t="str">
        <x:v>기관 공고 원문 확인</x:v>
      </x:c>
      <x:c r="R136" s="17" t="str">
        <x:v>정상</x:v>
      </x:c>
      <x:c r="S136" s="18" t="str">
        <x:v>https://job.cleaneye.go.kr/user/ypRecruitment.do</x:v>
      </x:c>
      <x:c r="T136" s="1"/>
      <x:c r="U136" s="1"/>
      <x:c r="V136" s="1"/>
      <x:c r="W136" s="1"/>
      <x:c r="X136" s="1"/>
      <x:c r="Y136" s="1"/>
      <x:c r="Z136" s="1"/>
    </x:row>
    <x:row r="137" ht="50" customHeight="1">
      <x:c r="A137" s="17" t="n">
        <x:v>133</x:v>
      </x:c>
      <x:c r="B137" s="17" t="str">
        <x:v>관악구시설관리공단</x:v>
      </x:c>
      <x:c r="C137" s="17" t="str">
        <x:v>서울특별시</x:v>
      </x:c>
      <x:c r="D137" s="17" t="str">
        <x:v>2026년 제4회 관악구시설관리공단 기술직 제한경쟁채용 공고</x:v>
      </x:c>
      <x:c r="E137" s="17" t="str">
        <x:v>신입</x:v>
      </x:c>
      <x:c r="F137" s="17" t="str">
        <x:v>일반정규직</x:v>
      </x:c>
      <x:c r="G137" s="17" t="str">
        <x:v>명시 없음(원문 확인)</x:v>
      </x:c>
      <x:c r="H137" s="17" t="str">
        <x:v>2026-09-04</x:v>
      </x:c>
      <x:c r="I137" s="17" t="str">
        <x:v>2026-09-13</x:v>
      </x:c>
      <x:c r="J137" s="17" t="str">
        <x:v>모집중</x:v>
      </x:c>
      <x:c r="K137" s="17" t="str">
        <x:v>제한경쟁·조건부</x:v>
      </x:c>
      <x:c r="L137" s="17" t="str">
        <x:v>조건 충족자만</x:v>
      </x:c>
      <x:c r="M137" s="17" t="str">
        <x:v>제한경쟁</x:v>
      </x:c>
      <x:c r="N137" s="17" t="str">
        <x:v>기관 공고 원문 확인</x:v>
      </x:c>
      <x:c r="O137" s="17" t="str">
        <x:v>기관 공고 원문 확인</x:v>
      </x:c>
      <x:c r="P137" s="17" t="str">
        <x:v>기관 공고 원문 확인</x:v>
      </x:c>
      <x:c r="Q137" s="17" t="str">
        <x:v>기관 공고 원문 확인</x:v>
      </x:c>
      <x:c r="R137" s="17" t="str">
        <x:v>정상</x:v>
      </x:c>
      <x:c r="S137" s="18" t="str">
        <x:v>https://job.cleaneye.go.kr/user/ypRecruitment.do</x:v>
      </x:c>
      <x:c r="T137" s="1"/>
      <x:c r="U137" s="1"/>
      <x:c r="V137" s="1"/>
      <x:c r="W137" s="1"/>
      <x:c r="X137" s="1"/>
      <x:c r="Y137" s="1"/>
      <x:c r="Z137" s="1"/>
    </x:row>
    <x:row r="138" ht="50" customHeight="1">
      <x:c r="A138" s="17" t="n">
        <x:v>134</x:v>
      </x:c>
      <x:c r="B138" s="17" t="str">
        <x:v>재단법인 포천문화관광재단</x:v>
      </x:c>
      <x:c r="C138" s="17" t="str">
        <x:v>경기도</x:v>
      </x:c>
      <x:c r="D138" s="17" t="str">
        <x:v>(재)포천문화관광재단 2026년 제5회 직원 공개채용</x:v>
      </x:c>
      <x:c r="E138" s="17" t="str">
        <x:v>신입</x:v>
      </x:c>
      <x:c r="F138" s="17" t="str">
        <x:v>기간제</x:v>
      </x:c>
      <x:c r="G138" s="17" t="str">
        <x:v>명시 없음(원문 확인)</x:v>
      </x:c>
      <x:c r="H138" s="17" t="str">
        <x:v>2026-09-04</x:v>
      </x:c>
      <x:c r="I138" s="17" t="str">
        <x:v>2026-09-14</x:v>
      </x:c>
      <x:c r="J138" s="17" t="str">
        <x:v>모집중</x:v>
      </x:c>
      <x:c r="K138" s="17" t="str">
        <x:v>기간제·비정규</x:v>
      </x:c>
      <x:c r="L138" s="17" t="str">
        <x:v>검토</x:v>
      </x:c>
      <x:c r="M138" s="17" t="str">
        <x:v>제한 문구 미탐지</x:v>
      </x:c>
      <x:c r="N138" s="17" t="str">
        <x:v>기관 공고 원문 확인</x:v>
      </x:c>
      <x:c r="O138" s="17" t="str">
        <x:v>기관 공고 원문 확인</x:v>
      </x:c>
      <x:c r="P138" s="17" t="str">
        <x:v>기관 공고 원문 확인</x:v>
      </x:c>
      <x:c r="Q138" s="17" t="str">
        <x:v>기관 공고 원문 확인</x:v>
      </x:c>
      <x:c r="R138" s="17" t="str">
        <x:v>정상</x:v>
      </x:c>
      <x:c r="S138" s="18" t="str">
        <x:v>https://job.cleaneye.go.kr/user/ypRecruitment.do</x:v>
      </x:c>
      <x:c r="T138" s="1"/>
      <x:c r="U138" s="1"/>
      <x:c r="V138" s="1"/>
      <x:c r="W138" s="1"/>
      <x:c r="X138" s="1"/>
      <x:c r="Y138" s="1"/>
      <x:c r="Z138" s="1"/>
    </x:row>
    <x:row r="139" ht="50" customHeight="1">
      <x:c r="A139" s="17" t="n">
        <x:v>135</x:v>
      </x:c>
      <x:c r="B139" s="17" t="str">
        <x:v>관악구시설관리공단</x:v>
      </x:c>
      <x:c r="C139" s="17" t="str">
        <x:v>서울특별시</x:v>
      </x:c>
      <x:c r="D139" s="17" t="str">
        <x:v>2026년 제4회 관악구시설관리공단 일반직 제한경쟁채용 공고</x:v>
      </x:c>
      <x:c r="E139" s="17" t="str">
        <x:v>신입</x:v>
      </x:c>
      <x:c r="F139" s="17" t="str">
        <x:v>일반정규직</x:v>
      </x:c>
      <x:c r="G139" s="17" t="str">
        <x:v>명시 없음(원문 확인)</x:v>
      </x:c>
      <x:c r="H139" s="17" t="str">
        <x:v>2026-09-04</x:v>
      </x:c>
      <x:c r="I139" s="17" t="str">
        <x:v>2026-09-13</x:v>
      </x:c>
      <x:c r="J139" s="17" t="str">
        <x:v>모집중</x:v>
      </x:c>
      <x:c r="K139" s="17" t="str">
        <x:v>제한경쟁·조건부</x:v>
      </x:c>
      <x:c r="L139" s="17" t="str">
        <x:v>조건 충족자만</x:v>
      </x:c>
      <x:c r="M139" s="17" t="str">
        <x:v>제한경쟁</x:v>
      </x:c>
      <x:c r="N139" s="17" t="str">
        <x:v>기관 공고 원문 확인</x:v>
      </x:c>
      <x:c r="O139" s="17" t="str">
        <x:v>기관 공고 원문 확인</x:v>
      </x:c>
      <x:c r="P139" s="17" t="str">
        <x:v>기관 공고 원문 확인</x:v>
      </x:c>
      <x:c r="Q139" s="17" t="str">
        <x:v>기관 공고 원문 확인</x:v>
      </x:c>
      <x:c r="R139" s="17" t="str">
        <x:v>정상</x:v>
      </x:c>
      <x:c r="S139" s="18" t="str">
        <x:v>https://job.cleaneye.go.kr/user/ypRecruitment.do</x:v>
      </x:c>
      <x:c r="T139" s="1"/>
      <x:c r="U139" s="1"/>
      <x:c r="V139" s="1"/>
      <x:c r="W139" s="1"/>
      <x:c r="X139" s="1"/>
      <x:c r="Y139" s="1"/>
      <x:c r="Z139" s="1"/>
    </x:row>
    <x:row r="140" ht="50" customHeight="1">
      <x:c r="A140" s="17" t="n">
        <x:v>136</x:v>
      </x:c>
      <x:c r="B140" s="17" t="str">
        <x:v>관악구시설관리공단</x:v>
      </x:c>
      <x:c r="C140" s="17" t="str">
        <x:v>서울특별시</x:v>
      </x:c>
      <x:c r="D140" s="17" t="str">
        <x:v>2026년 제4회 관악구시설관리공단 임시직 제한경쟁채용 공고</x:v>
      </x:c>
      <x:c r="E140" s="17" t="str">
        <x:v>신입</x:v>
      </x:c>
      <x:c r="F140" s="17" t="str">
        <x:v>기간제</x:v>
      </x:c>
      <x:c r="G140" s="17" t="str">
        <x:v>명시 없음(원문 확인)</x:v>
      </x:c>
      <x:c r="H140" s="17" t="str">
        <x:v>2026-09-04</x:v>
      </x:c>
      <x:c r="I140" s="17" t="str">
        <x:v>2026-09-13</x:v>
      </x:c>
      <x:c r="J140" s="17" t="str">
        <x:v>모집중</x:v>
      </x:c>
      <x:c r="K140" s="17" t="str">
        <x:v>제한경쟁·조건부</x:v>
      </x:c>
      <x:c r="L140" s="17" t="str">
        <x:v>조건 충족자만</x:v>
      </x:c>
      <x:c r="M140" s="17" t="str">
        <x:v>제한경쟁</x:v>
      </x:c>
      <x:c r="N140" s="17" t="str">
        <x:v>기관 공고 원문 확인</x:v>
      </x:c>
      <x:c r="O140" s="17" t="str">
        <x:v>기관 공고 원문 확인</x:v>
      </x:c>
      <x:c r="P140" s="17" t="str">
        <x:v>기관 공고 원문 확인</x:v>
      </x:c>
      <x:c r="Q140" s="17" t="str">
        <x:v>기관 공고 원문 확인</x:v>
      </x:c>
      <x:c r="R140" s="17" t="str">
        <x:v>정상</x:v>
      </x:c>
      <x:c r="S140" s="18" t="str">
        <x:v>https://job.cleaneye.go.kr/user/ypRecruitment.do</x:v>
      </x:c>
      <x:c r="T140" s="1"/>
      <x:c r="U140" s="1"/>
      <x:c r="V140" s="1"/>
      <x:c r="W140" s="1"/>
      <x:c r="X140" s="1"/>
      <x:c r="Y140" s="1"/>
      <x:c r="Z140" s="1"/>
    </x:row>
    <x:row r="141" ht="50" customHeight="1">
      <x:c r="A141" s="17" t="n">
        <x:v>137</x:v>
      </x:c>
      <x:c r="B141" s="17" t="str">
        <x:v>재단법인 부천산업진흥원</x:v>
      </x:c>
      <x:c r="C141" s="17" t="str">
        <x:v>경기도</x:v>
      </x:c>
      <x:c r="D141" s="17" t="str">
        <x:v>부천산업진흥원 계약직원 채용 모집 공고</x:v>
      </x:c>
      <x:c r="E141" s="17" t="str">
        <x:v>경력</x:v>
      </x:c>
      <x:c r="F141" s="17" t="str">
        <x:v>기간제</x:v>
      </x:c>
      <x:c r="G141" s="17" t="str">
        <x:v>명시 없음(원문 확인)</x:v>
      </x:c>
      <x:c r="H141" s="17" t="str">
        <x:v>2026-09-04</x:v>
      </x:c>
      <x:c r="I141" s="17" t="str">
        <x:v>2026-09-10</x:v>
      </x:c>
      <x:c r="J141" s="17" t="str">
        <x:v>모집중</x:v>
      </x:c>
      <x:c r="K141" s="17" t="str">
        <x:v>기간제·비정규</x:v>
      </x:c>
      <x:c r="L141" s="17" t="str">
        <x:v>세부조건 확인</x:v>
      </x:c>
      <x:c r="M141" s="17" t="str">
        <x:v>제한 문구 미탐지</x:v>
      </x:c>
      <x:c r="N141" s="17" t="str">
        <x:v>기관 공고 원문 확인</x:v>
      </x:c>
      <x:c r="O141" s="17" t="str">
        <x:v>기관 공고 원문 확인</x:v>
      </x:c>
      <x:c r="P141" s="17" t="str">
        <x:v>기관 공고 원문 확인</x:v>
      </x:c>
      <x:c r="Q141" s="17" t="str">
        <x:v>기관 공고 원문 확인</x:v>
      </x:c>
      <x:c r="R141" s="17" t="str">
        <x:v>정상</x:v>
      </x:c>
      <x:c r="S141" s="18" t="str">
        <x:v>https://job.cleaneye.go.kr/user/ypRecruitment.do</x:v>
      </x:c>
      <x:c r="T141" s="1"/>
      <x:c r="U141" s="1"/>
      <x:c r="V141" s="1"/>
      <x:c r="W141" s="1"/>
      <x:c r="X141" s="1"/>
      <x:c r="Y141" s="1"/>
      <x:c r="Z141" s="1"/>
    </x:row>
    <x:row r="142" ht="50" customHeight="1">
      <x:c r="A142" s="17" t="n">
        <x:v>138</x:v>
      </x:c>
      <x:c r="B142" s="17" t="str">
        <x:v>경남로봇랜드재단</x:v>
      </x:c>
      <x:c r="C142" s="17" t="str">
        <x:v>경상남도</x:v>
      </x:c>
      <x:c r="D142" s="17" t="str">
        <x:v>2026년 경남로봇랜드재단 계약직 채용 공고(보훈)</x:v>
      </x:c>
      <x:c r="E142" s="17" t="str">
        <x:v>신입+경력</x:v>
      </x:c>
      <x:c r="F142" s="17" t="str">
        <x:v>일반계약직</x:v>
      </x:c>
      <x:c r="G142" s="17" t="str">
        <x:v>명시 없음(원문 확인)</x:v>
      </x:c>
      <x:c r="H142" s="17" t="str">
        <x:v>2026-09-04</x:v>
      </x:c>
      <x:c r="I142" s="17" t="str">
        <x:v>2026-09-14</x:v>
      </x:c>
      <x:c r="J142" s="17" t="str">
        <x:v>모집중</x:v>
      </x:c>
      <x:c r="K142" s="17" t="str">
        <x:v>제한경쟁·조건부</x:v>
      </x:c>
      <x:c r="L142" s="17" t="str">
        <x:v>조건 충족자만</x:v>
      </x:c>
      <x:c r="M142" s="17" t="str">
        <x:v>보훈 관련 제한경쟁</x:v>
      </x:c>
      <x:c r="N142" s="17" t="str">
        <x:v>기관 공고 원문 확인</x:v>
      </x:c>
      <x:c r="O142" s="17" t="str">
        <x:v>기관 공고 원문 확인</x:v>
      </x:c>
      <x:c r="P142" s="17" t="str">
        <x:v>기관 공고 원문 확인</x:v>
      </x:c>
      <x:c r="Q142" s="17" t="str">
        <x:v>기관 공고 원문 확인</x:v>
      </x:c>
      <x:c r="R142" s="17" t="str">
        <x:v>포털 중복 2건</x:v>
      </x:c>
      <x:c r="S142" s="18" t="str">
        <x:v>https://job.cleaneye.go.kr/user/ypRecruitment.do</x:v>
      </x:c>
      <x:c r="T142" s="1"/>
      <x:c r="U142" s="1"/>
      <x:c r="V142" s="1"/>
      <x:c r="W142" s="1"/>
      <x:c r="X142" s="1"/>
      <x:c r="Y142" s="1"/>
      <x:c r="Z142" s="1"/>
    </x:row>
    <x:row r="143" ht="50" customHeight="1">
      <x:c r="A143" s="17" t="n">
        <x:v>139</x:v>
      </x:c>
      <x:c r="B143" s="17" t="str">
        <x:v>경남로봇랜드재단</x:v>
      </x:c>
      <x:c r="C143" s="17" t="str">
        <x:v>경상남도</x:v>
      </x:c>
      <x:c r="D143" s="17" t="str">
        <x:v>2026년 경남로봇랜드재단 계약직 채용 공고</x:v>
      </x:c>
      <x:c r="E143" s="17" t="str">
        <x:v>신입+경력</x:v>
      </x:c>
      <x:c r="F143" s="17" t="str">
        <x:v>일반계약직</x:v>
      </x:c>
      <x:c r="G143" s="17" t="str">
        <x:v>명시 없음(원문 확인)</x:v>
      </x:c>
      <x:c r="H143" s="17" t="str">
        <x:v>2026-09-04</x:v>
      </x:c>
      <x:c r="I143" s="17" t="str">
        <x:v>2026-09-14</x:v>
      </x:c>
      <x:c r="J143" s="17" t="str">
        <x:v>모집중</x:v>
      </x:c>
      <x:c r="K143" s="17" t="str">
        <x:v>기타 채용</x:v>
      </x:c>
      <x:c r="L143" s="17" t="str">
        <x:v>검토</x:v>
      </x:c>
      <x:c r="M143" s="17" t="str">
        <x:v>제한 문구 미탐지</x:v>
      </x:c>
      <x:c r="N143" s="17" t="str">
        <x:v>기관 공고 원문 확인</x:v>
      </x:c>
      <x:c r="O143" s="17" t="str">
        <x:v>기관 공고 원문 확인</x:v>
      </x:c>
      <x:c r="P143" s="17" t="str">
        <x:v>기관 공고 원문 확인</x:v>
      </x:c>
      <x:c r="Q143" s="17" t="str">
        <x:v>기관 공고 원문 확인</x:v>
      </x:c>
      <x:c r="R143" s="17" t="str">
        <x:v>포털 중복 2건</x:v>
      </x:c>
      <x:c r="S143" s="18" t="str">
        <x:v>https://job.cleaneye.go.kr/user/ypRecruitment.do</x:v>
      </x:c>
      <x:c r="T143" s="1"/>
      <x:c r="U143" s="1"/>
      <x:c r="V143" s="1"/>
      <x:c r="W143" s="1"/>
      <x:c r="X143" s="1"/>
      <x:c r="Y143" s="1"/>
      <x:c r="Z143" s="1"/>
    </x:row>
    <x:row r="144" ht="50" customHeight="1">
      <x:c r="A144" s="17" t="n">
        <x:v>140</x:v>
      </x:c>
      <x:c r="B144" s="17" t="str">
        <x:v>경남로봇랜드재단</x:v>
      </x:c>
      <x:c r="C144" s="17" t="str">
        <x:v>경상남도</x:v>
      </x:c>
      <x:c r="D144" s="17" t="str">
        <x:v>2026년 경남로봇랜드재단 계약직 채용 공고</x:v>
      </x:c>
      <x:c r="E144" s="17" t="str">
        <x:v>신입+경력</x:v>
      </x:c>
      <x:c r="F144" s="17" t="str">
        <x:v>일반계약직</x:v>
      </x:c>
      <x:c r="G144" s="17" t="str">
        <x:v>명시 없음(원문 확인)</x:v>
      </x:c>
      <x:c r="H144" s="17" t="str">
        <x:v>2026-09-04</x:v>
      </x:c>
      <x:c r="I144" s="17" t="str">
        <x:v>2026-09-14</x:v>
      </x:c>
      <x:c r="J144" s="17" t="str">
        <x:v>모집중</x:v>
      </x:c>
      <x:c r="K144" s="17" t="str">
        <x:v>기타 채용</x:v>
      </x:c>
      <x:c r="L144" s="17" t="str">
        <x:v>검토</x:v>
      </x:c>
      <x:c r="M144" s="17" t="str">
        <x:v>제한 문구 미탐지</x:v>
      </x:c>
      <x:c r="N144" s="17" t="str">
        <x:v>기관 공고 원문 확인</x:v>
      </x:c>
      <x:c r="O144" s="17" t="str">
        <x:v>기관 공고 원문 확인</x:v>
      </x:c>
      <x:c r="P144" s="17" t="str">
        <x:v>기관 공고 원문 확인</x:v>
      </x:c>
      <x:c r="Q144" s="17" t="str">
        <x:v>기관 공고 원문 확인</x:v>
      </x:c>
      <x:c r="R144" s="17" t="str">
        <x:v>포털 중복 2건</x:v>
      </x:c>
      <x:c r="S144" s="18" t="str">
        <x:v>https://job.cleaneye.go.kr/user/ypRecruitment.do</x:v>
      </x:c>
      <x:c r="T144" s="1"/>
      <x:c r="U144" s="1"/>
      <x:c r="V144" s="1"/>
      <x:c r="W144" s="1"/>
      <x:c r="X144" s="1"/>
      <x:c r="Y144" s="1"/>
      <x:c r="Z144" s="1"/>
    </x:row>
    <x:row r="145" ht="50" customHeight="1">
      <x:c r="A145" s="17" t="n">
        <x:v>141</x:v>
      </x:c>
      <x:c r="B145" s="17" t="str">
        <x:v>재단법인 양천문화재단</x:v>
      </x:c>
      <x:c r="C145" s="17" t="str">
        <x:v>서울특별시</x:v>
      </x:c>
      <x:c r="D145" s="17" t="str">
        <x:v>2026년 제5차 (재)양천문화재단 직원 채용(~9/14)</x:v>
      </x:c>
      <x:c r="E145" s="17" t="str">
        <x:v>신입+경력</x:v>
      </x:c>
      <x:c r="F145" s="17" t="str">
        <x:v>기간제</x:v>
      </x:c>
      <x:c r="G145" s="17" t="str">
        <x:v>명시 없음(원문 확인)</x:v>
      </x:c>
      <x:c r="H145" s="17" t="str">
        <x:v>2026-09-04</x:v>
      </x:c>
      <x:c r="I145" s="17" t="str">
        <x:v>2026-09-14</x:v>
      </x:c>
      <x:c r="J145" s="17" t="str">
        <x:v>모집중</x:v>
      </x:c>
      <x:c r="K145" s="17" t="str">
        <x:v>기간제·비정규</x:v>
      </x:c>
      <x:c r="L145" s="17" t="str">
        <x:v>검토</x:v>
      </x:c>
      <x:c r="M145" s="17" t="str">
        <x:v>제한 문구 미탐지</x:v>
      </x:c>
      <x:c r="N145" s="17" t="str">
        <x:v>기관 공고 원문 확인</x:v>
      </x:c>
      <x:c r="O145" s="17" t="str">
        <x:v>기관 공고 원문 확인</x:v>
      </x:c>
      <x:c r="P145" s="17" t="str">
        <x:v>기관 공고 원문 확인</x:v>
      </x:c>
      <x:c r="Q145" s="17" t="str">
        <x:v>기관 공고 원문 확인</x:v>
      </x:c>
      <x:c r="R145" s="17" t="str">
        <x:v>포털 중복 4건</x:v>
      </x:c>
      <x:c r="S145" s="18" t="str">
        <x:v>https://job.cleaneye.go.kr/user/ypRecruitment.do</x:v>
      </x:c>
      <x:c r="T145" s="1"/>
      <x:c r="U145" s="1"/>
      <x:c r="V145" s="1"/>
      <x:c r="W145" s="1"/>
      <x:c r="X145" s="1"/>
      <x:c r="Y145" s="1"/>
      <x:c r="Z145" s="1"/>
    </x:row>
    <x:row r="146" ht="50" customHeight="1">
      <x:c r="A146" s="17" t="n">
        <x:v>142</x:v>
      </x:c>
      <x:c r="B146" s="17" t="str">
        <x:v>재단법인 양천문화재단</x:v>
      </x:c>
      <x:c r="C146" s="17" t="str">
        <x:v>서울특별시</x:v>
      </x:c>
      <x:c r="D146" s="17" t="str">
        <x:v>2025년 제5차 (재)양천문화재단 직원 채용(~9/14)</x:v>
      </x:c>
      <x:c r="E146" s="17" t="str">
        <x:v>신입+경력</x:v>
      </x:c>
      <x:c r="F146" s="17" t="str">
        <x:v>일반정규직</x:v>
      </x:c>
      <x:c r="G146" s="17" t="str">
        <x:v>명시 없음(원문 확인)</x:v>
      </x:c>
      <x:c r="H146" s="17" t="str">
        <x:v>2026-09-04</x:v>
      </x:c>
      <x:c r="I146" s="17" t="str">
        <x:v>2026-09-14</x:v>
      </x:c>
      <x:c r="J146" s="17" t="str">
        <x:v>모집중</x:v>
      </x:c>
      <x:c r="K146" s="17" t="str">
        <x:v>정규직(세부 확인)</x:v>
      </x:c>
      <x:c r="L146" s="17" t="str">
        <x:v>검토</x:v>
      </x:c>
      <x:c r="M146" s="17" t="str">
        <x:v>제한 문구 미탐지</x:v>
      </x:c>
      <x:c r="N146" s="17" t="str">
        <x:v>기관 공고 원문 확인</x:v>
      </x:c>
      <x:c r="O146" s="17" t="str">
        <x:v>기관 공고 원문 확인</x:v>
      </x:c>
      <x:c r="P146" s="17" t="str">
        <x:v>기관 공고 원문 확인</x:v>
      </x:c>
      <x:c r="Q146" s="17" t="str">
        <x:v>기관 공고 원문 확인</x:v>
      </x:c>
      <x:c r="R146" s="17" t="str">
        <x:v>포털 중복 3건</x:v>
      </x:c>
      <x:c r="S146" s="18" t="str">
        <x:v>https://job.cleaneye.go.kr/user/ypRecruitment.do</x:v>
      </x:c>
      <x:c r="T146" s="1"/>
      <x:c r="U146" s="1"/>
      <x:c r="V146" s="1"/>
      <x:c r="W146" s="1"/>
      <x:c r="X146" s="1"/>
      <x:c r="Y146" s="1"/>
      <x:c r="Z146" s="1"/>
    </x:row>
    <x:row r="147" ht="50" customHeight="1">
      <x:c r="A147" s="17" t="n">
        <x:v>143</x:v>
      </x:c>
      <x:c r="B147" s="17" t="str">
        <x:v>재단법인 양천문화재단</x:v>
      </x:c>
      <x:c r="C147" s="17" t="str">
        <x:v>서울특별시</x:v>
      </x:c>
      <x:c r="D147" s="17" t="str">
        <x:v>2026년 제5차 (재)양천문화재단 직원 채용(~9/14)</x:v>
      </x:c>
      <x:c r="E147" s="17" t="str">
        <x:v>신입+경력</x:v>
      </x:c>
      <x:c r="F147" s="17" t="str">
        <x:v>기간제</x:v>
      </x:c>
      <x:c r="G147" s="17" t="str">
        <x:v>명시 없음(원문 확인)</x:v>
      </x:c>
      <x:c r="H147" s="17" t="str">
        <x:v>2026-09-04</x:v>
      </x:c>
      <x:c r="I147" s="17" t="str">
        <x:v>2026-09-14</x:v>
      </x:c>
      <x:c r="J147" s="17" t="str">
        <x:v>모집중</x:v>
      </x:c>
      <x:c r="K147" s="17" t="str">
        <x:v>기간제·비정규</x:v>
      </x:c>
      <x:c r="L147" s="17" t="str">
        <x:v>검토</x:v>
      </x:c>
      <x:c r="M147" s="17" t="str">
        <x:v>제한 문구 미탐지</x:v>
      </x:c>
      <x:c r="N147" s="17" t="str">
        <x:v>기관 공고 원문 확인</x:v>
      </x:c>
      <x:c r="O147" s="17" t="str">
        <x:v>기관 공고 원문 확인</x:v>
      </x:c>
      <x:c r="P147" s="17" t="str">
        <x:v>기관 공고 원문 확인</x:v>
      </x:c>
      <x:c r="Q147" s="17" t="str">
        <x:v>기관 공고 원문 확인</x:v>
      </x:c>
      <x:c r="R147" s="17" t="str">
        <x:v>포털 중복 4건</x:v>
      </x:c>
      <x:c r="S147" s="18" t="str">
        <x:v>https://job.cleaneye.go.kr/user/ypRecruitment.do</x:v>
      </x:c>
      <x:c r="T147" s="1"/>
      <x:c r="U147" s="1"/>
      <x:c r="V147" s="1"/>
      <x:c r="W147" s="1"/>
      <x:c r="X147" s="1"/>
      <x:c r="Y147" s="1"/>
      <x:c r="Z147" s="1"/>
    </x:row>
    <x:row r="148" ht="50" customHeight="1">
      <x:c r="A148" s="17" t="n">
        <x:v>144</x:v>
      </x:c>
      <x:c r="B148" s="17" t="str">
        <x:v>전북특별자치도 군산의료원</x:v>
      </x:c>
      <x:c r="C148" s="17" t="str">
        <x:v>전북특별자치도</x:v>
      </x:c>
      <x:c r="D148" s="17" t="str">
        <x:v>군산의료원 주차관리원(단시간) 장애인 제한 채용 공고</x:v>
      </x:c>
      <x:c r="E148" s="17" t="str">
        <x:v>신입</x:v>
      </x:c>
      <x:c r="F148" s="17" t="str">
        <x:v>일반정규직</x:v>
      </x:c>
      <x:c r="G148" s="17" t="str">
        <x:v>명시 없음(원문 확인)</x:v>
      </x:c>
      <x:c r="H148" s="17" t="str">
        <x:v>2026-09-04</x:v>
      </x:c>
      <x:c r="I148" s="17" t="str">
        <x:v>2026-09-14</x:v>
      </x:c>
      <x:c r="J148" s="17" t="str">
        <x:v>모집중</x:v>
      </x:c>
      <x:c r="K148" s="17" t="str">
        <x:v>제한경쟁·조건부</x:v>
      </x:c>
      <x:c r="L148" s="17" t="str">
        <x:v>조건 충족자만</x:v>
      </x:c>
      <x:c r="M148" s="17" t="str">
        <x:v>장애 관련 제한경쟁</x:v>
      </x:c>
      <x:c r="N148" s="17" t="str">
        <x:v>기관 공고 원문 확인</x:v>
      </x:c>
      <x:c r="O148" s="17" t="str">
        <x:v>기관 공고 원문 확인</x:v>
      </x:c>
      <x:c r="P148" s="17" t="str">
        <x:v>기관 공고 원문 확인</x:v>
      </x:c>
      <x:c r="Q148" s="17" t="str">
        <x:v>기관 공고 원문 확인</x:v>
      </x:c>
      <x:c r="R148" s="17" t="str">
        <x:v>정상</x:v>
      </x:c>
      <x:c r="S148" s="18" t="str">
        <x:v>https://job.cleaneye.go.kr/user/ypRecruitment.do</x:v>
      </x:c>
      <x:c r="T148" s="1"/>
      <x:c r="U148" s="1"/>
      <x:c r="V148" s="1"/>
      <x:c r="W148" s="1"/>
      <x:c r="X148" s="1"/>
      <x:c r="Y148" s="1"/>
      <x:c r="Z148" s="1"/>
    </x:row>
    <x:row r="149" ht="50" customHeight="1">
      <x:c r="A149" s="17" t="n">
        <x:v>145</x:v>
      </x:c>
      <x:c r="B149" s="17" t="str">
        <x:v>전북특별자치도 군산의료원</x:v>
      </x:c>
      <x:c r="C149" s="17" t="str">
        <x:v>전북특별자치도</x:v>
      </x:c>
      <x:c r="D149" s="17" t="str">
        <x:v>군산의료원 진료협력센터(의뢰·회송) 전담간호사(계약직) 채용 공고</x:v>
      </x:c>
      <x:c r="E149" s="17" t="str">
        <x:v>신입+경력</x:v>
      </x:c>
      <x:c r="F149" s="17" t="str">
        <x:v>기간제</x:v>
      </x:c>
      <x:c r="G149" s="17" t="str">
        <x:v>명시 없음(원문 확인)</x:v>
      </x:c>
      <x:c r="H149" s="17" t="str">
        <x:v>2026-09-04</x:v>
      </x:c>
      <x:c r="I149" s="17" t="str">
        <x:v>2026-09-14</x:v>
      </x:c>
      <x:c r="J149" s="17" t="str">
        <x:v>모집중</x:v>
      </x:c>
      <x:c r="K149" s="17" t="str">
        <x:v>경력·전문직</x:v>
      </x:c>
      <x:c r="L149" s="17" t="str">
        <x:v>경력·전문 우선</x:v>
      </x:c>
      <x:c r="M149" s="17" t="str">
        <x:v>제한 문구 미탐지</x:v>
      </x:c>
      <x:c r="N149" s="17" t="str">
        <x:v>기관 공고 원문 확인</x:v>
      </x:c>
      <x:c r="O149" s="17" t="str">
        <x:v>기관 공고 원문 확인</x:v>
      </x:c>
      <x:c r="P149" s="17" t="str">
        <x:v>기관 공고 원문 확인</x:v>
      </x:c>
      <x:c r="Q149" s="17" t="str">
        <x:v>기관 공고 원문 확인</x:v>
      </x:c>
      <x:c r="R149" s="17" t="str">
        <x:v>정상</x:v>
      </x:c>
      <x:c r="S149" s="18" t="str">
        <x:v>https://job.cleaneye.go.kr/user/ypRecruitment.do</x:v>
      </x:c>
      <x:c r="T149" s="1"/>
      <x:c r="U149" s="1"/>
      <x:c r="V149" s="1"/>
      <x:c r="W149" s="1"/>
      <x:c r="X149" s="1"/>
      <x:c r="Y149" s="1"/>
      <x:c r="Z149" s="1"/>
    </x:row>
    <x:row r="150" ht="50" customHeight="1">
      <x:c r="A150" s="17" t="n">
        <x:v>146</x:v>
      </x:c>
      <x:c r="B150" s="17" t="str">
        <x:v>재단법인 양천문화재단</x:v>
      </x:c>
      <x:c r="C150" s="17" t="str">
        <x:v>서울특별시</x:v>
      </x:c>
      <x:c r="D150" s="17" t="str">
        <x:v>2026년 제5차 (재)양천문화재단 직원 채용(~9/14)</x:v>
      </x:c>
      <x:c r="E150" s="17" t="str">
        <x:v>신입+경력</x:v>
      </x:c>
      <x:c r="F150" s="17" t="str">
        <x:v>기간제</x:v>
      </x:c>
      <x:c r="G150" s="17" t="str">
        <x:v>명시 없음(원문 확인)</x:v>
      </x:c>
      <x:c r="H150" s="17" t="str">
        <x:v>2026-09-04</x:v>
      </x:c>
      <x:c r="I150" s="17" t="str">
        <x:v>2026-09-14</x:v>
      </x:c>
      <x:c r="J150" s="17" t="str">
        <x:v>모집중</x:v>
      </x:c>
      <x:c r="K150" s="17" t="str">
        <x:v>기간제·비정규</x:v>
      </x:c>
      <x:c r="L150" s="17" t="str">
        <x:v>검토</x:v>
      </x:c>
      <x:c r="M150" s="17" t="str">
        <x:v>제한 문구 미탐지</x:v>
      </x:c>
      <x:c r="N150" s="17" t="str">
        <x:v>기관 공고 원문 확인</x:v>
      </x:c>
      <x:c r="O150" s="17" t="str">
        <x:v>기관 공고 원문 확인</x:v>
      </x:c>
      <x:c r="P150" s="17" t="str">
        <x:v>기관 공고 원문 확인</x:v>
      </x:c>
      <x:c r="Q150" s="17" t="str">
        <x:v>기관 공고 원문 확인</x:v>
      </x:c>
      <x:c r="R150" s="17" t="str">
        <x:v>포털 중복 4건</x:v>
      </x:c>
      <x:c r="S150" s="18" t="str">
        <x:v>https://job.cleaneye.go.kr/user/ypRecruitment.do</x:v>
      </x:c>
      <x:c r="T150" s="1"/>
      <x:c r="U150" s="1"/>
      <x:c r="V150" s="1"/>
      <x:c r="W150" s="1"/>
      <x:c r="X150" s="1"/>
      <x:c r="Y150" s="1"/>
      <x:c r="Z150" s="1"/>
    </x:row>
    <x:row r="151" ht="50" customHeight="1">
      <x:c r="A151" s="17" t="n">
        <x:v>147</x:v>
      </x:c>
      <x:c r="B151" s="17" t="str">
        <x:v>재단법인 양천문화재단</x:v>
      </x:c>
      <x:c r="C151" s="17" t="str">
        <x:v>서울특별시</x:v>
      </x:c>
      <x:c r="D151" s="17" t="str">
        <x:v>2025년 제5차 (재)양천문화재단 직원 채용(~9/14)</x:v>
      </x:c>
      <x:c r="E151" s="17" t="str">
        <x:v>경력</x:v>
      </x:c>
      <x:c r="F151" s="17" t="str">
        <x:v>기간제</x:v>
      </x:c>
      <x:c r="G151" s="17" t="str">
        <x:v>명시 없음(원문 확인)</x:v>
      </x:c>
      <x:c r="H151" s="17" t="str">
        <x:v>2026-09-04</x:v>
      </x:c>
      <x:c r="I151" s="17" t="str">
        <x:v>2026-09-14</x:v>
      </x:c>
      <x:c r="J151" s="17" t="str">
        <x:v>모집중</x:v>
      </x:c>
      <x:c r="K151" s="17" t="str">
        <x:v>기간제·비정규</x:v>
      </x:c>
      <x:c r="L151" s="17" t="str">
        <x:v>세부조건 확인</x:v>
      </x:c>
      <x:c r="M151" s="17" t="str">
        <x:v>제한 문구 미탐지</x:v>
      </x:c>
      <x:c r="N151" s="17" t="str">
        <x:v>기관 공고 원문 확인</x:v>
      </x:c>
      <x:c r="O151" s="17" t="str">
        <x:v>기관 공고 원문 확인</x:v>
      </x:c>
      <x:c r="P151" s="17" t="str">
        <x:v>기관 공고 원문 확인</x:v>
      </x:c>
      <x:c r="Q151" s="17" t="str">
        <x:v>기관 공고 원문 확인</x:v>
      </x:c>
      <x:c r="R151" s="17" t="str">
        <x:v>포털 중복 3건</x:v>
      </x:c>
      <x:c r="S151" s="18" t="str">
        <x:v>https://job.cleaneye.go.kr/user/ypRecruitment.do</x:v>
      </x:c>
      <x:c r="T151" s="1"/>
      <x:c r="U151" s="1"/>
      <x:c r="V151" s="1"/>
      <x:c r="W151" s="1"/>
      <x:c r="X151" s="1"/>
      <x:c r="Y151" s="1"/>
      <x:c r="Z151" s="1"/>
    </x:row>
    <x:row r="152" ht="50" customHeight="1">
      <x:c r="A152" s="17" t="n">
        <x:v>148</x:v>
      </x:c>
      <x:c r="B152" s="17" t="str">
        <x:v>강원특별자치도원주의료원</x:v>
      </x:c>
      <x:c r="C152" s="17" t="str">
        <x:v>강원특별자치도</x:v>
      </x:c>
      <x:c r="D152" s="17" t="str">
        <x:v>원주의료원 신규직원(기간제근로자_사무보조원) 채용공고</x:v>
      </x:c>
      <x:c r="E152" s="17" t="str">
        <x:v>신입+경력</x:v>
      </x:c>
      <x:c r="F152" s="17" t="str">
        <x:v>기간제</x:v>
      </x:c>
      <x:c r="G152" s="17" t="str">
        <x:v>명시 없음(원문 확인)</x:v>
      </x:c>
      <x:c r="H152" s="17" t="str">
        <x:v>2026-09-04</x:v>
      </x:c>
      <x:c r="I152" s="17" t="str">
        <x:v>2026-09-14</x:v>
      </x:c>
      <x:c r="J152" s="17" t="str">
        <x:v>모집중</x:v>
      </x:c>
      <x:c r="K152" s="17" t="str">
        <x:v>기간제·비정규</x:v>
      </x:c>
      <x:c r="L152" s="17" t="str">
        <x:v>검토</x:v>
      </x:c>
      <x:c r="M152" s="17" t="str">
        <x:v>제한 문구 미탐지</x:v>
      </x:c>
      <x:c r="N152" s="17" t="str">
        <x:v>기관 공고 원문 확인</x:v>
      </x:c>
      <x:c r="O152" s="17" t="str">
        <x:v>기관 공고 원문 확인</x:v>
      </x:c>
      <x:c r="P152" s="17" t="str">
        <x:v>기관 공고 원문 확인</x:v>
      </x:c>
      <x:c r="Q152" s="17" t="str">
        <x:v>기관 공고 원문 확인</x:v>
      </x:c>
      <x:c r="R152" s="17" t="str">
        <x:v>정상</x:v>
      </x:c>
      <x:c r="S152" s="18" t="str">
        <x:v>https://job.cleaneye.go.kr/user/ypRecruitment.do</x:v>
      </x:c>
      <x:c r="T152" s="1"/>
      <x:c r="U152" s="1"/>
      <x:c r="V152" s="1"/>
      <x:c r="W152" s="1"/>
      <x:c r="X152" s="1"/>
      <x:c r="Y152" s="1"/>
      <x:c r="Z152" s="1"/>
    </x:row>
    <x:row r="153" ht="50" customHeight="1">
      <x:c r="A153" s="17" t="n">
        <x:v>149</x:v>
      </x:c>
      <x:c r="B153" s="17" t="str">
        <x:v>강원연구원</x:v>
      </x:c>
      <x:c r="C153" s="17" t="str">
        <x:v>강원특별자치도</x:v>
      </x:c>
      <x:c r="D153" s="17" t="str">
        <x:v>강원연구원 제7차 프로젝트 계약직 연구원 공개채용 공고</x:v>
      </x:c>
      <x:c r="E153" s="17" t="str">
        <x:v>신입+경력</x:v>
      </x:c>
      <x:c r="F153" s="17" t="str">
        <x:v>기간제</x:v>
      </x:c>
      <x:c r="G153" s="17" t="str">
        <x:v>명시 없음(원문 확인)</x:v>
      </x:c>
      <x:c r="H153" s="17" t="str">
        <x:v>2026-09-04</x:v>
      </x:c>
      <x:c r="I153" s="17" t="str">
        <x:v>2026-09-14</x:v>
      </x:c>
      <x:c r="J153" s="17" t="str">
        <x:v>모집중</x:v>
      </x:c>
      <x:c r="K153" s="17" t="str">
        <x:v>기간제·비정규</x:v>
      </x:c>
      <x:c r="L153" s="17" t="str">
        <x:v>검토</x:v>
      </x:c>
      <x:c r="M153" s="17" t="str">
        <x:v>제한 문구 미탐지</x:v>
      </x:c>
      <x:c r="N153" s="17" t="str">
        <x:v>기관 공고 원문 확인</x:v>
      </x:c>
      <x:c r="O153" s="17" t="str">
        <x:v>기관 공고 원문 확인</x:v>
      </x:c>
      <x:c r="P153" s="17" t="str">
        <x:v>기관 공고 원문 확인</x:v>
      </x:c>
      <x:c r="Q153" s="17" t="str">
        <x:v>기관 공고 원문 확인</x:v>
      </x:c>
      <x:c r="R153" s="17" t="str">
        <x:v>정상</x:v>
      </x:c>
      <x:c r="S153" s="18" t="str">
        <x:v>https://job.cleaneye.go.kr/user/ypRecruitment.do</x:v>
      </x:c>
      <x:c r="T153" s="1"/>
      <x:c r="U153" s="1"/>
      <x:c r="V153" s="1"/>
      <x:c r="W153" s="1"/>
      <x:c r="X153" s="1"/>
      <x:c r="Y153" s="1"/>
      <x:c r="Z153" s="1"/>
    </x:row>
    <x:row r="154" ht="50" customHeight="1">
      <x:c r="A154" s="17" t="n">
        <x:v>150</x:v>
      </x:c>
      <x:c r="B154" s="17" t="str">
        <x:v>고양도시관리공사</x:v>
      </x:c>
      <x:c r="C154" s="17" t="str">
        <x:v>경기도</x:v>
      </x:c>
      <x:c r="D154" s="17" t="str">
        <x:v>고양바이오매스에너지시설 기간제 근로자 채용 공고</x:v>
      </x:c>
      <x:c r="E154" s="17" t="str">
        <x:v>신입+경력</x:v>
      </x:c>
      <x:c r="F154" s="17" t="str">
        <x:v>기간제</x:v>
      </x:c>
      <x:c r="G154" s="17" t="str">
        <x:v>명시 없음(원문 확인)</x:v>
      </x:c>
      <x:c r="H154" s="17" t="str">
        <x:v>2026-09-04</x:v>
      </x:c>
      <x:c r="I154" s="17" t="str">
        <x:v>2026-09-11</x:v>
      </x:c>
      <x:c r="J154" s="17" t="str">
        <x:v>모집중</x:v>
      </x:c>
      <x:c r="K154" s="17" t="str">
        <x:v>기간제·비정규</x:v>
      </x:c>
      <x:c r="L154" s="17" t="str">
        <x:v>검토</x:v>
      </x:c>
      <x:c r="M154" s="17" t="str">
        <x:v>제한 문구 미탐지</x:v>
      </x:c>
      <x:c r="N154" s="17" t="str">
        <x:v>기관 공고 원문 확인</x:v>
      </x:c>
      <x:c r="O154" s="17" t="str">
        <x:v>기관 공고 원문 확인</x:v>
      </x:c>
      <x:c r="P154" s="17" t="str">
        <x:v>기관 공고 원문 확인</x:v>
      </x:c>
      <x:c r="Q154" s="17" t="str">
        <x:v>기관 공고 원문 확인</x:v>
      </x:c>
      <x:c r="R154" s="17" t="str">
        <x:v>정상</x:v>
      </x:c>
      <x:c r="S154" s="18" t="str">
        <x:v>https://job.cleaneye.go.kr/user/ypRecruitment.do</x:v>
      </x:c>
      <x:c r="T154" s="1"/>
      <x:c r="U154" s="1"/>
      <x:c r="V154" s="1"/>
      <x:c r="W154" s="1"/>
      <x:c r="X154" s="1"/>
      <x:c r="Y154" s="1"/>
      <x:c r="Z154" s="1"/>
    </x:row>
    <x:row r="155" ht="50" customHeight="1">
      <x:c r="A155" s="17" t="n">
        <x:v>151</x:v>
      </x:c>
      <x:c r="B155" s="17" t="str">
        <x:v>재단법인 부산연구원</x:v>
      </x:c>
      <x:c r="C155" s="17" t="str">
        <x:v>부산광역시</x:v>
      </x:c>
      <x:c r="D155" s="17" t="str">
        <x:v>제63회 (재)부산연구원 직원(연구직) 채용 공고</x:v>
      </x:c>
      <x:c r="E155" s="17" t="str">
        <x:v>신입+경력</x:v>
      </x:c>
      <x:c r="F155" s="17" t="str">
        <x:v>일반정규직</x:v>
      </x:c>
      <x:c r="G155" s="17" t="str">
        <x:v>명시 없음(원문 확인)</x:v>
      </x:c>
      <x:c r="H155" s="17" t="str">
        <x:v>2026-09-04</x:v>
      </x:c>
      <x:c r="I155" s="17" t="str">
        <x:v>2026-09-10</x:v>
      </x:c>
      <x:c r="J155" s="17" t="str">
        <x:v>모집중</x:v>
      </x:c>
      <x:c r="K155" s="17" t="str">
        <x:v>정규직(세부 확인)</x:v>
      </x:c>
      <x:c r="L155" s="17" t="str">
        <x:v>검토</x:v>
      </x:c>
      <x:c r="M155" s="17" t="str">
        <x:v>제한 문구 미탐지</x:v>
      </x:c>
      <x:c r="N155" s="17" t="str">
        <x:v>기관 공고 원문 확인</x:v>
      </x:c>
      <x:c r="O155" s="17" t="str">
        <x:v>기관 공고 원문 확인</x:v>
      </x:c>
      <x:c r="P155" s="17" t="str">
        <x:v>기관 공고 원문 확인</x:v>
      </x:c>
      <x:c r="Q155" s="17" t="str">
        <x:v>기관 공고 원문 확인</x:v>
      </x:c>
      <x:c r="R155" s="17" t="str">
        <x:v>정상</x:v>
      </x:c>
      <x:c r="S155" s="18" t="str">
        <x:v>https://job.cleaneye.go.kr/user/ypRecruitment.do</x:v>
      </x:c>
      <x:c r="T155" s="1"/>
      <x:c r="U155" s="1"/>
      <x:c r="V155" s="1"/>
      <x:c r="W155" s="1"/>
      <x:c r="X155" s="1"/>
      <x:c r="Y155" s="1"/>
      <x:c r="Z155" s="1"/>
    </x:row>
    <x:row r="156" ht="50" customHeight="1">
      <x:c r="A156" s="17" t="n">
        <x:v>152</x:v>
      </x:c>
      <x:c r="B156" s="17" t="str">
        <x:v>경기도의료원</x:v>
      </x:c>
      <x:c r="C156" s="17" t="str">
        <x:v>경기도</x:v>
      </x:c>
      <x:c r="D156" s="17" t="str">
        <x:v>경기도의료원 파주병원 가정의학과 의사(계약직) 초빙 공고</x:v>
      </x:c>
      <x:c r="E156" s="17" t="str">
        <x:v>신입</x:v>
      </x:c>
      <x:c r="F156" s="17" t="str">
        <x:v>전문계약직</x:v>
      </x:c>
      <x:c r="G156" s="17" t="str">
        <x:v>명시 없음(원문 확인)</x:v>
      </x:c>
      <x:c r="H156" s="17" t="str">
        <x:v>2026-09-04</x:v>
      </x:c>
      <x:c r="I156" s="17" t="str">
        <x:v>2026-09-14</x:v>
      </x:c>
      <x:c r="J156" s="17" t="str">
        <x:v>모집중</x:v>
      </x:c>
      <x:c r="K156" s="17" t="str">
        <x:v>기타 채용</x:v>
      </x:c>
      <x:c r="L156" s="17" t="str">
        <x:v>검토</x:v>
      </x:c>
      <x:c r="M156" s="17" t="str">
        <x:v>제한 문구 미탐지</x:v>
      </x:c>
      <x:c r="N156" s="17" t="str">
        <x:v>기관 공고 원문 확인</x:v>
      </x:c>
      <x:c r="O156" s="17" t="str">
        <x:v>기관 공고 원문 확인</x:v>
      </x:c>
      <x:c r="P156" s="17" t="str">
        <x:v>기관 공고 원문 확인</x:v>
      </x:c>
      <x:c r="Q156" s="17" t="str">
        <x:v>기관 공고 원문 확인</x:v>
      </x:c>
      <x:c r="R156" s="17" t="str">
        <x:v>정상</x:v>
      </x:c>
      <x:c r="S156" s="18" t="str">
        <x:v>https://job.cleaneye.go.kr/user/ypRecruitment.do</x:v>
      </x:c>
      <x:c r="T156" s="1"/>
      <x:c r="U156" s="1"/>
      <x:c r="V156" s="1"/>
      <x:c r="W156" s="1"/>
      <x:c r="X156" s="1"/>
      <x:c r="Y156" s="1"/>
      <x:c r="Z156" s="1"/>
    </x:row>
    <x:row r="157" ht="50" customHeight="1">
      <x:c r="A157" s="17" t="n">
        <x:v>153</x:v>
      </x:c>
      <x:c r="B157" s="17" t="str">
        <x:v>경남로봇랜드재단</x:v>
      </x:c>
      <x:c r="C157" s="17" t="str">
        <x:v>경상남도</x:v>
      </x:c>
      <x:c r="D157" s="17" t="str">
        <x:v>2026년 경남로봇랜드재단 계약직 채용 재공고</x:v>
      </x:c>
      <x:c r="E157" s="17" t="str">
        <x:v>신입+경력</x:v>
      </x:c>
      <x:c r="F157" s="17" t="str">
        <x:v>일반계약직</x:v>
      </x:c>
      <x:c r="G157" s="17" t="str">
        <x:v>명시 없음(원문 확인)</x:v>
      </x:c>
      <x:c r="H157" s="17" t="str">
        <x:v>2026-09-04</x:v>
      </x:c>
      <x:c r="I157" s="17" t="str">
        <x:v>2026-09-14</x:v>
      </x:c>
      <x:c r="J157" s="17" t="str">
        <x:v>모집중</x:v>
      </x:c>
      <x:c r="K157" s="17" t="str">
        <x:v>기타 채용</x:v>
      </x:c>
      <x:c r="L157" s="17" t="str">
        <x:v>검토</x:v>
      </x:c>
      <x:c r="M157" s="17" t="str">
        <x:v>제한 문구 미탐지</x:v>
      </x:c>
      <x:c r="N157" s="17" t="str">
        <x:v>기관 공고 원문 확인</x:v>
      </x:c>
      <x:c r="O157" s="17" t="str">
        <x:v>기관 공고 원문 확인</x:v>
      </x:c>
      <x:c r="P157" s="17" t="str">
        <x:v>기관 공고 원문 확인</x:v>
      </x:c>
      <x:c r="Q157" s="17" t="str">
        <x:v>기관 공고 원문 확인</x:v>
      </x:c>
      <x:c r="R157" s="17" t="str">
        <x:v>포털 중복 3건</x:v>
      </x:c>
      <x:c r="S157" s="18" t="str">
        <x:v>https://job.cleaneye.go.kr/user/ypRecruitment.do</x:v>
      </x:c>
      <x:c r="T157" s="1"/>
      <x:c r="U157" s="1"/>
      <x:c r="V157" s="1"/>
      <x:c r="W157" s="1"/>
      <x:c r="X157" s="1"/>
      <x:c r="Y157" s="1"/>
      <x:c r="Z157" s="1"/>
    </x:row>
    <x:row r="158" ht="50" customHeight="1">
      <x:c r="A158" s="17" t="n">
        <x:v>154</x:v>
      </x:c>
      <x:c r="B158" s="17" t="str">
        <x:v>경남로봇랜드재단</x:v>
      </x:c>
      <x:c r="C158" s="17" t="str">
        <x:v>경상남도</x:v>
      </x:c>
      <x:c r="D158" s="17" t="str">
        <x:v>2026년 경남로봇랜드재단 계약직 채용 재공고</x:v>
      </x:c>
      <x:c r="E158" s="17" t="str">
        <x:v>신입+경력</x:v>
      </x:c>
      <x:c r="F158" s="17" t="str">
        <x:v>일반계약직</x:v>
      </x:c>
      <x:c r="G158" s="17" t="str">
        <x:v>명시 없음(원문 확인)</x:v>
      </x:c>
      <x:c r="H158" s="17" t="str">
        <x:v>2026-09-04</x:v>
      </x:c>
      <x:c r="I158" s="17" t="str">
        <x:v>2026-09-14</x:v>
      </x:c>
      <x:c r="J158" s="17" t="str">
        <x:v>모집중</x:v>
      </x:c>
      <x:c r="K158" s="17" t="str">
        <x:v>기타 채용</x:v>
      </x:c>
      <x:c r="L158" s="17" t="str">
        <x:v>검토</x:v>
      </x:c>
      <x:c r="M158" s="17" t="str">
        <x:v>제한 문구 미탐지</x:v>
      </x:c>
      <x:c r="N158" s="17" t="str">
        <x:v>기관 공고 원문 확인</x:v>
      </x:c>
      <x:c r="O158" s="17" t="str">
        <x:v>기관 공고 원문 확인</x:v>
      </x:c>
      <x:c r="P158" s="17" t="str">
        <x:v>기관 공고 원문 확인</x:v>
      </x:c>
      <x:c r="Q158" s="17" t="str">
        <x:v>기관 공고 원문 확인</x:v>
      </x:c>
      <x:c r="R158" s="17" t="str">
        <x:v>포털 중복 3건</x:v>
      </x:c>
      <x:c r="S158" s="18" t="str">
        <x:v>https://job.cleaneye.go.kr/user/ypRecruitment.do</x:v>
      </x:c>
      <x:c r="T158" s="1"/>
      <x:c r="U158" s="1"/>
      <x:c r="V158" s="1"/>
      <x:c r="W158" s="1"/>
      <x:c r="X158" s="1"/>
      <x:c r="Y158" s="1"/>
      <x:c r="Z158" s="1"/>
    </x:row>
    <x:row r="159" ht="50" customHeight="1">
      <x:c r="A159" s="17" t="n">
        <x:v>155</x:v>
      </x:c>
      <x:c r="B159" s="17" t="str">
        <x:v>부천아트센터</x:v>
      </x:c>
      <x:c r="C159" s="17" t="str">
        <x:v>경기도</x:v>
      </x:c>
      <x:c r="D159" s="17" t="str">
        <x:v>2026년 제4차 부천아트센터 계약직 근로자 채용 공고</x:v>
      </x:c>
      <x:c r="E159" s="17" t="str">
        <x:v>신입</x:v>
      </x:c>
      <x:c r="F159" s="17" t="str">
        <x:v>기간제</x:v>
      </x:c>
      <x:c r="G159" s="17" t="str">
        <x:v>명시 없음(원문 확인)</x:v>
      </x:c>
      <x:c r="H159" s="17" t="str">
        <x:v>2026-09-04</x:v>
      </x:c>
      <x:c r="I159" s="17" t="str">
        <x:v>2026-09-14</x:v>
      </x:c>
      <x:c r="J159" s="17" t="str">
        <x:v>모집중</x:v>
      </x:c>
      <x:c r="K159" s="17" t="str">
        <x:v>기간제·비정규</x:v>
      </x:c>
      <x:c r="L159" s="17" t="str">
        <x:v>검토</x:v>
      </x:c>
      <x:c r="M159" s="17" t="str">
        <x:v>제한 문구 미탐지</x:v>
      </x:c>
      <x:c r="N159" s="17" t="str">
        <x:v>기관 공고 원문 확인</x:v>
      </x:c>
      <x:c r="O159" s="17" t="str">
        <x:v>기관 공고 원문 확인</x:v>
      </x:c>
      <x:c r="P159" s="17" t="str">
        <x:v>기관 공고 원문 확인</x:v>
      </x:c>
      <x:c r="Q159" s="17" t="str">
        <x:v>기관 공고 원문 확인</x:v>
      </x:c>
      <x:c r="R159" s="17" t="str">
        <x:v>정상</x:v>
      </x:c>
      <x:c r="S159" s="18" t="str">
        <x:v>https://job.cleaneye.go.kr/user/ypRecruitment.do</x:v>
      </x:c>
      <x:c r="T159" s="1"/>
      <x:c r="U159" s="1"/>
      <x:c r="V159" s="1"/>
      <x:c r="W159" s="1"/>
      <x:c r="X159" s="1"/>
      <x:c r="Y159" s="1"/>
      <x:c r="Z159" s="1"/>
    </x:row>
    <x:row r="160" ht="50" customHeight="1">
      <x:c r="A160" s="17" t="n">
        <x:v>156</x:v>
      </x:c>
      <x:c r="B160" s="17" t="str">
        <x:v>충청북도 충주의료원</x:v>
      </x:c>
      <x:c r="C160" s="17" t="str">
        <x:v>충청북도</x:v>
      </x:c>
      <x:c r="D160" s="17" t="str">
        <x:v>충주의료원 육아휴직 대체자 [보건직(물리치료사), 행정직] 채용 공고</x:v>
      </x:c>
      <x:c r="E160" s="17" t="str">
        <x:v>신입+경력</x:v>
      </x:c>
      <x:c r="F160" s="17" t="str">
        <x:v>일반계약직</x:v>
      </x:c>
      <x:c r="G160" s="17" t="str">
        <x:v>충청북도</x:v>
      </x:c>
      <x:c r="H160" s="17" t="str">
        <x:v>2026-09-04</x:v>
      </x:c>
      <x:c r="I160" s="17" t="str">
        <x:v>2026-09-14</x:v>
      </x:c>
      <x:c r="J160" s="17" t="str">
        <x:v>모집중</x:v>
      </x:c>
      <x:c r="K160" s="17" t="str">
        <x:v>기타 채용</x:v>
      </x:c>
      <x:c r="L160" s="17" t="str">
        <x:v>검토</x:v>
      </x:c>
      <x:c r="M160" s="17" t="str">
        <x:v>제한 문구 미탐지</x:v>
      </x:c>
      <x:c r="N160" s="17" t="str">
        <x:v>기관 공고 원문 확인</x:v>
      </x:c>
      <x:c r="O160" s="17" t="str">
        <x:v>기관 공고 원문 확인</x:v>
      </x:c>
      <x:c r="P160" s="17" t="str">
        <x:v>기관 공고 원문 확인</x:v>
      </x:c>
      <x:c r="Q160" s="17" t="str">
        <x:v>기관 공고 원문 확인</x:v>
      </x:c>
      <x:c r="R160" s="17" t="str">
        <x:v>정상</x:v>
      </x:c>
      <x:c r="S160" s="18" t="str">
        <x:v>https://job.cleaneye.go.kr/user/ypRecruitment.do</x:v>
      </x:c>
      <x:c r="T160" s="1"/>
      <x:c r="U160" s="1"/>
      <x:c r="V160" s="1"/>
      <x:c r="W160" s="1"/>
      <x:c r="X160" s="1"/>
      <x:c r="Y160" s="1"/>
      <x:c r="Z160" s="1"/>
    </x:row>
    <x:row r="161" ht="50" customHeight="1">
      <x:c r="A161" s="17" t="n">
        <x:v>157</x:v>
      </x:c>
      <x:c r="B161" s="17" t="str">
        <x:v>강원특별자치도원주의료원</x:v>
      </x:c>
      <x:c r="C161" s="17" t="str">
        <x:v>강원특별자치도</x:v>
      </x:c>
      <x:c r="D161" s="17" t="str">
        <x:v>원주의료원 신규직원[의무직_비뇨의학과, 신장내과, 심장내과] 채용공고</x:v>
      </x:c>
      <x:c r="E161" s="17" t="str">
        <x:v>신입+경력</x:v>
      </x:c>
      <x:c r="F161" s="17" t="str">
        <x:v>일반정규직</x:v>
      </x:c>
      <x:c r="G161" s="17" t="str">
        <x:v>명시 없음(원문 확인)</x:v>
      </x:c>
      <x:c r="H161" s="17" t="str">
        <x:v>2026-09-04</x:v>
      </x:c>
      <x:c r="I161" s="17" t="str">
        <x:v>2026-09-29</x:v>
      </x:c>
      <x:c r="J161" s="17" t="str">
        <x:v>모집중</x:v>
      </x:c>
      <x:c r="K161" s="17" t="str">
        <x:v>신입·정규직</x:v>
      </x:c>
      <x:c r="L161" s="17" t="str">
        <x:v>우선검토</x:v>
      </x:c>
      <x:c r="M161" s="17" t="str">
        <x:v>제한 문구 미탐지</x:v>
      </x:c>
      <x:c r="N161" s="17" t="str">
        <x:v>기관 공고 원문 확인</x:v>
      </x:c>
      <x:c r="O161" s="17" t="str">
        <x:v>기관 공고 원문 확인</x:v>
      </x:c>
      <x:c r="P161" s="17" t="str">
        <x:v>기관 공고 원문 확인</x:v>
      </x:c>
      <x:c r="Q161" s="17" t="str">
        <x:v>기관 공고 원문 확인</x:v>
      </x:c>
      <x:c r="R161" s="17" t="str">
        <x:v>정상</x:v>
      </x:c>
      <x:c r="S161" s="18" t="str">
        <x:v>https://job.cleaneye.go.kr/user/ypRecruitment.do</x:v>
      </x:c>
      <x:c r="T161" s="1"/>
      <x:c r="U161" s="1"/>
      <x:c r="V161" s="1"/>
      <x:c r="W161" s="1"/>
      <x:c r="X161" s="1"/>
      <x:c r="Y161" s="1"/>
      <x:c r="Z161" s="1"/>
    </x:row>
    <x:row r="162" ht="50" customHeight="1">
      <x:c r="A162" s="17" t="n">
        <x:v>158</x:v>
      </x:c>
      <x:c r="B162" s="17" t="str">
        <x:v>경상북도안동의료원</x:v>
      </x:c>
      <x:c r="C162" s="17" t="str">
        <x:v>경상북도</x:v>
      </x:c>
      <x:c r="D162" s="17" t="str">
        <x:v>경북권 공공어린이재활의료센터 직원 채용 재공고(행정, 작업치료사)</x:v>
      </x:c>
      <x:c r="E162" s="17" t="str">
        <x:v>신입+경력</x:v>
      </x:c>
      <x:c r="F162" s="17" t="str">
        <x:v>기간제</x:v>
      </x:c>
      <x:c r="G162" s="17" t="str">
        <x:v>명시 없음(원문 확인)</x:v>
      </x:c>
      <x:c r="H162" s="17" t="str">
        <x:v>2026-09-04</x:v>
      </x:c>
      <x:c r="I162" s="17" t="str">
        <x:v>2026-09-14</x:v>
      </x:c>
      <x:c r="J162" s="17" t="str">
        <x:v>모집중</x:v>
      </x:c>
      <x:c r="K162" s="17" t="str">
        <x:v>기간제·비정규</x:v>
      </x:c>
      <x:c r="L162" s="17" t="str">
        <x:v>검토</x:v>
      </x:c>
      <x:c r="M162" s="17" t="str">
        <x:v>제한 문구 미탐지</x:v>
      </x:c>
      <x:c r="N162" s="17" t="str">
        <x:v>기관 공고 원문 확인</x:v>
      </x:c>
      <x:c r="O162" s="17" t="str">
        <x:v>기관 공고 원문 확인</x:v>
      </x:c>
      <x:c r="P162" s="17" t="str">
        <x:v>기관 공고 원문 확인</x:v>
      </x:c>
      <x:c r="Q162" s="17" t="str">
        <x:v>기관 공고 원문 확인</x:v>
      </x:c>
      <x:c r="R162" s="17" t="str">
        <x:v>정상</x:v>
      </x:c>
      <x:c r="S162" s="18" t="str">
        <x:v>https://job.cleaneye.go.kr/user/ypRecruitment.do</x:v>
      </x:c>
      <x:c r="T162" s="1"/>
      <x:c r="U162" s="1"/>
      <x:c r="V162" s="1"/>
      <x:c r="W162" s="1"/>
      <x:c r="X162" s="1"/>
      <x:c r="Y162" s="1"/>
      <x:c r="Z162" s="1"/>
    </x:row>
    <x:row r="163" ht="50" customHeight="1">
      <x:c r="A163" s="17" t="n">
        <x:v>159</x:v>
      </x:c>
      <x:c r="B163" s="17" t="str">
        <x:v>강원특별자치도원주의료원</x:v>
      </x:c>
      <x:c r="C163" s="17" t="str">
        <x:v>강원특별자치도</x:v>
      </x:c>
      <x:c r="D163" s="17" t="str">
        <x:v>원주의료원 신규직원(공무직_조리원) 채용공고</x:v>
      </x:c>
      <x:c r="E163" s="17" t="str">
        <x:v>신입+경력</x:v>
      </x:c>
      <x:c r="F163" s="17" t="str">
        <x:v>일반정규직</x:v>
      </x:c>
      <x:c r="G163" s="17" t="str">
        <x:v>명시 없음(원문 확인)</x:v>
      </x:c>
      <x:c r="H163" s="17" t="str">
        <x:v>2026-09-04</x:v>
      </x:c>
      <x:c r="I163" s="17" t="str">
        <x:v>2026-09-14</x:v>
      </x:c>
      <x:c r="J163" s="17" t="str">
        <x:v>모집중</x:v>
      </x:c>
      <x:c r="K163" s="17" t="str">
        <x:v>신입·정규직</x:v>
      </x:c>
      <x:c r="L163" s="17" t="str">
        <x:v>우선검토</x:v>
      </x:c>
      <x:c r="M163" s="17" t="str">
        <x:v>제한 문구 미탐지</x:v>
      </x:c>
      <x:c r="N163" s="17" t="str">
        <x:v>기관 공고 원문 확인</x:v>
      </x:c>
      <x:c r="O163" s="17" t="str">
        <x:v>기관 공고 원문 확인</x:v>
      </x:c>
      <x:c r="P163" s="17" t="str">
        <x:v>기관 공고 원문 확인</x:v>
      </x:c>
      <x:c r="Q163" s="17" t="str">
        <x:v>기관 공고 원문 확인</x:v>
      </x:c>
      <x:c r="R163" s="17" t="str">
        <x:v>정상</x:v>
      </x:c>
      <x:c r="S163" s="18" t="str">
        <x:v>https://job.cleaneye.go.kr/user/ypRecruitment.do</x:v>
      </x:c>
      <x:c r="T163" s="1"/>
      <x:c r="U163" s="1"/>
      <x:c r="V163" s="1"/>
      <x:c r="W163" s="1"/>
      <x:c r="X163" s="1"/>
      <x:c r="Y163" s="1"/>
      <x:c r="Z163" s="1"/>
    </x:row>
    <x:row r="164" ht="50" customHeight="1">
      <x:c r="A164" s="17" t="n">
        <x:v>160</x:v>
      </x:c>
      <x:c r="B164" s="17" t="str">
        <x:v>강원연구원</x:v>
      </x:c>
      <x:c r="C164" s="17" t="str">
        <x:v>강원특별자치도</x:v>
      </x:c>
      <x:c r="D164" s="17" t="str">
        <x:v>강원연구원 제5차 장기 연구지원 연구원 공개채용 공고</x:v>
      </x:c>
      <x:c r="E164" s="17" t="str">
        <x:v>신입+경력</x:v>
      </x:c>
      <x:c r="F164" s="17" t="str">
        <x:v>기간제</x:v>
      </x:c>
      <x:c r="G164" s="17" t="str">
        <x:v>명시 없음(원문 확인)</x:v>
      </x:c>
      <x:c r="H164" s="17" t="str">
        <x:v>2026-09-04</x:v>
      </x:c>
      <x:c r="I164" s="17" t="str">
        <x:v>2026-09-14</x:v>
      </x:c>
      <x:c r="J164" s="17" t="str">
        <x:v>모집중</x:v>
      </x:c>
      <x:c r="K164" s="17" t="str">
        <x:v>기간제·비정규</x:v>
      </x:c>
      <x:c r="L164" s="17" t="str">
        <x:v>검토</x:v>
      </x:c>
      <x:c r="M164" s="17" t="str">
        <x:v>제한 문구 미탐지</x:v>
      </x:c>
      <x:c r="N164" s="17" t="str">
        <x:v>기관 공고 원문 확인</x:v>
      </x:c>
      <x:c r="O164" s="17" t="str">
        <x:v>기관 공고 원문 확인</x:v>
      </x:c>
      <x:c r="P164" s="17" t="str">
        <x:v>기관 공고 원문 확인</x:v>
      </x:c>
      <x:c r="Q164" s="17" t="str">
        <x:v>기관 공고 원문 확인</x:v>
      </x:c>
      <x:c r="R164" s="17" t="str">
        <x:v>정상</x:v>
      </x:c>
      <x:c r="S164" s="18" t="str">
        <x:v>https://job.cleaneye.go.kr/user/ypRecruitment.do</x:v>
      </x:c>
      <x:c r="T164" s="1"/>
      <x:c r="U164" s="1"/>
      <x:c r="V164" s="1"/>
      <x:c r="W164" s="1"/>
      <x:c r="X164" s="1"/>
      <x:c r="Y164" s="1"/>
      <x:c r="Z164" s="1"/>
    </x:row>
    <x:row r="165" ht="50" customHeight="1">
      <x:c r="A165" s="17" t="n">
        <x:v>161</x:v>
      </x:c>
      <x:c r="B165" s="17" t="str">
        <x:v>재단법인 양천문화재단</x:v>
      </x:c>
      <x:c r="C165" s="17" t="str">
        <x:v>서울특별시</x:v>
      </x:c>
      <x:c r="D165" s="17" t="str">
        <x:v>2025년 제5차 (재)양천문화재단 직원 채용(~9/14)</x:v>
      </x:c>
      <x:c r="E165" s="17" t="str">
        <x:v>경력</x:v>
      </x:c>
      <x:c r="F165" s="17" t="str">
        <x:v>일반정규직</x:v>
      </x:c>
      <x:c r="G165" s="17" t="str">
        <x:v>명시 없음(원문 확인)</x:v>
      </x:c>
      <x:c r="H165" s="17" t="str">
        <x:v>2026-09-04</x:v>
      </x:c>
      <x:c r="I165" s="17" t="str">
        <x:v>2026-09-14</x:v>
      </x:c>
      <x:c r="J165" s="17" t="str">
        <x:v>모집중</x:v>
      </x:c>
      <x:c r="K165" s="17" t="str">
        <x:v>정규직(세부 확인)</x:v>
      </x:c>
      <x:c r="L165" s="17" t="str">
        <x:v>세부조건 확인</x:v>
      </x:c>
      <x:c r="M165" s="17" t="str">
        <x:v>제한 문구 미탐지</x:v>
      </x:c>
      <x:c r="N165" s="17" t="str">
        <x:v>기관 공고 원문 확인</x:v>
      </x:c>
      <x:c r="O165" s="17" t="str">
        <x:v>기관 공고 원문 확인</x:v>
      </x:c>
      <x:c r="P165" s="17" t="str">
        <x:v>기관 공고 원문 확인</x:v>
      </x:c>
      <x:c r="Q165" s="17" t="str">
        <x:v>기관 공고 원문 확인</x:v>
      </x:c>
      <x:c r="R165" s="17" t="str">
        <x:v>포털 중복 3건</x:v>
      </x:c>
      <x:c r="S165" s="18" t="str">
        <x:v>https://job.cleaneye.go.kr/user/ypRecruitment.do</x:v>
      </x:c>
      <x:c r="T165" s="1"/>
      <x:c r="U165" s="1"/>
      <x:c r="V165" s="1"/>
      <x:c r="W165" s="1"/>
      <x:c r="X165" s="1"/>
      <x:c r="Y165" s="1"/>
      <x:c r="Z165" s="1"/>
    </x:row>
    <x:row r="166" ht="50" customHeight="1">
      <x:c r="A166" s="17" t="n">
        <x:v>162</x:v>
      </x:c>
      <x:c r="B166" s="17" t="str">
        <x:v>강원연구원</x:v>
      </x:c>
      <x:c r="C166" s="17" t="str">
        <x:v>강원특별자치도</x:v>
      </x:c>
      <x:c r="D166" s="17" t="str">
        <x:v>강원연구원 제6차 프로젝트 계약직 연구원 공개채용 재공고</x:v>
      </x:c>
      <x:c r="E166" s="17" t="str">
        <x:v>신입+경력</x:v>
      </x:c>
      <x:c r="F166" s="17" t="str">
        <x:v>기간제</x:v>
      </x:c>
      <x:c r="G166" s="17" t="str">
        <x:v>명시 없음(원문 확인)</x:v>
      </x:c>
      <x:c r="H166" s="17" t="str">
        <x:v>2026-09-04</x:v>
      </x:c>
      <x:c r="I166" s="17" t="str">
        <x:v>2026-09-14</x:v>
      </x:c>
      <x:c r="J166" s="17" t="str">
        <x:v>모집중</x:v>
      </x:c>
      <x:c r="K166" s="17" t="str">
        <x:v>기간제·비정규</x:v>
      </x:c>
      <x:c r="L166" s="17" t="str">
        <x:v>검토</x:v>
      </x:c>
      <x:c r="M166" s="17" t="str">
        <x:v>제한 문구 미탐지</x:v>
      </x:c>
      <x:c r="N166" s="17" t="str">
        <x:v>기관 공고 원문 확인</x:v>
      </x:c>
      <x:c r="O166" s="17" t="str">
        <x:v>기관 공고 원문 확인</x:v>
      </x:c>
      <x:c r="P166" s="17" t="str">
        <x:v>기관 공고 원문 확인</x:v>
      </x:c>
      <x:c r="Q166" s="17" t="str">
        <x:v>기관 공고 원문 확인</x:v>
      </x:c>
      <x:c r="R166" s="17" t="str">
        <x:v>정상</x:v>
      </x:c>
      <x:c r="S166" s="18" t="str">
        <x:v>https://job.cleaneye.go.kr/user/ypRecruitment.do</x:v>
      </x:c>
      <x:c r="T166" s="1"/>
      <x:c r="U166" s="1"/>
      <x:c r="V166" s="1"/>
      <x:c r="W166" s="1"/>
      <x:c r="X166" s="1"/>
      <x:c r="Y166" s="1"/>
      <x:c r="Z166" s="1"/>
    </x:row>
    <x:row r="167" ht="50" customHeight="1">
      <x:c r="A167" s="17" t="n">
        <x:v>163</x:v>
      </x:c>
      <x:c r="B167" s="17" t="str">
        <x:v>대구농수산물유통관리공사</x:v>
      </x:c>
      <x:c r="C167" s="17" t="str">
        <x:v>대구광역시</x:v>
      </x:c>
      <x:c r="D167" s="17" t="str">
        <x:v>2026년 대구농수산물유통관리공사 청년 체험형 인턴 채용공고(~`26.9.14.)</x:v>
      </x:c>
      <x:c r="E167" s="17" t="str">
        <x:v>신입+경력</x:v>
      </x:c>
      <x:c r="F167" s="17" t="str">
        <x:v>인턴</x:v>
      </x:c>
      <x:c r="G167" s="17" t="str">
        <x:v>대구광역시</x:v>
      </x:c>
      <x:c r="H167" s="17" t="str">
        <x:v>2026-09-04</x:v>
      </x:c>
      <x:c r="I167" s="17" t="str">
        <x:v>2026-09-14</x:v>
      </x:c>
      <x:c r="J167" s="17" t="str">
        <x:v>모집중</x:v>
      </x:c>
      <x:c r="K167" s="17" t="str">
        <x:v>체험형·청년인턴</x:v>
      </x:c>
      <x:c r="L167" s="17" t="str">
        <x:v>우선검토</x:v>
      </x:c>
      <x:c r="M167" s="17" t="str">
        <x:v>제한 문구 미탐지</x:v>
      </x:c>
      <x:c r="N167" s="17" t="str">
        <x:v>기관 공고 원문 확인</x:v>
      </x:c>
      <x:c r="O167" s="17" t="str">
        <x:v>기관 공고 원문 확인</x:v>
      </x:c>
      <x:c r="P167" s="17" t="str">
        <x:v>기관 공고 원문 확인</x:v>
      </x:c>
      <x:c r="Q167" s="17" t="str">
        <x:v>기관 공고 원문 확인</x:v>
      </x:c>
      <x:c r="R167" s="17" t="str">
        <x:v>정상</x:v>
      </x:c>
      <x:c r="S167" s="18" t="str">
        <x:v>https://job.cleaneye.go.kr/user/ypRecruitment.do</x:v>
      </x:c>
      <x:c r="T167" s="1"/>
      <x:c r="U167" s="1"/>
      <x:c r="V167" s="1"/>
      <x:c r="W167" s="1"/>
      <x:c r="X167" s="1"/>
      <x:c r="Y167" s="1"/>
      <x:c r="Z167" s="1"/>
    </x:row>
    <x:row r="168" ht="50" customHeight="1">
      <x:c r="A168" s="17" t="n">
        <x:v>164</x:v>
      </x:c>
      <x:c r="B168" s="17" t="str">
        <x:v>강릉관광개발공사</x:v>
      </x:c>
      <x:c r="C168" s="17" t="str">
        <x:v>강원특별자치도</x:v>
      </x:c>
      <x:c r="D168" s="17" t="str">
        <x:v>★ 2026년 제4회 일반직 전환형 계약직 경력·공개경쟁 블라인드 채용 재공고 ★</x:v>
      </x:c>
      <x:c r="E168" s="17" t="str">
        <x:v>신입+경력</x:v>
      </x:c>
      <x:c r="F168" s="17" t="str">
        <x:v>기간제</x:v>
      </x:c>
      <x:c r="G168" s="17" t="str">
        <x:v>명시 없음(원문 확인)</x:v>
      </x:c>
      <x:c r="H168" s="17" t="str">
        <x:v>2026-09-03</x:v>
      </x:c>
      <x:c r="I168" s="17" t="str">
        <x:v>2026-09-13</x:v>
      </x:c>
      <x:c r="J168" s="17" t="str">
        <x:v>모집중</x:v>
      </x:c>
      <x:c r="K168" s="17" t="str">
        <x:v>기간제·비정규</x:v>
      </x:c>
      <x:c r="L168" s="17" t="str">
        <x:v>검토</x:v>
      </x:c>
      <x:c r="M168" s="17" t="str">
        <x:v>제한 문구 미탐지</x:v>
      </x:c>
      <x:c r="N168" s="17" t="str">
        <x:v>기관 공고 원문 확인</x:v>
      </x:c>
      <x:c r="O168" s="17" t="str">
        <x:v>기관 공고 원문 확인</x:v>
      </x:c>
      <x:c r="P168" s="17" t="str">
        <x:v>기관 공고 원문 확인</x:v>
      </x:c>
      <x:c r="Q168" s="17" t="str">
        <x:v>기관 공고 원문 확인</x:v>
      </x:c>
      <x:c r="R168" s="17" t="str">
        <x:v>정상</x:v>
      </x:c>
      <x:c r="S168" s="18" t="str">
        <x:v>https://job.cleaneye.go.kr/user/ypRecruitment.do</x:v>
      </x:c>
      <x:c r="T168" s="1"/>
      <x:c r="U168" s="1"/>
      <x:c r="V168" s="1"/>
      <x:c r="W168" s="1"/>
      <x:c r="X168" s="1"/>
      <x:c r="Y168" s="1"/>
      <x:c r="Z168" s="1"/>
    </x:row>
    <x:row r="169" ht="50" customHeight="1">
      <x:c r="A169" s="17" t="n">
        <x:v>165</x:v>
      </x:c>
      <x:c r="B169" s="17" t="str">
        <x:v>김해문화관광재단</x:v>
      </x:c>
      <x:c r="C169" s="17" t="str">
        <x:v>경상남도</x:v>
      </x:c>
      <x:c r="D169" s="17" t="str">
        <x:v>(재)김해문화관광재단 문화도시팀 기간제노동자(명월, 웰컴) 채용 공고</x:v>
      </x:c>
      <x:c r="E169" s="17" t="str">
        <x:v>신입+경력</x:v>
      </x:c>
      <x:c r="F169" s="17" t="str">
        <x:v>기간제</x:v>
      </x:c>
      <x:c r="G169" s="17" t="str">
        <x:v>명시 없음(원문 확인)</x:v>
      </x:c>
      <x:c r="H169" s="17" t="str">
        <x:v>2026-09-03</x:v>
      </x:c>
      <x:c r="I169" s="17" t="str">
        <x:v>2026-09-13</x:v>
      </x:c>
      <x:c r="J169" s="17" t="str">
        <x:v>모집중</x:v>
      </x:c>
      <x:c r="K169" s="17" t="str">
        <x:v>기간제·비정규</x:v>
      </x:c>
      <x:c r="L169" s="17" t="str">
        <x:v>검토</x:v>
      </x:c>
      <x:c r="M169" s="17" t="str">
        <x:v>제한 문구 미탐지</x:v>
      </x:c>
      <x:c r="N169" s="17" t="str">
        <x:v>기관 공고 원문 확인</x:v>
      </x:c>
      <x:c r="O169" s="17" t="str">
        <x:v>기관 공고 원문 확인</x:v>
      </x:c>
      <x:c r="P169" s="17" t="str">
        <x:v>기관 공고 원문 확인</x:v>
      </x:c>
      <x:c r="Q169" s="17" t="str">
        <x:v>기관 공고 원문 확인</x:v>
      </x:c>
      <x:c r="R169" s="17" t="str">
        <x:v>정상</x:v>
      </x:c>
      <x:c r="S169" s="18" t="str">
        <x:v>https://job.cleaneye.go.kr/user/ypRecruitment.do</x:v>
      </x:c>
      <x:c r="T169" s="1"/>
      <x:c r="U169" s="1"/>
      <x:c r="V169" s="1"/>
      <x:c r="W169" s="1"/>
      <x:c r="X169" s="1"/>
      <x:c r="Y169" s="1"/>
      <x:c r="Z169" s="1"/>
    </x:row>
    <x:row r="170" ht="50" customHeight="1">
      <x:c r="A170" s="17" t="n">
        <x:v>166</x:v>
      </x:c>
      <x:c r="B170" s="17" t="str">
        <x:v>대전광역시시설관리공단</x:v>
      </x:c>
      <x:c r="C170" s="17" t="str">
        <x:v>대전광역시</x:v>
      </x:c>
      <x:c r="D170" s="17" t="str">
        <x:v>대전추모공원 일용직근로자 채용 공고</x:v>
      </x:c>
      <x:c r="E170" s="17" t="str">
        <x:v>신입</x:v>
      </x:c>
      <x:c r="F170" s="17" t="str">
        <x:v>기간제</x:v>
      </x:c>
      <x:c r="G170" s="17" t="str">
        <x:v>대전광역시</x:v>
      </x:c>
      <x:c r="H170" s="17" t="str">
        <x:v>2026-09-03</x:v>
      </x:c>
      <x:c r="I170" s="17" t="str">
        <x:v>2026-09-11</x:v>
      </x:c>
      <x:c r="J170" s="17" t="str">
        <x:v>모집중</x:v>
      </x:c>
      <x:c r="K170" s="17" t="str">
        <x:v>기간제·비정규</x:v>
      </x:c>
      <x:c r="L170" s="17" t="str">
        <x:v>검토</x:v>
      </x:c>
      <x:c r="M170" s="17" t="str">
        <x:v>제한 문구 미탐지</x:v>
      </x:c>
      <x:c r="N170" s="17" t="str">
        <x:v>기관 공고 원문 확인</x:v>
      </x:c>
      <x:c r="O170" s="17" t="str">
        <x:v>기관 공고 원문 확인</x:v>
      </x:c>
      <x:c r="P170" s="17" t="str">
        <x:v>기관 공고 원문 확인</x:v>
      </x:c>
      <x:c r="Q170" s="17" t="str">
        <x:v>기관 공고 원문 확인</x:v>
      </x:c>
      <x:c r="R170" s="17" t="str">
        <x:v>정상</x:v>
      </x:c>
      <x:c r="S170" s="18" t="str">
        <x:v>https://job.cleaneye.go.kr/user/ypRecruitment.do</x:v>
      </x:c>
      <x:c r="T170" s="1"/>
      <x:c r="U170" s="1"/>
      <x:c r="V170" s="1"/>
      <x:c r="W170" s="1"/>
      <x:c r="X170" s="1"/>
      <x:c r="Y170" s="1"/>
      <x:c r="Z170" s="1"/>
    </x:row>
    <x:row r="171" ht="50" customHeight="1">
      <x:c r="A171" s="17" t="n">
        <x:v>167</x:v>
      </x:c>
      <x:c r="B171" s="17" t="str">
        <x:v>성북문화재단</x:v>
      </x:c>
      <x:c r="C171" s="17" t="str">
        <x:v>서울특별시</x:v>
      </x:c>
      <x:c r="D171" s="17" t="str">
        <x:v>(제26-25호)성북문화재단 정규직 채용 공고(8급-사서-전산사서)</x:v>
      </x:c>
      <x:c r="E171" s="17" t="str">
        <x:v>신입</x:v>
      </x:c>
      <x:c r="F171" s="17" t="str">
        <x:v>일반정규직</x:v>
      </x:c>
      <x:c r="G171" s="17" t="str">
        <x:v>명시 없음(원문 확인)</x:v>
      </x:c>
      <x:c r="H171" s="17" t="str">
        <x:v>2026-09-03</x:v>
      </x:c>
      <x:c r="I171" s="17" t="str">
        <x:v>2026-09-09</x:v>
      </x:c>
      <x:c r="J171" s="17" t="str">
        <x:v>모집중</x:v>
      </x:c>
      <x:c r="K171" s="17" t="str">
        <x:v>정규직(세부 확인)</x:v>
      </x:c>
      <x:c r="L171" s="17" t="str">
        <x:v>검토</x:v>
      </x:c>
      <x:c r="M171" s="17" t="str">
        <x:v>제한 문구 미탐지</x:v>
      </x:c>
      <x:c r="N171" s="17" t="str">
        <x:v>기관 공고 원문 확인</x:v>
      </x:c>
      <x:c r="O171" s="17" t="str">
        <x:v>기관 공고 원문 확인</x:v>
      </x:c>
      <x:c r="P171" s="17" t="str">
        <x:v>기관 공고 원문 확인</x:v>
      </x:c>
      <x:c r="Q171" s="17" t="str">
        <x:v>기관 공고 원문 확인</x:v>
      </x:c>
      <x:c r="R171" s="17" t="str">
        <x:v>정상</x:v>
      </x:c>
      <x:c r="S171" s="18" t="str">
        <x:v>https://job.cleaneye.go.kr/user/ypRecruitment.do</x:v>
      </x:c>
      <x:c r="T171" s="1"/>
      <x:c r="U171" s="1"/>
      <x:c r="V171" s="1"/>
      <x:c r="W171" s="1"/>
      <x:c r="X171" s="1"/>
      <x:c r="Y171" s="1"/>
      <x:c r="Z171" s="1"/>
    </x:row>
    <x:row r="172" ht="50" customHeight="1">
      <x:c r="A172" s="17" t="n">
        <x:v>168</x:v>
      </x:c>
      <x:c r="B172" s="17" t="str">
        <x:v>성북문화재단</x:v>
      </x:c>
      <x:c r="C172" s="17" t="str">
        <x:v>서울특별시</x:v>
      </x:c>
      <x:c r="D172" s="17" t="str">
        <x:v>(제26-26호)성북문화재단 정규직 채용 공고(8급-문화기획)</x:v>
      </x:c>
      <x:c r="E172" s="17" t="str">
        <x:v>신입</x:v>
      </x:c>
      <x:c r="F172" s="17" t="str">
        <x:v>일반정규직</x:v>
      </x:c>
      <x:c r="G172" s="17" t="str">
        <x:v>명시 없음(원문 확인)</x:v>
      </x:c>
      <x:c r="H172" s="17" t="str">
        <x:v>2026-09-03</x:v>
      </x:c>
      <x:c r="I172" s="17" t="str">
        <x:v>2026-09-09</x:v>
      </x:c>
      <x:c r="J172" s="17" t="str">
        <x:v>모집중</x:v>
      </x:c>
      <x:c r="K172" s="17" t="str">
        <x:v>정규직(세부 확인)</x:v>
      </x:c>
      <x:c r="L172" s="17" t="str">
        <x:v>검토</x:v>
      </x:c>
      <x:c r="M172" s="17" t="str">
        <x:v>제한 문구 미탐지</x:v>
      </x:c>
      <x:c r="N172" s="17" t="str">
        <x:v>기관 공고 원문 확인</x:v>
      </x:c>
      <x:c r="O172" s="17" t="str">
        <x:v>기관 공고 원문 확인</x:v>
      </x:c>
      <x:c r="P172" s="17" t="str">
        <x:v>기관 공고 원문 확인</x:v>
      </x:c>
      <x:c r="Q172" s="17" t="str">
        <x:v>기관 공고 원문 확인</x:v>
      </x:c>
      <x:c r="R172" s="17" t="str">
        <x:v>정상</x:v>
      </x:c>
      <x:c r="S172" s="18" t="str">
        <x:v>https://job.cleaneye.go.kr/user/ypRecruitment.do</x:v>
      </x:c>
      <x:c r="T172" s="1"/>
      <x:c r="U172" s="1"/>
      <x:c r="V172" s="1"/>
      <x:c r="W172" s="1"/>
      <x:c r="X172" s="1"/>
      <x:c r="Y172" s="1"/>
      <x:c r="Z172" s="1"/>
    </x:row>
    <x:row r="173" ht="50" customHeight="1">
      <x:c r="A173" s="17" t="n">
        <x:v>169</x:v>
      </x:c>
      <x:c r="B173" s="17" t="str">
        <x:v>재단법인 해남문화관광재단</x:v>
      </x:c>
      <x:c r="C173" s="17" t="str">
        <x:v>전남광주통합특별시</x:v>
      </x:c>
      <x:c r="D173" s="17" t="str">
        <x:v>해남문화관광재단 2026년 제6차 기간제근로자 채용 공고</x:v>
      </x:c>
      <x:c r="E173" s="17" t="str">
        <x:v>경력</x:v>
      </x:c>
      <x:c r="F173" s="17" t="str">
        <x:v>기간제</x:v>
      </x:c>
      <x:c r="G173" s="17" t="str">
        <x:v>명시 없음(원문 확인)</x:v>
      </x:c>
      <x:c r="H173" s="17" t="str">
        <x:v>2026-09-03</x:v>
      </x:c>
      <x:c r="I173" s="17" t="str">
        <x:v>2026-09-10</x:v>
      </x:c>
      <x:c r="J173" s="17" t="str">
        <x:v>모집중</x:v>
      </x:c>
      <x:c r="K173" s="17" t="str">
        <x:v>기간제·비정규</x:v>
      </x:c>
      <x:c r="L173" s="17" t="str">
        <x:v>세부조건 확인</x:v>
      </x:c>
      <x:c r="M173" s="17" t="str">
        <x:v>제한 문구 미탐지</x:v>
      </x:c>
      <x:c r="N173" s="17" t="str">
        <x:v>기관 공고 원문 확인</x:v>
      </x:c>
      <x:c r="O173" s="17" t="str">
        <x:v>기관 공고 원문 확인</x:v>
      </x:c>
      <x:c r="P173" s="17" t="str">
        <x:v>기관 공고 원문 확인</x:v>
      </x:c>
      <x:c r="Q173" s="17" t="str">
        <x:v>기관 공고 원문 확인</x:v>
      </x:c>
      <x:c r="R173" s="17" t="str">
        <x:v>정상</x:v>
      </x:c>
      <x:c r="S173" s="18" t="str">
        <x:v>https://job.cleaneye.go.kr/user/ypRecruitment.do</x:v>
      </x:c>
      <x:c r="T173" s="1"/>
      <x:c r="U173" s="1"/>
      <x:c r="V173" s="1"/>
      <x:c r="W173" s="1"/>
      <x:c r="X173" s="1"/>
      <x:c r="Y173" s="1"/>
      <x:c r="Z173" s="1"/>
    </x:row>
    <x:row r="174" ht="50" customHeight="1">
      <x:c r="A174" s="17" t="n">
        <x:v>170</x:v>
      </x:c>
      <x:c r="B174" s="17" t="str">
        <x:v>한국국학진흥원</x:v>
      </x:c>
      <x:c r="C174" s="17" t="str">
        <x:v>경상북도</x:v>
      </x:c>
      <x:c r="D174" s="17" t="str">
        <x:v>한국국학진흥원 10월 계약직원 채용 재공고(26.10.1.임용예정)</x:v>
      </x:c>
      <x:c r="E174" s="17" t="str">
        <x:v>신입+경력</x:v>
      </x:c>
      <x:c r="F174" s="17" t="str">
        <x:v>기간제</x:v>
      </x:c>
      <x:c r="G174" s="17" t="str">
        <x:v>명시 없음(원문 확인)</x:v>
      </x:c>
      <x:c r="H174" s="17" t="str">
        <x:v>2026-09-03</x:v>
      </x:c>
      <x:c r="I174" s="17" t="str">
        <x:v>2026-09-14</x:v>
      </x:c>
      <x:c r="J174" s="17" t="str">
        <x:v>모집중</x:v>
      </x:c>
      <x:c r="K174" s="17" t="str">
        <x:v>기간제·비정규</x:v>
      </x:c>
      <x:c r="L174" s="17" t="str">
        <x:v>검토</x:v>
      </x:c>
      <x:c r="M174" s="17" t="str">
        <x:v>제한 문구 미탐지</x:v>
      </x:c>
      <x:c r="N174" s="17" t="str">
        <x:v>기관 공고 원문 확인</x:v>
      </x:c>
      <x:c r="O174" s="17" t="str">
        <x:v>기관 공고 원문 확인</x:v>
      </x:c>
      <x:c r="P174" s="17" t="str">
        <x:v>기관 공고 원문 확인</x:v>
      </x:c>
      <x:c r="Q174" s="17" t="str">
        <x:v>기관 공고 원문 확인</x:v>
      </x:c>
      <x:c r="R174" s="17" t="str">
        <x:v>정상</x:v>
      </x:c>
      <x:c r="S174" s="18" t="str">
        <x:v>https://job.cleaneye.go.kr/user/ypRecruitment.do</x:v>
      </x:c>
      <x:c r="T174" s="1"/>
      <x:c r="U174" s="1"/>
      <x:c r="V174" s="1"/>
      <x:c r="W174" s="1"/>
      <x:c r="X174" s="1"/>
      <x:c r="Y174" s="1"/>
      <x:c r="Z174" s="1"/>
    </x:row>
    <x:row r="175" ht="50" customHeight="1">
      <x:c r="A175" s="17" t="n">
        <x:v>171</x:v>
      </x:c>
      <x:c r="B175" s="17" t="str">
        <x:v>대전광역시시설관리공단</x:v>
      </x:c>
      <x:c r="C175" s="17" t="str">
        <x:v>대전광역시</x:v>
      </x:c>
      <x:c r="D175" s="17" t="str">
        <x:v>무지개복지공장 기간제근로자(환경관리) 공개경쟁채용 공고</x:v>
      </x:c>
      <x:c r="E175" s="17" t="str">
        <x:v>신입</x:v>
      </x:c>
      <x:c r="F175" s="17" t="str">
        <x:v>기간제</x:v>
      </x:c>
      <x:c r="G175" s="17" t="str">
        <x:v>명시 없음(원문 확인)</x:v>
      </x:c>
      <x:c r="H175" s="17" t="str">
        <x:v>2026-09-03</x:v>
      </x:c>
      <x:c r="I175" s="17" t="str">
        <x:v>2026-09-14</x:v>
      </x:c>
      <x:c r="J175" s="17" t="str">
        <x:v>모집중</x:v>
      </x:c>
      <x:c r="K175" s="17" t="str">
        <x:v>기간제·비정규</x:v>
      </x:c>
      <x:c r="L175" s="17" t="str">
        <x:v>검토</x:v>
      </x:c>
      <x:c r="M175" s="17" t="str">
        <x:v>제한 문구 미탐지</x:v>
      </x:c>
      <x:c r="N175" s="17" t="str">
        <x:v>기관 공고 원문 확인</x:v>
      </x:c>
      <x:c r="O175" s="17" t="str">
        <x:v>기관 공고 원문 확인</x:v>
      </x:c>
      <x:c r="P175" s="17" t="str">
        <x:v>기관 공고 원문 확인</x:v>
      </x:c>
      <x:c r="Q175" s="17" t="str">
        <x:v>기관 공고 원문 확인</x:v>
      </x:c>
      <x:c r="R175" s="17" t="str">
        <x:v>정상</x:v>
      </x:c>
      <x:c r="S175" s="18" t="str">
        <x:v>https://job.cleaneye.go.kr/user/ypRecruitment.do</x:v>
      </x:c>
      <x:c r="T175" s="1"/>
      <x:c r="U175" s="1"/>
      <x:c r="V175" s="1"/>
      <x:c r="W175" s="1"/>
      <x:c r="X175" s="1"/>
      <x:c r="Y175" s="1"/>
      <x:c r="Z175" s="1"/>
    </x:row>
    <x:row r="176" ht="50" customHeight="1">
      <x:c r="A176" s="17" t="n">
        <x:v>172</x:v>
      </x:c>
      <x:c r="B176" s="17" t="str">
        <x:v>재단법인 구미문화재단</x:v>
      </x:c>
      <x:c r="C176" s="17" t="str">
        <x:v>경상북도</x:v>
      </x:c>
      <x:c r="D176" s="17" t="str">
        <x:v>(재)구미문화재단 2026년 육아휴직 대체인력 기간제 근로자 채용 공고</x:v>
      </x:c>
      <x:c r="E176" s="17" t="str">
        <x:v>신입+경력</x:v>
      </x:c>
      <x:c r="F176" s="17" t="str">
        <x:v>기간제</x:v>
      </x:c>
      <x:c r="G176" s="17" t="str">
        <x:v>명시 없음(원문 확인)</x:v>
      </x:c>
      <x:c r="H176" s="17" t="str">
        <x:v>2026-09-03</x:v>
      </x:c>
      <x:c r="I176" s="17" t="str">
        <x:v>2026-09-14</x:v>
      </x:c>
      <x:c r="J176" s="17" t="str">
        <x:v>모집중</x:v>
      </x:c>
      <x:c r="K176" s="17" t="str">
        <x:v>기간제·비정규</x:v>
      </x:c>
      <x:c r="L176" s="17" t="str">
        <x:v>검토</x:v>
      </x:c>
      <x:c r="M176" s="17" t="str">
        <x:v>제한 문구 미탐지</x:v>
      </x:c>
      <x:c r="N176" s="17" t="str">
        <x:v>기관 공고 원문 확인</x:v>
      </x:c>
      <x:c r="O176" s="17" t="str">
        <x:v>기관 공고 원문 확인</x:v>
      </x:c>
      <x:c r="P176" s="17" t="str">
        <x:v>기관 공고 원문 확인</x:v>
      </x:c>
      <x:c r="Q176" s="17" t="str">
        <x:v>기관 공고 원문 확인</x:v>
      </x:c>
      <x:c r="R176" s="17" t="str">
        <x:v>정상</x:v>
      </x:c>
      <x:c r="S176" s="18" t="str">
        <x:v>https://job.cleaneye.go.kr/user/ypRecruitment.do</x:v>
      </x:c>
      <x:c r="T176" s="1"/>
      <x:c r="U176" s="1"/>
      <x:c r="V176" s="1"/>
      <x:c r="W176" s="1"/>
      <x:c r="X176" s="1"/>
      <x:c r="Y176" s="1"/>
      <x:c r="Z176" s="1"/>
    </x:row>
    <x:row r="177" ht="50" customHeight="1">
      <x:c r="A177" s="17" t="n">
        <x:v>173</x:v>
      </x:c>
      <x:c r="B177" s="17" t="str">
        <x:v>구미전자정보기술원</x:v>
      </x:c>
      <x:c r="C177" s="17" t="str">
        <x:v>경상북도</x:v>
      </x:c>
      <x:c r="D177" s="17" t="str">
        <x:v>구미전자정보기술원 구미과학관 직원채용공고(2026-250호)</x:v>
      </x:c>
      <x:c r="E177" s="17" t="str">
        <x:v>신입+경력</x:v>
      </x:c>
      <x:c r="F177" s="17" t="str">
        <x:v>기간제</x:v>
      </x:c>
      <x:c r="G177" s="17" t="str">
        <x:v>명시 없음(원문 확인)</x:v>
      </x:c>
      <x:c r="H177" s="17" t="str">
        <x:v>2026-09-03</x:v>
      </x:c>
      <x:c r="I177" s="17" t="str">
        <x:v>2026-09-14</x:v>
      </x:c>
      <x:c r="J177" s="17" t="str">
        <x:v>모집중</x:v>
      </x:c>
      <x:c r="K177" s="17" t="str">
        <x:v>기간제·비정규</x:v>
      </x:c>
      <x:c r="L177" s="17" t="str">
        <x:v>검토</x:v>
      </x:c>
      <x:c r="M177" s="17" t="str">
        <x:v>제한 문구 미탐지</x:v>
      </x:c>
      <x:c r="N177" s="17" t="str">
        <x:v>기관 공고 원문 확인</x:v>
      </x:c>
      <x:c r="O177" s="17" t="str">
        <x:v>기관 공고 원문 확인</x:v>
      </x:c>
      <x:c r="P177" s="17" t="str">
        <x:v>기관 공고 원문 확인</x:v>
      </x:c>
      <x:c r="Q177" s="17" t="str">
        <x:v>기관 공고 원문 확인</x:v>
      </x:c>
      <x:c r="R177" s="17" t="str">
        <x:v>정상</x:v>
      </x:c>
      <x:c r="S177" s="18" t="str">
        <x:v>https://job.cleaneye.go.kr/user/ypRecruitment.do</x:v>
      </x:c>
      <x:c r="T177" s="1"/>
      <x:c r="U177" s="1"/>
      <x:c r="V177" s="1"/>
      <x:c r="W177" s="1"/>
      <x:c r="X177" s="1"/>
      <x:c r="Y177" s="1"/>
      <x:c r="Z177" s="1"/>
    </x:row>
    <x:row r="178" ht="50" customHeight="1">
      <x:c r="A178" s="17" t="n">
        <x:v>174</x:v>
      </x:c>
      <x:c r="B178" s="17" t="str">
        <x:v>구미도시공사</x:v>
      </x:c>
      <x:c r="C178" s="17" t="str">
        <x:v>경상북도</x:v>
      </x:c>
      <x:c r="D178" s="17" t="str">
        <x:v>2026년 구미도시공사 「청년 체험형 인턴」공개경쟁채용 공고</x:v>
      </x:c>
      <x:c r="E178" s="17" t="str">
        <x:v>신입</x:v>
      </x:c>
      <x:c r="F178" s="17" t="str">
        <x:v>인턴</x:v>
      </x:c>
      <x:c r="G178" s="17" t="str">
        <x:v>경상북도 구미</x:v>
      </x:c>
      <x:c r="H178" s="17" t="str">
        <x:v>2026-09-03</x:v>
      </x:c>
      <x:c r="I178" s="17" t="str">
        <x:v>2026-09-09</x:v>
      </x:c>
      <x:c r="J178" s="17" t="str">
        <x:v>모집중</x:v>
      </x:c>
      <x:c r="K178" s="17" t="str">
        <x:v>체험형·청년인턴</x:v>
      </x:c>
      <x:c r="L178" s="17" t="str">
        <x:v>우선검토</x:v>
      </x:c>
      <x:c r="M178" s="17" t="str">
        <x:v>제한 문구 미탐지</x:v>
      </x:c>
      <x:c r="N178" s="17" t="str">
        <x:v>기관 공고 원문 확인</x:v>
      </x:c>
      <x:c r="O178" s="17" t="str">
        <x:v>기관 공고 원문 확인</x:v>
      </x:c>
      <x:c r="P178" s="17" t="str">
        <x:v>기관 공고 원문 확인</x:v>
      </x:c>
      <x:c r="Q178" s="17" t="str">
        <x:v>기관 공고 원문 확인</x:v>
      </x:c>
      <x:c r="R178" s="17" t="str">
        <x:v>정상</x:v>
      </x:c>
      <x:c r="S178" s="18" t="str">
        <x:v>https://job.cleaneye.go.kr/user/ypRecruitment.do</x:v>
      </x:c>
      <x:c r="T178" s="1"/>
      <x:c r="U178" s="1"/>
      <x:c r="V178" s="1"/>
      <x:c r="W178" s="1"/>
      <x:c r="X178" s="1"/>
      <x:c r="Y178" s="1"/>
      <x:c r="Z178" s="1"/>
    </x:row>
    <x:row r="179" ht="50" customHeight="1">
      <x:c r="A179" s="17" t="n">
        <x:v>175</x:v>
      </x:c>
      <x:c r="B179" s="17" t="str">
        <x:v>전북특별자치도 남원의료원</x:v>
      </x:c>
      <x:c r="C179" s="17" t="str">
        <x:v>전북특별자치도</x:v>
      </x:c>
      <x:c r="D179" s="17" t="str">
        <x:v>전북특별자치도 남원의료원 간호사(2027년 졸업예정자) 채용시험 공고</x:v>
      </x:c>
      <x:c r="E179" s="17" t="str">
        <x:v>신입</x:v>
      </x:c>
      <x:c r="F179" s="17" t="str">
        <x:v>일반정규직</x:v>
      </x:c>
      <x:c r="G179" s="17" t="str">
        <x:v>명시 없음(원문 확인)</x:v>
      </x:c>
      <x:c r="H179" s="17" t="str">
        <x:v>2026-09-03</x:v>
      </x:c>
      <x:c r="I179" s="17" t="str">
        <x:v>2026-09-23</x:v>
      </x:c>
      <x:c r="J179" s="17" t="str">
        <x:v>모집중</x:v>
      </x:c>
      <x:c r="K179" s="17" t="str">
        <x:v>경력·전문직</x:v>
      </x:c>
      <x:c r="L179" s="17" t="str">
        <x:v>경력·전문 우선</x:v>
      </x:c>
      <x:c r="M179" s="17" t="str">
        <x:v>제한 문구 미탐지</x:v>
      </x:c>
      <x:c r="N179" s="17" t="str">
        <x:v>기관 공고 원문 확인</x:v>
      </x:c>
      <x:c r="O179" s="17" t="str">
        <x:v>기관 공고 원문 확인</x:v>
      </x:c>
      <x:c r="P179" s="17" t="str">
        <x:v>기관 공고 원문 확인</x:v>
      </x:c>
      <x:c r="Q179" s="17" t="str">
        <x:v>기관 공고 원문 확인</x:v>
      </x:c>
      <x:c r="R179" s="17" t="str">
        <x:v>정상</x:v>
      </x:c>
      <x:c r="S179" s="18" t="str">
        <x:v>https://job.cleaneye.go.kr/user/ypRecruitment.do</x:v>
      </x:c>
      <x:c r="T179" s="1"/>
      <x:c r="U179" s="1"/>
      <x:c r="V179" s="1"/>
      <x:c r="W179" s="1"/>
      <x:c r="X179" s="1"/>
      <x:c r="Y179" s="1"/>
      <x:c r="Z179" s="1"/>
    </x:row>
    <x:row r="180" ht="50" customHeight="1">
      <x:c r="A180" s="17" t="n">
        <x:v>176</x:v>
      </x:c>
      <x:c r="B180" s="17" t="str">
        <x:v>재단법인 성북복지재단</x:v>
      </x:c>
      <x:c r="C180" s="17" t="str">
        <x:v>서울특별시</x:v>
      </x:c>
      <x:c r="D180" s="17" t="str">
        <x:v>재단법인 성북복지재단 직원 채용 공고(기간제)</x:v>
      </x:c>
      <x:c r="E180" s="17" t="str">
        <x:v>신입+경력</x:v>
      </x:c>
      <x:c r="F180" s="17" t="str">
        <x:v>기간제</x:v>
      </x:c>
      <x:c r="G180" s="17" t="str">
        <x:v>명시 없음(원문 확인)</x:v>
      </x:c>
      <x:c r="H180" s="17" t="str">
        <x:v>2026-09-03</x:v>
      </x:c>
      <x:c r="I180" s="17" t="str">
        <x:v>2026-09-13</x:v>
      </x:c>
      <x:c r="J180" s="17" t="str">
        <x:v>모집중</x:v>
      </x:c>
      <x:c r="K180" s="17" t="str">
        <x:v>기간제·비정규</x:v>
      </x:c>
      <x:c r="L180" s="17" t="str">
        <x:v>검토</x:v>
      </x:c>
      <x:c r="M180" s="17" t="str">
        <x:v>제한 문구 미탐지</x:v>
      </x:c>
      <x:c r="N180" s="17" t="str">
        <x:v>기관 공고 원문 확인</x:v>
      </x:c>
      <x:c r="O180" s="17" t="str">
        <x:v>기관 공고 원문 확인</x:v>
      </x:c>
      <x:c r="P180" s="17" t="str">
        <x:v>기관 공고 원문 확인</x:v>
      </x:c>
      <x:c r="Q180" s="17" t="str">
        <x:v>기관 공고 원문 확인</x:v>
      </x:c>
      <x:c r="R180" s="17" t="str">
        <x:v>정상</x:v>
      </x:c>
      <x:c r="S180" s="18" t="str">
        <x:v>https://job.cleaneye.go.kr/user/ypRecruitment.do</x:v>
      </x:c>
      <x:c r="T180" s="1"/>
      <x:c r="U180" s="1"/>
      <x:c r="V180" s="1"/>
      <x:c r="W180" s="1"/>
      <x:c r="X180" s="1"/>
      <x:c r="Y180" s="1"/>
      <x:c r="Z180" s="1"/>
    </x:row>
    <x:row r="181" ht="50" customHeight="1">
      <x:c r="A181" s="17" t="n">
        <x:v>177</x:v>
      </x:c>
      <x:c r="B181" s="17" t="str">
        <x:v>고양문화재단</x:v>
      </x:c>
      <x:c r="C181" s="17" t="str">
        <x:v>경기도</x:v>
      </x:c>
      <x:c r="D181" s="17" t="str">
        <x:v>(재)고양문화재단 비상임 이사 공개 모집 공고</x:v>
      </x:c>
      <x:c r="E181" s="17" t="str">
        <x:v>경력</x:v>
      </x:c>
      <x:c r="F181" s="17" t="str">
        <x:v>비상임</x:v>
      </x:c>
      <x:c r="G181" s="17" t="str">
        <x:v>명시 없음(원문 확인)</x:v>
      </x:c>
      <x:c r="H181" s="17" t="str">
        <x:v>2026-09-03</x:v>
      </x:c>
      <x:c r="I181" s="17" t="str">
        <x:v>2026-09-17</x:v>
      </x:c>
      <x:c r="J181" s="17" t="str">
        <x:v>모집중</x:v>
      </x:c>
      <x:c r="K181" s="17" t="str">
        <x:v>기타 채용</x:v>
      </x:c>
      <x:c r="L181" s="17" t="str">
        <x:v>세부조건 확인</x:v>
      </x:c>
      <x:c r="M181" s="17" t="str">
        <x:v>제한 문구 미탐지</x:v>
      </x:c>
      <x:c r="N181" s="17" t="str">
        <x:v>기관 공고 원문 확인</x:v>
      </x:c>
      <x:c r="O181" s="17" t="str">
        <x:v>기관 공고 원문 확인</x:v>
      </x:c>
      <x:c r="P181" s="17" t="str">
        <x:v>기관 공고 원문 확인</x:v>
      </x:c>
      <x:c r="Q181" s="17" t="str">
        <x:v>기관 공고 원문 확인</x:v>
      </x:c>
      <x:c r="R181" s="17" t="str">
        <x:v>정상</x:v>
      </x:c>
      <x:c r="S181" s="18" t="str">
        <x:v>https://job.cleaneye.go.kr/user/ypRecruitment.do</x:v>
      </x:c>
      <x:c r="T181" s="1"/>
      <x:c r="U181" s="1"/>
      <x:c r="V181" s="1"/>
      <x:c r="W181" s="1"/>
      <x:c r="X181" s="1"/>
      <x:c r="Y181" s="1"/>
      <x:c r="Z181" s="1"/>
    </x:row>
    <x:row r="182" ht="50" customHeight="1">
      <x:c r="A182" s="17" t="n">
        <x:v>178</x:v>
      </x:c>
      <x:c r="B182" s="17" t="str">
        <x:v>고양문화재단</x:v>
      </x:c>
      <x:c r="C182" s="17" t="str">
        <x:v>경기도</x:v>
      </x:c>
      <x:c r="D182" s="17" t="str">
        <x:v>(재)고양문화재단 대표이사 채용 공고</x:v>
      </x:c>
      <x:c r="E182" s="17" t="str">
        <x:v>경력</x:v>
      </x:c>
      <x:c r="F182" s="17" t="str">
        <x:v>전문계약직</x:v>
      </x:c>
      <x:c r="G182" s="17" t="str">
        <x:v>명시 없음(원문 확인)</x:v>
      </x:c>
      <x:c r="H182" s="17" t="str">
        <x:v>2026-09-03</x:v>
      </x:c>
      <x:c r="I182" s="17" t="str">
        <x:v>2026-09-17</x:v>
      </x:c>
      <x:c r="J182" s="17" t="str">
        <x:v>모집중</x:v>
      </x:c>
      <x:c r="K182" s="17" t="str">
        <x:v>기타 채용</x:v>
      </x:c>
      <x:c r="L182" s="17" t="str">
        <x:v>세부조건 확인</x:v>
      </x:c>
      <x:c r="M182" s="17" t="str">
        <x:v>제한 문구 미탐지</x:v>
      </x:c>
      <x:c r="N182" s="17" t="str">
        <x:v>기관 공고 원문 확인</x:v>
      </x:c>
      <x:c r="O182" s="17" t="str">
        <x:v>기관 공고 원문 확인</x:v>
      </x:c>
      <x:c r="P182" s="17" t="str">
        <x:v>기관 공고 원문 확인</x:v>
      </x:c>
      <x:c r="Q182" s="17" t="str">
        <x:v>기관 공고 원문 확인</x:v>
      </x:c>
      <x:c r="R182" s="17" t="str">
        <x:v>정상</x:v>
      </x:c>
      <x:c r="S182" s="18" t="str">
        <x:v>https://job.cleaneye.go.kr/user/ypRecruitment.do</x:v>
      </x:c>
      <x:c r="T182" s="1"/>
      <x:c r="U182" s="1"/>
      <x:c r="V182" s="1"/>
      <x:c r="W182" s="1"/>
      <x:c r="X182" s="1"/>
      <x:c r="Y182" s="1"/>
      <x:c r="Z182" s="1"/>
    </x:row>
    <x:row r="183" ht="50" customHeight="1">
      <x:c r="A183" s="17" t="n">
        <x:v>179</x:v>
      </x:c>
      <x:c r="B183" s="17" t="str">
        <x:v>창원레포츠파크</x:v>
      </x:c>
      <x:c r="C183" s="17" t="str">
        <x:v>경상남도</x:v>
      </x:c>
      <x:c r="D183" s="17" t="str">
        <x:v>2026년 창원레포츠파크 제5회 기간제근로자 공개채용 공고</x:v>
      </x:c>
      <x:c r="E183" s="17" t="str">
        <x:v>신입</x:v>
      </x:c>
      <x:c r="F183" s="17" t="str">
        <x:v>기간제</x:v>
      </x:c>
      <x:c r="G183" s="17" t="str">
        <x:v>경상남도 창원시</x:v>
      </x:c>
      <x:c r="H183" s="17" t="str">
        <x:v>2026-09-03</x:v>
      </x:c>
      <x:c r="I183" s="17" t="str">
        <x:v>2026-09-13</x:v>
      </x:c>
      <x:c r="J183" s="17" t="str">
        <x:v>모집중</x:v>
      </x:c>
      <x:c r="K183" s="17" t="str">
        <x:v>기간제·비정규</x:v>
      </x:c>
      <x:c r="L183" s="17" t="str">
        <x:v>검토</x:v>
      </x:c>
      <x:c r="M183" s="17" t="str">
        <x:v>제한 문구 미탐지</x:v>
      </x:c>
      <x:c r="N183" s="17" t="str">
        <x:v>기관 공고 원문 확인</x:v>
      </x:c>
      <x:c r="O183" s="17" t="str">
        <x:v>기관 공고 원문 확인</x:v>
      </x:c>
      <x:c r="P183" s="17" t="str">
        <x:v>기관 공고 원문 확인</x:v>
      </x:c>
      <x:c r="Q183" s="17" t="str">
        <x:v>기관 공고 원문 확인</x:v>
      </x:c>
      <x:c r="R183" s="17" t="str">
        <x:v>정상</x:v>
      </x:c>
      <x:c r="S183" s="18" t="str">
        <x:v>https://job.cleaneye.go.kr/user/ypRecruitment.do</x:v>
      </x:c>
      <x:c r="T183" s="1"/>
      <x:c r="U183" s="1"/>
      <x:c r="V183" s="1"/>
      <x:c r="W183" s="1"/>
      <x:c r="X183" s="1"/>
      <x:c r="Y183" s="1"/>
      <x:c r="Z183" s="1"/>
    </x:row>
    <x:row r="184" ht="50" customHeight="1">
      <x:c r="A184" s="17" t="n">
        <x:v>180</x:v>
      </x:c>
      <x:c r="B184" s="17" t="str">
        <x:v>고양문화재단</x:v>
      </x:c>
      <x:c r="C184" s="17" t="str">
        <x:v>경기도</x:v>
      </x:c>
      <x:c r="D184" s="17" t="str">
        <x:v>(재)고양문화재단 비상임 감사 공개 모집 공고</x:v>
      </x:c>
      <x:c r="E184" s="17" t="str">
        <x:v>경력</x:v>
      </x:c>
      <x:c r="F184" s="17" t="str">
        <x:v>비상임</x:v>
      </x:c>
      <x:c r="G184" s="17" t="str">
        <x:v>명시 없음(원문 확인)</x:v>
      </x:c>
      <x:c r="H184" s="17" t="str">
        <x:v>2026-09-03</x:v>
      </x:c>
      <x:c r="I184" s="17" t="str">
        <x:v>2026-09-17</x:v>
      </x:c>
      <x:c r="J184" s="17" t="str">
        <x:v>모집중</x:v>
      </x:c>
      <x:c r="K184" s="17" t="str">
        <x:v>경력·전문직</x:v>
      </x:c>
      <x:c r="L184" s="17" t="str">
        <x:v>경력·전문 우선</x:v>
      </x:c>
      <x:c r="M184" s="17" t="str">
        <x:v>제한 문구 미탐지</x:v>
      </x:c>
      <x:c r="N184" s="17" t="str">
        <x:v>기관 공고 원문 확인</x:v>
      </x:c>
      <x:c r="O184" s="17" t="str">
        <x:v>기관 공고 원문 확인</x:v>
      </x:c>
      <x:c r="P184" s="17" t="str">
        <x:v>기관 공고 원문 확인</x:v>
      </x:c>
      <x:c r="Q184" s="17" t="str">
        <x:v>기관 공고 원문 확인</x:v>
      </x:c>
      <x:c r="R184" s="17" t="str">
        <x:v>정상</x:v>
      </x:c>
      <x:c r="S184" s="18" t="str">
        <x:v>https://job.cleaneye.go.kr/user/ypRecruitment.do</x:v>
      </x:c>
      <x:c r="T184" s="1"/>
      <x:c r="U184" s="1"/>
      <x:c r="V184" s="1"/>
      <x:c r="W184" s="1"/>
      <x:c r="X184" s="1"/>
      <x:c r="Y184" s="1"/>
      <x:c r="Z184" s="1"/>
    </x:row>
    <x:row r="185" ht="50" customHeight="1">
      <x:c r="A185" s="17" t="n">
        <x:v>181</x:v>
      </x:c>
      <x:c r="B185" s="17" t="str">
        <x:v>수성문화재단</x:v>
      </x:c>
      <x:c r="C185" s="17" t="str">
        <x:v>대구광역시</x:v>
      </x:c>
      <x:c r="D185" s="17" t="str">
        <x:v>2026년 (재)수성문화재단 문화도시본부 관광진흥센터 고모역 복합문화공간 기간제 근로자 공개채용 재공고</x:v>
      </x:c>
      <x:c r="E185" s="17" t="str">
        <x:v>신입+경력</x:v>
      </x:c>
      <x:c r="F185" s="17" t="str">
        <x:v>기간제</x:v>
      </x:c>
      <x:c r="G185" s="17" t="str">
        <x:v>명시 없음(원문 확인)</x:v>
      </x:c>
      <x:c r="H185" s="17" t="str">
        <x:v>2026-09-03</x:v>
      </x:c>
      <x:c r="I185" s="17" t="str">
        <x:v>2026-09-13</x:v>
      </x:c>
      <x:c r="J185" s="17" t="str">
        <x:v>모집중</x:v>
      </x:c>
      <x:c r="K185" s="17" t="str">
        <x:v>기간제·비정규</x:v>
      </x:c>
      <x:c r="L185" s="17" t="str">
        <x:v>검토</x:v>
      </x:c>
      <x:c r="M185" s="17" t="str">
        <x:v>제한 문구 미탐지</x:v>
      </x:c>
      <x:c r="N185" s="17" t="str">
        <x:v>기관 공고 원문 확인</x:v>
      </x:c>
      <x:c r="O185" s="17" t="str">
        <x:v>기관 공고 원문 확인</x:v>
      </x:c>
      <x:c r="P185" s="17" t="str">
        <x:v>기관 공고 원문 확인</x:v>
      </x:c>
      <x:c r="Q185" s="17" t="str">
        <x:v>기관 공고 원문 확인</x:v>
      </x:c>
      <x:c r="R185" s="17" t="str">
        <x:v>정상</x:v>
      </x:c>
      <x:c r="S185" s="18" t="str">
        <x:v>https://job.cleaneye.go.kr/user/ypRecruitment.do</x:v>
      </x:c>
      <x:c r="T185" s="1"/>
      <x:c r="U185" s="1"/>
      <x:c r="V185" s="1"/>
      <x:c r="W185" s="1"/>
      <x:c r="X185" s="1"/>
      <x:c r="Y185" s="1"/>
      <x:c r="Z185" s="1"/>
    </x:row>
    <x:row r="186" ht="50" customHeight="1">
      <x:c r="A186" s="17" t="n">
        <x:v>182</x:v>
      </x:c>
      <x:c r="B186" s="17" t="str">
        <x:v>재단법인 제주특별자치도 사회서비스원</x:v>
      </x:c>
      <x:c r="C186" s="17" t="str">
        <x:v>제주특별자치도</x:v>
      </x:c>
      <x:c r="D186" s="17" t="str">
        <x:v>2026년 제주특별자치도사회서비스원 14차 채용 공고</x:v>
      </x:c>
      <x:c r="E186" s="17" t="str">
        <x:v>신입+경력</x:v>
      </x:c>
      <x:c r="F186" s="17" t="str">
        <x:v>기간제</x:v>
      </x:c>
      <x:c r="G186" s="17" t="str">
        <x:v>명시 없음(원문 확인)</x:v>
      </x:c>
      <x:c r="H186" s="17" t="str">
        <x:v>2026-09-03</x:v>
      </x:c>
      <x:c r="I186" s="17" t="str">
        <x:v>2026-09-18</x:v>
      </x:c>
      <x:c r="J186" s="17" t="str">
        <x:v>모집중</x:v>
      </x:c>
      <x:c r="K186" s="17" t="str">
        <x:v>기간제·비정규</x:v>
      </x:c>
      <x:c r="L186" s="17" t="str">
        <x:v>검토</x:v>
      </x:c>
      <x:c r="M186" s="17" t="str">
        <x:v>제한 문구 미탐지</x:v>
      </x:c>
      <x:c r="N186" s="17" t="str">
        <x:v>기관 공고 원문 확인</x:v>
      </x:c>
      <x:c r="O186" s="17" t="str">
        <x:v>기관 공고 원문 확인</x:v>
      </x:c>
      <x:c r="P186" s="17" t="str">
        <x:v>기관 공고 원문 확인</x:v>
      </x:c>
      <x:c r="Q186" s="17" t="str">
        <x:v>기관 공고 원문 확인</x:v>
      </x:c>
      <x:c r="R186" s="17" t="str">
        <x:v>정상</x:v>
      </x:c>
      <x:c r="S186" s="18" t="str">
        <x:v>https://job.cleaneye.go.kr/user/ypRecruitment.do</x:v>
      </x:c>
      <x:c r="T186" s="1"/>
      <x:c r="U186" s="1"/>
      <x:c r="V186" s="1"/>
      <x:c r="W186" s="1"/>
      <x:c r="X186" s="1"/>
      <x:c r="Y186" s="1"/>
      <x:c r="Z186" s="1"/>
    </x:row>
    <x:row r="187" ht="50" customHeight="1">
      <x:c r="A187" s="17" t="n">
        <x:v>183</x:v>
      </x:c>
      <x:c r="B187" s="17" t="str">
        <x:v>성북문화재단</x:v>
      </x:c>
      <x:c r="C187" s="17" t="str">
        <x:v>서울특별시</x:v>
      </x:c>
      <x:c r="D187" s="17" t="str">
        <x:v>(제26-23호)성북문화재단 정규직 채용 공고(8급-시설관리-기계)</x:v>
      </x:c>
      <x:c r="E187" s="17" t="str">
        <x:v>신입</x:v>
      </x:c>
      <x:c r="F187" s="17" t="str">
        <x:v>일반정규직</x:v>
      </x:c>
      <x:c r="G187" s="17" t="str">
        <x:v>명시 없음(원문 확인)</x:v>
      </x:c>
      <x:c r="H187" s="17" t="str">
        <x:v>2026-09-03</x:v>
      </x:c>
      <x:c r="I187" s="17" t="str">
        <x:v>2026-09-09</x:v>
      </x:c>
      <x:c r="J187" s="17" t="str">
        <x:v>모집중</x:v>
      </x:c>
      <x:c r="K187" s="17" t="str">
        <x:v>정규직(세부 확인)</x:v>
      </x:c>
      <x:c r="L187" s="17" t="str">
        <x:v>검토</x:v>
      </x:c>
      <x:c r="M187" s="17" t="str">
        <x:v>제한 문구 미탐지</x:v>
      </x:c>
      <x:c r="N187" s="17" t="str">
        <x:v>기관 공고 원문 확인</x:v>
      </x:c>
      <x:c r="O187" s="17" t="str">
        <x:v>기관 공고 원문 확인</x:v>
      </x:c>
      <x:c r="P187" s="17" t="str">
        <x:v>기관 공고 원문 확인</x:v>
      </x:c>
      <x:c r="Q187" s="17" t="str">
        <x:v>기관 공고 원문 확인</x:v>
      </x:c>
      <x:c r="R187" s="17" t="str">
        <x:v>정상</x:v>
      </x:c>
      <x:c r="S187" s="18" t="str">
        <x:v>https://job.cleaneye.go.kr/user/ypRecruitment.do</x:v>
      </x:c>
      <x:c r="T187" s="1"/>
      <x:c r="U187" s="1"/>
      <x:c r="V187" s="1"/>
      <x:c r="W187" s="1"/>
      <x:c r="X187" s="1"/>
      <x:c r="Y187" s="1"/>
      <x:c r="Z187" s="1"/>
    </x:row>
    <x:row r="188" ht="50" customHeight="1">
      <x:c r="A188" s="17" t="n">
        <x:v>184</x:v>
      </x:c>
      <x:c r="B188" s="17" t="str">
        <x:v>강북문화재단</x:v>
      </x:c>
      <x:c r="C188" s="17" t="str">
        <x:v>서울특별시</x:v>
      </x:c>
      <x:c r="D188" s="17" t="str">
        <x:v>(재)강북문화재단 임원(비상임이사) 공개모집 공고</x:v>
      </x:c>
      <x:c r="E188" s="17" t="str">
        <x:v>경력</x:v>
      </x:c>
      <x:c r="F188" s="17" t="str">
        <x:v>비상임</x:v>
      </x:c>
      <x:c r="G188" s="17" t="str">
        <x:v>명시 없음(원문 확인)</x:v>
      </x:c>
      <x:c r="H188" s="17" t="str">
        <x:v>2026-09-03</x:v>
      </x:c>
      <x:c r="I188" s="17" t="str">
        <x:v>2026-09-18</x:v>
      </x:c>
      <x:c r="J188" s="17" t="str">
        <x:v>모집중</x:v>
      </x:c>
      <x:c r="K188" s="17" t="str">
        <x:v>경력·전문직</x:v>
      </x:c>
      <x:c r="L188" s="17" t="str">
        <x:v>경력·전문 우선</x:v>
      </x:c>
      <x:c r="M188" s="17" t="str">
        <x:v>제한 문구 미탐지</x:v>
      </x:c>
      <x:c r="N188" s="17" t="str">
        <x:v>기관 공고 원문 확인</x:v>
      </x:c>
      <x:c r="O188" s="17" t="str">
        <x:v>기관 공고 원문 확인</x:v>
      </x:c>
      <x:c r="P188" s="17" t="str">
        <x:v>기관 공고 원문 확인</x:v>
      </x:c>
      <x:c r="Q188" s="17" t="str">
        <x:v>기관 공고 원문 확인</x:v>
      </x:c>
      <x:c r="R188" s="17" t="str">
        <x:v>정상</x:v>
      </x:c>
      <x:c r="S188" s="18" t="str">
        <x:v>https://job.cleaneye.go.kr/user/ypRecruitment.do</x:v>
      </x:c>
      <x:c r="T188" s="1"/>
      <x:c r="U188" s="1"/>
      <x:c r="V188" s="1"/>
      <x:c r="W188" s="1"/>
      <x:c r="X188" s="1"/>
      <x:c r="Y188" s="1"/>
      <x:c r="Z188" s="1"/>
    </x:row>
    <x:row r="189" ht="50" customHeight="1">
      <x:c r="A189" s="17" t="n">
        <x:v>185</x:v>
      </x:c>
      <x:c r="B189" s="17" t="str">
        <x:v>강원특별자치도삼척의료원</x:v>
      </x:c>
      <x:c r="C189" s="17" t="str">
        <x:v>강원특별자치도</x:v>
      </x:c>
      <x:c r="D189" s="17" t="str">
        <x:v>공고2026-59 간호사(공무직) 채용 공고</x:v>
      </x:c>
      <x:c r="E189" s="17" t="str">
        <x:v>신입+경력</x:v>
      </x:c>
      <x:c r="F189" s="17" t="str">
        <x:v>무기계약직</x:v>
      </x:c>
      <x:c r="G189" s="17" t="str">
        <x:v>명시 없음(원문 확인)</x:v>
      </x:c>
      <x:c r="H189" s="17" t="str">
        <x:v>2026-09-03</x:v>
      </x:c>
      <x:c r="I189" s="17" t="str">
        <x:v>2026-09-14</x:v>
      </x:c>
      <x:c r="J189" s="17" t="str">
        <x:v>모집중</x:v>
      </x:c>
      <x:c r="K189" s="17" t="str">
        <x:v>경력·전문직</x:v>
      </x:c>
      <x:c r="L189" s="17" t="str">
        <x:v>경력·전문 우선</x:v>
      </x:c>
      <x:c r="M189" s="17" t="str">
        <x:v>제한 문구 미탐지</x:v>
      </x:c>
      <x:c r="N189" s="17" t="str">
        <x:v>기관 공고 원문 확인</x:v>
      </x:c>
      <x:c r="O189" s="17" t="str">
        <x:v>기관 공고 원문 확인</x:v>
      </x:c>
      <x:c r="P189" s="17" t="str">
        <x:v>기관 공고 원문 확인</x:v>
      </x:c>
      <x:c r="Q189" s="17" t="str">
        <x:v>기관 공고 원문 확인</x:v>
      </x:c>
      <x:c r="R189" s="17" t="str">
        <x:v>정상</x:v>
      </x:c>
      <x:c r="S189" s="18" t="str">
        <x:v>https://job.cleaneye.go.kr/user/ypRecruitment.do</x:v>
      </x:c>
      <x:c r="T189" s="1"/>
      <x:c r="U189" s="1"/>
      <x:c r="V189" s="1"/>
      <x:c r="W189" s="1"/>
      <x:c r="X189" s="1"/>
      <x:c r="Y189" s="1"/>
      <x:c r="Z189" s="1"/>
    </x:row>
    <x:row r="190" ht="50" customHeight="1">
      <x:c r="A190" s="17" t="n">
        <x:v>186</x:v>
      </x:c>
      <x:c r="B190" s="17" t="str">
        <x:v>제주관광공사</x:v>
      </x:c>
      <x:c r="C190" s="17" t="str">
        <x:v>제주특별자치도</x:v>
      </x:c>
      <x:c r="D190" s="17" t="str">
        <x:v>제주관광공사 비상임이사 공개모집 공고</x:v>
      </x:c>
      <x:c r="E190" s="17" t="str">
        <x:v>경력</x:v>
      </x:c>
      <x:c r="F190" s="17" t="str">
        <x:v>비상임</x:v>
      </x:c>
      <x:c r="G190" s="17" t="str">
        <x:v>명시 없음(원문 확인)</x:v>
      </x:c>
      <x:c r="H190" s="17" t="str">
        <x:v>2026-09-03</x:v>
      </x:c>
      <x:c r="I190" s="17" t="str">
        <x:v>2026-09-17</x:v>
      </x:c>
      <x:c r="J190" s="17" t="str">
        <x:v>모집중</x:v>
      </x:c>
      <x:c r="K190" s="17" t="str">
        <x:v>기타 채용</x:v>
      </x:c>
      <x:c r="L190" s="17" t="str">
        <x:v>세부조건 확인</x:v>
      </x:c>
      <x:c r="M190" s="17" t="str">
        <x:v>제한 문구 미탐지</x:v>
      </x:c>
      <x:c r="N190" s="17" t="str">
        <x:v>기관 공고 원문 확인</x:v>
      </x:c>
      <x:c r="O190" s="17" t="str">
        <x:v>기관 공고 원문 확인</x:v>
      </x:c>
      <x:c r="P190" s="17" t="str">
        <x:v>기관 공고 원문 확인</x:v>
      </x:c>
      <x:c r="Q190" s="17" t="str">
        <x:v>기관 공고 원문 확인</x:v>
      </x:c>
      <x:c r="R190" s="17" t="str">
        <x:v>정상</x:v>
      </x:c>
      <x:c r="S190" s="18" t="str">
        <x:v>https://job.cleaneye.go.kr/user/ypRecruitment.do</x:v>
      </x:c>
      <x:c r="T190" s="1"/>
      <x:c r="U190" s="1"/>
      <x:c r="V190" s="1"/>
      <x:c r="W190" s="1"/>
      <x:c r="X190" s="1"/>
      <x:c r="Y190" s="1"/>
      <x:c r="Z190" s="1"/>
    </x:row>
    <x:row r="191" ht="50" customHeight="1">
      <x:c r="A191" s="17" t="n">
        <x:v>187</x:v>
      </x:c>
      <x:c r="B191" s="17" t="str">
        <x:v>성북문화재단</x:v>
      </x:c>
      <x:c r="C191" s="17" t="str">
        <x:v>서울특별시</x:v>
      </x:c>
      <x:c r="D191" s="17" t="str">
        <x:v>(제26-24호)성북문화재단 정규직 채용 공고(8급-사서)</x:v>
      </x:c>
      <x:c r="E191" s="17" t="str">
        <x:v>신입</x:v>
      </x:c>
      <x:c r="F191" s="17" t="str">
        <x:v>일반정규직</x:v>
      </x:c>
      <x:c r="G191" s="17" t="str">
        <x:v>명시 없음(원문 확인)</x:v>
      </x:c>
      <x:c r="H191" s="17" t="str">
        <x:v>2026-09-03</x:v>
      </x:c>
      <x:c r="I191" s="17" t="str">
        <x:v>2026-09-09</x:v>
      </x:c>
      <x:c r="J191" s="17" t="str">
        <x:v>모집중</x:v>
      </x:c>
      <x:c r="K191" s="17" t="str">
        <x:v>정규직(세부 확인)</x:v>
      </x:c>
      <x:c r="L191" s="17" t="str">
        <x:v>검토</x:v>
      </x:c>
      <x:c r="M191" s="17" t="str">
        <x:v>제한 문구 미탐지</x:v>
      </x:c>
      <x:c r="N191" s="17" t="str">
        <x:v>기관 공고 원문 확인</x:v>
      </x:c>
      <x:c r="O191" s="17" t="str">
        <x:v>기관 공고 원문 확인</x:v>
      </x:c>
      <x:c r="P191" s="17" t="str">
        <x:v>기관 공고 원문 확인</x:v>
      </x:c>
      <x:c r="Q191" s="17" t="str">
        <x:v>기관 공고 원문 확인</x:v>
      </x:c>
      <x:c r="R191" s="17" t="str">
        <x:v>정상</x:v>
      </x:c>
      <x:c r="S191" s="18" t="str">
        <x:v>https://job.cleaneye.go.kr/user/ypRecruitment.do</x:v>
      </x:c>
      <x:c r="T191" s="1"/>
      <x:c r="U191" s="1"/>
      <x:c r="V191" s="1"/>
      <x:c r="W191" s="1"/>
      <x:c r="X191" s="1"/>
      <x:c r="Y191" s="1"/>
      <x:c r="Z191" s="1"/>
    </x:row>
    <x:row r="192" ht="50" customHeight="1">
      <x:c r="A192" s="17" t="n">
        <x:v>188</x:v>
      </x:c>
      <x:c r="B192" s="17" t="str">
        <x:v>나주시농업농촌융복합산업진흥재단</x:v>
      </x:c>
      <x:c r="C192" s="17" t="str">
        <x:v>전남광주통합특별시</x:v>
      </x:c>
      <x:c r="D192" s="17" t="str">
        <x:v>나주농업진흥재단 로컬푸드지원센터 기간제근로자 채용(결원 충원) 공고</x:v>
      </x:c>
      <x:c r="E192" s="17" t="str">
        <x:v>신입</x:v>
      </x:c>
      <x:c r="F192" s="17" t="str">
        <x:v>기간제</x:v>
      </x:c>
      <x:c r="G192" s="17" t="str">
        <x:v>명시 없음(원문 확인)</x:v>
      </x:c>
      <x:c r="H192" s="17" t="str">
        <x:v>2026-09-03</x:v>
      </x:c>
      <x:c r="I192" s="17" t="str">
        <x:v>2026-09-14</x:v>
      </x:c>
      <x:c r="J192" s="17" t="str">
        <x:v>모집중</x:v>
      </x:c>
      <x:c r="K192" s="17" t="str">
        <x:v>기간제·비정규</x:v>
      </x:c>
      <x:c r="L192" s="17" t="str">
        <x:v>검토</x:v>
      </x:c>
      <x:c r="M192" s="17" t="str">
        <x:v>제한 문구 미탐지</x:v>
      </x:c>
      <x:c r="N192" s="17" t="str">
        <x:v>기관 공고 원문 확인</x:v>
      </x:c>
      <x:c r="O192" s="17" t="str">
        <x:v>기관 공고 원문 확인</x:v>
      </x:c>
      <x:c r="P192" s="17" t="str">
        <x:v>기관 공고 원문 확인</x:v>
      </x:c>
      <x:c r="Q192" s="17" t="str">
        <x:v>기관 공고 원문 확인</x:v>
      </x:c>
      <x:c r="R192" s="17" t="str">
        <x:v>정상</x:v>
      </x:c>
      <x:c r="S192" s="18" t="str">
        <x:v>https://job.cleaneye.go.kr/user/ypRecruitment.do</x:v>
      </x:c>
      <x:c r="T192" s="1"/>
      <x:c r="U192" s="1"/>
      <x:c r="V192" s="1"/>
      <x:c r="W192" s="1"/>
      <x:c r="X192" s="1"/>
      <x:c r="Y192" s="1"/>
      <x:c r="Z192" s="1"/>
    </x:row>
    <x:row r="193" ht="50" customHeight="1">
      <x:c r="A193" s="17" t="n">
        <x:v>189</x:v>
      </x:c>
      <x:c r="B193" s="17" t="str">
        <x:v>고양시청소년재단</x:v>
      </x:c>
      <x:c r="C193" s="17" t="str">
        <x:v>경기도</x:v>
      </x:c>
      <x:c r="D193" s="17" t="str">
        <x:v>고양시청소년재단 2026년 제5차 기간제근로자 채용 공고</x:v>
      </x:c>
      <x:c r="E193" s="17" t="str">
        <x:v>신입</x:v>
      </x:c>
      <x:c r="F193" s="17" t="str">
        <x:v>기간제</x:v>
      </x:c>
      <x:c r="G193" s="17" t="str">
        <x:v>명시 없음(원문 확인)</x:v>
      </x:c>
      <x:c r="H193" s="17" t="str">
        <x:v>2026-09-03</x:v>
      </x:c>
      <x:c r="I193" s="17" t="str">
        <x:v>2026-09-13</x:v>
      </x:c>
      <x:c r="J193" s="17" t="str">
        <x:v>모집중</x:v>
      </x:c>
      <x:c r="K193" s="17" t="str">
        <x:v>기간제·비정규</x:v>
      </x:c>
      <x:c r="L193" s="17" t="str">
        <x:v>검토</x:v>
      </x:c>
      <x:c r="M193" s="17" t="str">
        <x:v>제한 문구 미탐지</x:v>
      </x:c>
      <x:c r="N193" s="17" t="str">
        <x:v>기관 공고 원문 확인</x:v>
      </x:c>
      <x:c r="O193" s="17" t="str">
        <x:v>기관 공고 원문 확인</x:v>
      </x:c>
      <x:c r="P193" s="17" t="str">
        <x:v>기관 공고 원문 확인</x:v>
      </x:c>
      <x:c r="Q193" s="17" t="str">
        <x:v>기관 공고 원문 확인</x:v>
      </x:c>
      <x:c r="R193" s="17" t="str">
        <x:v>정상</x:v>
      </x:c>
      <x:c r="S193" s="18" t="str">
        <x:v>https://job.cleaneye.go.kr/user/ypRecruitment.do</x:v>
      </x:c>
      <x:c r="T193" s="1"/>
      <x:c r="U193" s="1"/>
      <x:c r="V193" s="1"/>
      <x:c r="W193" s="1"/>
      <x:c r="X193" s="1"/>
      <x:c r="Y193" s="1"/>
      <x:c r="Z193" s="1"/>
    </x:row>
    <x:row r="194" ht="50" customHeight="1">
      <x:c r="A194" s="17" t="n">
        <x:v>190</x:v>
      </x:c>
      <x:c r="B194" s="17" t="str">
        <x:v>재단법인 연수구청소년재단</x:v>
      </x:c>
      <x:c r="C194" s="17" t="str">
        <x:v>인천광역시</x:v>
      </x:c>
      <x:c r="D194" s="17" t="str">
        <x:v>2026년 연수구청소년센터 기간제(수영강사) 직원 채용 공고</x:v>
      </x:c>
      <x:c r="E194" s="17" t="str">
        <x:v>신입+경력</x:v>
      </x:c>
      <x:c r="F194" s="17" t="str">
        <x:v>기간제</x:v>
      </x:c>
      <x:c r="G194" s="17" t="str">
        <x:v>명시 없음(원문 확인)</x:v>
      </x:c>
      <x:c r="H194" s="17" t="str">
        <x:v>2026-09-03</x:v>
      </x:c>
      <x:c r="I194" s="17" t="str">
        <x:v>2026-09-12</x:v>
      </x:c>
      <x:c r="J194" s="17" t="str">
        <x:v>모집중</x:v>
      </x:c>
      <x:c r="K194" s="17" t="str">
        <x:v>기간제·비정규</x:v>
      </x:c>
      <x:c r="L194" s="17" t="str">
        <x:v>검토</x:v>
      </x:c>
      <x:c r="M194" s="17" t="str">
        <x:v>제한 문구 미탐지</x:v>
      </x:c>
      <x:c r="N194" s="17" t="str">
        <x:v>기관 공고 원문 확인</x:v>
      </x:c>
      <x:c r="O194" s="17" t="str">
        <x:v>기관 공고 원문 확인</x:v>
      </x:c>
      <x:c r="P194" s="17" t="str">
        <x:v>기관 공고 원문 확인</x:v>
      </x:c>
      <x:c r="Q194" s="17" t="str">
        <x:v>기관 공고 원문 확인</x:v>
      </x:c>
      <x:c r="R194" s="17" t="str">
        <x:v>정상</x:v>
      </x:c>
      <x:c r="S194" s="18" t="str">
        <x:v>https://job.cleaneye.go.kr/user/ypRecruitment.do</x:v>
      </x:c>
      <x:c r="T194" s="1"/>
      <x:c r="U194" s="1"/>
      <x:c r="V194" s="1"/>
      <x:c r="W194" s="1"/>
      <x:c r="X194" s="1"/>
      <x:c r="Y194" s="1"/>
      <x:c r="Z194" s="1"/>
    </x:row>
    <x:row r="195" ht="50" customHeight="1">
      <x:c r="A195" s="17" t="n">
        <x:v>191</x:v>
      </x:c>
      <x:c r="B195" s="17" t="str">
        <x:v>재단법인 경남항노화연구원</x:v>
      </x:c>
      <x:c r="C195" s="17" t="str">
        <x:v>경상남도</x:v>
      </x:c>
      <x:c r="D195" s="17" t="str">
        <x:v>재단법인 경남항노화연구원 원장 공개모집 공고</x:v>
      </x:c>
      <x:c r="E195" s="17" t="str">
        <x:v>신입+경력</x:v>
      </x:c>
      <x:c r="F195" s="17" t="str">
        <x:v>전문계약직</x:v>
      </x:c>
      <x:c r="G195" s="17" t="str">
        <x:v>명시 없음(원문 확인)</x:v>
      </x:c>
      <x:c r="H195" s="17" t="str">
        <x:v>2026-09-03</x:v>
      </x:c>
      <x:c r="I195" s="17" t="str">
        <x:v>2026-09-18</x:v>
      </x:c>
      <x:c r="J195" s="17" t="str">
        <x:v>모집중</x:v>
      </x:c>
      <x:c r="K195" s="17" t="str">
        <x:v>경력·전문직</x:v>
      </x:c>
      <x:c r="L195" s="17" t="str">
        <x:v>경력·전문 우선</x:v>
      </x:c>
      <x:c r="M195" s="17" t="str">
        <x:v>제한 문구 미탐지</x:v>
      </x:c>
      <x:c r="N195" s="17" t="str">
        <x:v>기관 공고 원문 확인</x:v>
      </x:c>
      <x:c r="O195" s="17" t="str">
        <x:v>기관 공고 원문 확인</x:v>
      </x:c>
      <x:c r="P195" s="17" t="str">
        <x:v>기관 공고 원문 확인</x:v>
      </x:c>
      <x:c r="Q195" s="17" t="str">
        <x:v>기관 공고 원문 확인</x:v>
      </x:c>
      <x:c r="R195" s="17" t="str">
        <x:v>정상</x:v>
      </x:c>
      <x:c r="S195" s="18" t="str">
        <x:v>https://job.cleaneye.go.kr/user/ypRecruitment.do</x:v>
      </x:c>
      <x:c r="T195" s="1"/>
      <x:c r="U195" s="1"/>
      <x:c r="V195" s="1"/>
      <x:c r="W195" s="1"/>
      <x:c r="X195" s="1"/>
      <x:c r="Y195" s="1"/>
      <x:c r="Z195" s="1"/>
    </x:row>
    <x:row r="196" ht="50" customHeight="1">
      <x:c r="A196" s="17" t="n">
        <x:v>192</x:v>
      </x:c>
      <x:c r="B196" s="17" t="str">
        <x:v>부산문화재단</x:v>
      </x:c>
      <x:c r="C196" s="17" t="str">
        <x:v>부산광역시</x:v>
      </x:c>
      <x:c r="D196" s="17" t="str">
        <x:v>2026년도 하반기 정규직원 채용공고</x:v>
      </x:c>
      <x:c r="E196" s="17" t="str">
        <x:v>신입</x:v>
      </x:c>
      <x:c r="F196" s="17" t="str">
        <x:v>일반정규직</x:v>
      </x:c>
      <x:c r="G196" s="17" t="str">
        <x:v>명시 없음(원문 확인)</x:v>
      </x:c>
      <x:c r="H196" s="17" t="str">
        <x:v>2026-09-03</x:v>
      </x:c>
      <x:c r="I196" s="17" t="str">
        <x:v>2026-09-23</x:v>
      </x:c>
      <x:c r="J196" s="17" t="str">
        <x:v>모집중</x:v>
      </x:c>
      <x:c r="K196" s="17" t="str">
        <x:v>정규직(세부 확인)</x:v>
      </x:c>
      <x:c r="L196" s="17" t="str">
        <x:v>검토</x:v>
      </x:c>
      <x:c r="M196" s="17" t="str">
        <x:v>제한 문구 미탐지</x:v>
      </x:c>
      <x:c r="N196" s="17" t="str">
        <x:v>기관 공고 원문 확인</x:v>
      </x:c>
      <x:c r="O196" s="17" t="str">
        <x:v>기관 공고 원문 확인</x:v>
      </x:c>
      <x:c r="P196" s="17" t="str">
        <x:v>기관 공고 원문 확인</x:v>
      </x:c>
      <x:c r="Q196" s="17" t="str">
        <x:v>기관 공고 원문 확인</x:v>
      </x:c>
      <x:c r="R196" s="17" t="str">
        <x:v>정상</x:v>
      </x:c>
      <x:c r="S196" s="18" t="str">
        <x:v>https://job.cleaneye.go.kr/user/ypRecruitment.do</x:v>
      </x:c>
      <x:c r="T196" s="1"/>
      <x:c r="U196" s="1"/>
      <x:c r="V196" s="1"/>
      <x:c r="W196" s="1"/>
      <x:c r="X196" s="1"/>
      <x:c r="Y196" s="1"/>
      <x:c r="Z196" s="1"/>
    </x:row>
    <x:row r="197" ht="50" customHeight="1">
      <x:c r="A197" s="17" t="n">
        <x:v>193</x:v>
      </x:c>
      <x:c r="B197" s="17" t="str">
        <x:v>전북특별자치도 남원의료원</x:v>
      </x:c>
      <x:c r="C197" s="17" t="str">
        <x:v>전북특별자치도</x:v>
      </x:c>
      <x:c r="D197" s="17" t="str">
        <x:v>전북특별자치도 남원의료원 간호사(2027년 졸업예정자) 채용시험 변경 공고</x:v>
      </x:c>
      <x:c r="E197" s="17" t="str">
        <x:v>신입</x:v>
      </x:c>
      <x:c r="F197" s="17" t="str">
        <x:v>일반정규직</x:v>
      </x:c>
      <x:c r="G197" s="17" t="str">
        <x:v>명시 없음(원문 확인)</x:v>
      </x:c>
      <x:c r="H197" s="17" t="str">
        <x:v>2026-09-03</x:v>
      </x:c>
      <x:c r="I197" s="17" t="str">
        <x:v>2026-09-23</x:v>
      </x:c>
      <x:c r="J197" s="17" t="str">
        <x:v>모집중</x:v>
      </x:c>
      <x:c r="K197" s="17" t="str">
        <x:v>경력·전문직</x:v>
      </x:c>
      <x:c r="L197" s="17" t="str">
        <x:v>경력·전문 우선</x:v>
      </x:c>
      <x:c r="M197" s="17" t="str">
        <x:v>제한 문구 미탐지</x:v>
      </x:c>
      <x:c r="N197" s="17" t="str">
        <x:v>기관 공고 원문 확인</x:v>
      </x:c>
      <x:c r="O197" s="17" t="str">
        <x:v>기관 공고 원문 확인</x:v>
      </x:c>
      <x:c r="P197" s="17" t="str">
        <x:v>기관 공고 원문 확인</x:v>
      </x:c>
      <x:c r="Q197" s="17" t="str">
        <x:v>기관 공고 원문 확인</x:v>
      </x:c>
      <x:c r="R197" s="17" t="str">
        <x:v>정상</x:v>
      </x:c>
      <x:c r="S197" s="18" t="str">
        <x:v>https://job.cleaneye.go.kr/user/ypRecruitment.do</x:v>
      </x:c>
      <x:c r="T197" s="1"/>
      <x:c r="U197" s="1"/>
      <x:c r="V197" s="1"/>
      <x:c r="W197" s="1"/>
      <x:c r="X197" s="1"/>
      <x:c r="Y197" s="1"/>
      <x:c r="Z197" s="1"/>
    </x:row>
    <x:row r="198" ht="50" customHeight="1">
      <x:c r="A198" s="17" t="n">
        <x:v>194</x:v>
      </x:c>
      <x:c r="B198" s="17" t="str">
        <x:v>재단법인 전남인재평생교육진흥원</x:v>
      </x:c>
      <x:c r="C198" s="17" t="str">
        <x:v>전남광주통합특별시</x:v>
      </x:c>
      <x:c r="D198" s="17" t="str">
        <x:v>2026년 제1차 전남인재평생교육진흥원 기간제근로자(출산휴가 및 육아휴직 대체인력) 채용 공고</x:v>
      </x:c>
      <x:c r="E198" s="17" t="str">
        <x:v>신입</x:v>
      </x:c>
      <x:c r="F198" s="17" t="str">
        <x:v>일반계약직</x:v>
      </x:c>
      <x:c r="G198" s="17" t="str">
        <x:v>명시 없음(원문 확인)</x:v>
      </x:c>
      <x:c r="H198" s="17" t="str">
        <x:v>2026-09-03</x:v>
      </x:c>
      <x:c r="I198" s="17" t="str">
        <x:v>2026-09-15</x:v>
      </x:c>
      <x:c r="J198" s="17" t="str">
        <x:v>모집중</x:v>
      </x:c>
      <x:c r="K198" s="17" t="str">
        <x:v>기간제·비정규</x:v>
      </x:c>
      <x:c r="L198" s="17" t="str">
        <x:v>검토</x:v>
      </x:c>
      <x:c r="M198" s="17" t="str">
        <x:v>제한 문구 미탐지</x:v>
      </x:c>
      <x:c r="N198" s="17" t="str">
        <x:v>기관 공고 원문 확인</x:v>
      </x:c>
      <x:c r="O198" s="17" t="str">
        <x:v>기관 공고 원문 확인</x:v>
      </x:c>
      <x:c r="P198" s="17" t="str">
        <x:v>기관 공고 원문 확인</x:v>
      </x:c>
      <x:c r="Q198" s="17" t="str">
        <x:v>기관 공고 원문 확인</x:v>
      </x:c>
      <x:c r="R198" s="17" t="str">
        <x:v>정상</x:v>
      </x:c>
      <x:c r="S198" s="18" t="str">
        <x:v>https://job.cleaneye.go.kr/user/ypRecruitment.do</x:v>
      </x:c>
      <x:c r="T198" s="1"/>
      <x:c r="U198" s="1"/>
      <x:c r="V198" s="1"/>
      <x:c r="W198" s="1"/>
      <x:c r="X198" s="1"/>
      <x:c r="Y198" s="1"/>
      <x:c r="Z198" s="1"/>
    </x:row>
    <x:row r="199" ht="50" customHeight="1">
      <x:c r="A199" s="17" t="n">
        <x:v>195</x:v>
      </x:c>
      <x:c r="B199" s="17" t="str">
        <x:v>재단법인 전남인재평생교육진흥원</x:v>
      </x:c>
      <x:c r="C199" s="17" t="str">
        <x:v>전남광주통합특별시</x:v>
      </x:c>
      <x:c r="D199" s="17" t="str">
        <x:v>전남광주학숙 관장 공개모집 공고</x:v>
      </x:c>
      <x:c r="E199" s="17" t="str">
        <x:v>경력</x:v>
      </x:c>
      <x:c r="F199" s="17" t="str">
        <x:v>전문계약직</x:v>
      </x:c>
      <x:c r="G199" s="17" t="str">
        <x:v>명시 없음(원문 확인)</x:v>
      </x:c>
      <x:c r="H199" s="17" t="str">
        <x:v>2026-09-03</x:v>
      </x:c>
      <x:c r="I199" s="17" t="str">
        <x:v>2026-09-22</x:v>
      </x:c>
      <x:c r="J199" s="17" t="str">
        <x:v>모집중</x:v>
      </x:c>
      <x:c r="K199" s="17" t="str">
        <x:v>기타 채용</x:v>
      </x:c>
      <x:c r="L199" s="17" t="str">
        <x:v>세부조건 확인</x:v>
      </x:c>
      <x:c r="M199" s="17" t="str">
        <x:v>제한 문구 미탐지</x:v>
      </x:c>
      <x:c r="N199" s="17" t="str">
        <x:v>기관 공고 원문 확인</x:v>
      </x:c>
      <x:c r="O199" s="17" t="str">
        <x:v>기관 공고 원문 확인</x:v>
      </x:c>
      <x:c r="P199" s="17" t="str">
        <x:v>기관 공고 원문 확인</x:v>
      </x:c>
      <x:c r="Q199" s="17" t="str">
        <x:v>기관 공고 원문 확인</x:v>
      </x:c>
      <x:c r="R199" s="17" t="str">
        <x:v>정상</x:v>
      </x:c>
      <x:c r="S199" s="18" t="str">
        <x:v>https://job.cleaneye.go.kr/user/ypRecruitment.do</x:v>
      </x:c>
      <x:c r="T199" s="1"/>
      <x:c r="U199" s="1"/>
      <x:c r="V199" s="1"/>
      <x:c r="W199" s="1"/>
      <x:c r="X199" s="1"/>
      <x:c r="Y199" s="1"/>
      <x:c r="Z199" s="1"/>
    </x:row>
    <x:row r="200" ht="50" customHeight="1">
      <x:c r="A200" s="17" t="n">
        <x:v>196</x:v>
      </x:c>
      <x:c r="B200" s="17" t="str">
        <x:v>인천광역시제물포구시설관리공단</x:v>
      </x:c>
      <x:c r="C200" s="17" t="str">
        <x:v>인천광역시</x:v>
      </x:c>
      <x:c r="D200" s="17" t="str">
        <x:v>2026년 제3회 제물포구국민체육센터 체육(수영) 시간강사 채용 공고</x:v>
      </x:c>
      <x:c r="E200" s="17" t="str">
        <x:v>신입</x:v>
      </x:c>
      <x:c r="F200" s="17" t="str">
        <x:v>기간제</x:v>
      </x:c>
      <x:c r="G200" s="17" t="str">
        <x:v>명시 없음(원문 확인)</x:v>
      </x:c>
      <x:c r="H200" s="17" t="str">
        <x:v>2026-09-03</x:v>
      </x:c>
      <x:c r="I200" s="17" t="str">
        <x:v>2026-09-09</x:v>
      </x:c>
      <x:c r="J200" s="17" t="str">
        <x:v>모집중</x:v>
      </x:c>
      <x:c r="K200" s="17" t="str">
        <x:v>기간제·비정규</x:v>
      </x:c>
      <x:c r="L200" s="17" t="str">
        <x:v>검토</x:v>
      </x:c>
      <x:c r="M200" s="17" t="str">
        <x:v>제한 문구 미탐지</x:v>
      </x:c>
      <x:c r="N200" s="17" t="str">
        <x:v>기관 공고 원문 확인</x:v>
      </x:c>
      <x:c r="O200" s="17" t="str">
        <x:v>기관 공고 원문 확인</x:v>
      </x:c>
      <x:c r="P200" s="17" t="str">
        <x:v>기관 공고 원문 확인</x:v>
      </x:c>
      <x:c r="Q200" s="17" t="str">
        <x:v>기관 공고 원문 확인</x:v>
      </x:c>
      <x:c r="R200" s="17" t="str">
        <x:v>정상</x:v>
      </x:c>
      <x:c r="S200" s="18" t="str">
        <x:v>https://job.cleaneye.go.kr/user/ypRecruitment.do</x:v>
      </x:c>
      <x:c r="T200" s="1"/>
      <x:c r="U200" s="1"/>
      <x:c r="V200" s="1"/>
      <x:c r="W200" s="1"/>
      <x:c r="X200" s="1"/>
      <x:c r="Y200" s="1"/>
      <x:c r="Z200" s="1"/>
    </x:row>
    <x:row r="201" ht="50" customHeight="1">
      <x:c r="A201" s="17" t="n">
        <x:v>197</x:v>
      </x:c>
      <x:c r="B201" s="17" t="str">
        <x:v>재단법인 성북복지재단</x:v>
      </x:c>
      <x:c r="C201" s="17" t="str">
        <x:v>서울특별시</x:v>
      </x:c>
      <x:c r="D201" s="17" t="str">
        <x:v>재단법인 성북복지재단 직원 채용 공고(정규직)</x:v>
      </x:c>
      <x:c r="E201" s="17" t="str">
        <x:v>경력</x:v>
      </x:c>
      <x:c r="F201" s="17" t="str">
        <x:v>일반정규직</x:v>
      </x:c>
      <x:c r="G201" s="17" t="str">
        <x:v>명시 없음(원문 확인)</x:v>
      </x:c>
      <x:c r="H201" s="17" t="str">
        <x:v>2026-09-03</x:v>
      </x:c>
      <x:c r="I201" s="17" t="str">
        <x:v>2026-09-13</x:v>
      </x:c>
      <x:c r="J201" s="17" t="str">
        <x:v>모집중</x:v>
      </x:c>
      <x:c r="K201" s="17" t="str">
        <x:v>정규직(세부 확인)</x:v>
      </x:c>
      <x:c r="L201" s="17" t="str">
        <x:v>세부조건 확인</x:v>
      </x:c>
      <x:c r="M201" s="17" t="str">
        <x:v>제한 문구 미탐지</x:v>
      </x:c>
      <x:c r="N201" s="17" t="str">
        <x:v>기관 공고 원문 확인</x:v>
      </x:c>
      <x:c r="O201" s="17" t="str">
        <x:v>기관 공고 원문 확인</x:v>
      </x:c>
      <x:c r="P201" s="17" t="str">
        <x:v>기관 공고 원문 확인</x:v>
      </x:c>
      <x:c r="Q201" s="17" t="str">
        <x:v>기관 공고 원문 확인</x:v>
      </x:c>
      <x:c r="R201" s="17" t="str">
        <x:v>정상</x:v>
      </x:c>
      <x:c r="S201" s="18" t="str">
        <x:v>https://job.cleaneye.go.kr/user/ypRecruitment.do</x:v>
      </x:c>
      <x:c r="T201" s="1"/>
      <x:c r="U201" s="1"/>
      <x:c r="V201" s="1"/>
      <x:c r="W201" s="1"/>
      <x:c r="X201" s="1"/>
      <x:c r="Y201" s="1"/>
      <x:c r="Z201" s="1"/>
    </x:row>
    <x:row r="202" ht="50" customHeight="1">
      <x:c r="A202" s="17" t="n">
        <x:v>198</x:v>
      </x:c>
      <x:c r="B202" s="17" t="str">
        <x:v>구미전자정보기술원</x:v>
      </x:c>
      <x:c r="C202" s="17" t="str">
        <x:v>경상북도</x:v>
      </x:c>
      <x:c r="D202" s="17" t="str">
        <x:v>구미전자정보기술원 3차 계약직 직원채용공고(2026-248호)</x:v>
      </x:c>
      <x:c r="E202" s="17" t="str">
        <x:v>신입+경력</x:v>
      </x:c>
      <x:c r="F202" s="17" t="str">
        <x:v>기간제</x:v>
      </x:c>
      <x:c r="G202" s="17" t="str">
        <x:v>명시 없음(원문 확인)</x:v>
      </x:c>
      <x:c r="H202" s="17" t="str">
        <x:v>2026-09-03</x:v>
      </x:c>
      <x:c r="I202" s="17" t="str">
        <x:v>2026-09-14</x:v>
      </x:c>
      <x:c r="J202" s="17" t="str">
        <x:v>모집중</x:v>
      </x:c>
      <x:c r="K202" s="17" t="str">
        <x:v>기간제·비정규</x:v>
      </x:c>
      <x:c r="L202" s="17" t="str">
        <x:v>검토</x:v>
      </x:c>
      <x:c r="M202" s="17" t="str">
        <x:v>제한 문구 미탐지</x:v>
      </x:c>
      <x:c r="N202" s="17" t="str">
        <x:v>기관 공고 원문 확인</x:v>
      </x:c>
      <x:c r="O202" s="17" t="str">
        <x:v>기관 공고 원문 확인</x:v>
      </x:c>
      <x:c r="P202" s="17" t="str">
        <x:v>기관 공고 원문 확인</x:v>
      </x:c>
      <x:c r="Q202" s="17" t="str">
        <x:v>기관 공고 원문 확인</x:v>
      </x:c>
      <x:c r="R202" s="17" t="str">
        <x:v>정상</x:v>
      </x:c>
      <x:c r="S202" s="18" t="str">
        <x:v>https://job.cleaneye.go.kr/user/ypRecruitment.do</x:v>
      </x:c>
      <x:c r="T202" s="1"/>
      <x:c r="U202" s="1"/>
      <x:c r="V202" s="1"/>
      <x:c r="W202" s="1"/>
      <x:c r="X202" s="1"/>
      <x:c r="Y202" s="1"/>
      <x:c r="Z202" s="1"/>
    </x:row>
    <x:row r="203" ht="50" customHeight="1">
      <x:c r="A203" s="17" t="n">
        <x:v>199</x:v>
      </x:c>
      <x:c r="B203" s="17" t="str">
        <x:v>구미전자정보기술원</x:v>
      </x:c>
      <x:c r="C203" s="17" t="str">
        <x:v>경상북도</x:v>
      </x:c>
      <x:c r="D203" s="17" t="str">
        <x:v>구미전자정보기술원 장애인 계약직 직원채용공고(2026-249호)</x:v>
      </x:c>
      <x:c r="E203" s="17" t="str">
        <x:v>신입+경력</x:v>
      </x:c>
      <x:c r="F203" s="17" t="str">
        <x:v>기간제</x:v>
      </x:c>
      <x:c r="G203" s="17" t="str">
        <x:v>명시 없음(원문 확인)</x:v>
      </x:c>
      <x:c r="H203" s="17" t="str">
        <x:v>2026-09-03</x:v>
      </x:c>
      <x:c r="I203" s="17" t="str">
        <x:v>2026-09-14</x:v>
      </x:c>
      <x:c r="J203" s="17" t="str">
        <x:v>모집중</x:v>
      </x:c>
      <x:c r="K203" s="17" t="str">
        <x:v>기간제·비정규</x:v>
      </x:c>
      <x:c r="L203" s="17" t="str">
        <x:v>검토</x:v>
      </x:c>
      <x:c r="M203" s="17" t="str">
        <x:v>제한 문구 미탐지</x:v>
      </x:c>
      <x:c r="N203" s="17" t="str">
        <x:v>기관 공고 원문 확인</x:v>
      </x:c>
      <x:c r="O203" s="17" t="str">
        <x:v>기관 공고 원문 확인</x:v>
      </x:c>
      <x:c r="P203" s="17" t="str">
        <x:v>기관 공고 원문 확인</x:v>
      </x:c>
      <x:c r="Q203" s="17" t="str">
        <x:v>기관 공고 원문 확인</x:v>
      </x:c>
      <x:c r="R203" s="17" t="str">
        <x:v>정상</x:v>
      </x:c>
      <x:c r="S203" s="18" t="str">
        <x:v>https://job.cleaneye.go.kr/user/ypRecruitment.do</x:v>
      </x:c>
      <x:c r="T203" s="1"/>
      <x:c r="U203" s="1"/>
      <x:c r="V203" s="1"/>
      <x:c r="W203" s="1"/>
      <x:c r="X203" s="1"/>
      <x:c r="Y203" s="1"/>
      <x:c r="Z203" s="1"/>
    </x:row>
    <x:row r="204" ht="50" customHeight="1">
      <x:c r="A204" s="17" t="n">
        <x:v>200</x:v>
      </x:c>
      <x:c r="B204" s="17" t="str">
        <x:v>구미도시공사</x:v>
      </x:c>
      <x:c r="C204" s="17" t="str">
        <x:v>경상북도</x:v>
      </x:c>
      <x:c r="D204" s="17" t="str">
        <x:v>구미도시공사 임원(상임이사·비상임이사) 공개모집 공고</x:v>
      </x:c>
      <x:c r="E204" s="17" t="str">
        <x:v>신입+경력</x:v>
      </x:c>
      <x:c r="F204" s="17" t="str">
        <x:v>일반계약직</x:v>
      </x:c>
      <x:c r="G204" s="17" t="str">
        <x:v>명시 없음(원문 확인)</x:v>
      </x:c>
      <x:c r="H204" s="17" t="str">
        <x:v>2026-09-03</x:v>
      </x:c>
      <x:c r="I204" s="17" t="str">
        <x:v>2026-09-18</x:v>
      </x:c>
      <x:c r="J204" s="17" t="str">
        <x:v>모집중</x:v>
      </x:c>
      <x:c r="K204" s="17" t="str">
        <x:v>경력·전문직</x:v>
      </x:c>
      <x:c r="L204" s="17" t="str">
        <x:v>경력·전문 우선</x:v>
      </x:c>
      <x:c r="M204" s="17" t="str">
        <x:v>제한 문구 미탐지</x:v>
      </x:c>
      <x:c r="N204" s="17" t="str">
        <x:v>기관 공고 원문 확인</x:v>
      </x:c>
      <x:c r="O204" s="17" t="str">
        <x:v>기관 공고 원문 확인</x:v>
      </x:c>
      <x:c r="P204" s="17" t="str">
        <x:v>기관 공고 원문 확인</x:v>
      </x:c>
      <x:c r="Q204" s="17" t="str">
        <x:v>기관 공고 원문 확인</x:v>
      </x:c>
      <x:c r="R204" s="17" t="str">
        <x:v>정상</x:v>
      </x:c>
      <x:c r="S204" s="18" t="str">
        <x:v>https://job.cleaneye.go.kr/user/ypRecruitment.do</x:v>
      </x:c>
      <x:c r="T204" s="1"/>
      <x:c r="U204" s="1"/>
      <x:c r="V204" s="1"/>
      <x:c r="W204" s="1"/>
      <x:c r="X204" s="1"/>
      <x:c r="Y204" s="1"/>
      <x:c r="Z204" s="1"/>
    </x:row>
    <x:row r="205" ht="50" customHeight="1">
      <x:c r="A205" s="17" t="n">
        <x:v>201</x:v>
      </x:c>
      <x:c r="B205" s="17" t="str">
        <x:v>성동문화재단</x:v>
      </x:c>
      <x:c r="C205" s="17" t="str">
        <x:v>서울특별시</x:v>
      </x:c>
      <x:c r="D205" s="17" t="str">
        <x:v>성동12호점 우리동네키움센터 서울숲아이꿈누리터 기간제 근로자(육아휴직 대체) 채용 공고</x:v>
      </x:c>
      <x:c r="E205" s="17" t="str">
        <x:v>신입+경력</x:v>
      </x:c>
      <x:c r="F205" s="17" t="str">
        <x:v>기간제</x:v>
      </x:c>
      <x:c r="G205" s="17" t="str">
        <x:v>명시 없음(원문 확인)</x:v>
      </x:c>
      <x:c r="H205" s="17" t="str">
        <x:v>2026-09-03</x:v>
      </x:c>
      <x:c r="I205" s="17" t="str">
        <x:v>2026-09-17</x:v>
      </x:c>
      <x:c r="J205" s="17" t="str">
        <x:v>모집중</x:v>
      </x:c>
      <x:c r="K205" s="17" t="str">
        <x:v>기간제·비정규</x:v>
      </x:c>
      <x:c r="L205" s="17" t="str">
        <x:v>검토</x:v>
      </x:c>
      <x:c r="M205" s="17" t="str">
        <x:v>제한 문구 미탐지</x:v>
      </x:c>
      <x:c r="N205" s="17" t="str">
        <x:v>기관 공고 원문 확인</x:v>
      </x:c>
      <x:c r="O205" s="17" t="str">
        <x:v>기관 공고 원문 확인</x:v>
      </x:c>
      <x:c r="P205" s="17" t="str">
        <x:v>기관 공고 원문 확인</x:v>
      </x:c>
      <x:c r="Q205" s="17" t="str">
        <x:v>기관 공고 원문 확인</x:v>
      </x:c>
      <x:c r="R205" s="17" t="str">
        <x:v>정상</x:v>
      </x:c>
      <x:c r="S205" s="18" t="str">
        <x:v>https://job.cleaneye.go.kr/user/ypRecruitment.do</x:v>
      </x:c>
      <x:c r="T205" s="1"/>
      <x:c r="U205" s="1"/>
      <x:c r="V205" s="1"/>
      <x:c r="W205" s="1"/>
      <x:c r="X205" s="1"/>
      <x:c r="Y205" s="1"/>
      <x:c r="Z205" s="1"/>
    </x:row>
    <x:row r="206" ht="50" customHeight="1">
      <x:c r="A206" s="17" t="n">
        <x:v>202</x:v>
      </x:c>
      <x:c r="B206" s="17" t="str">
        <x:v>양산시인재육성장학재단</x:v>
      </x:c>
      <x:c r="C206" s="17" t="str">
        <x:v>경상남도</x:v>
      </x:c>
      <x:c r="D206" s="17" t="str">
        <x:v>(재)양산시인재육성장학재단 기간제근로자 채용 공고</x:v>
      </x:c>
      <x:c r="E206" s="17" t="str">
        <x:v>신입+경력</x:v>
      </x:c>
      <x:c r="F206" s="17" t="str">
        <x:v>기간제</x:v>
      </x:c>
      <x:c r="G206" s="17" t="str">
        <x:v>명시 없음(원문 확인)</x:v>
      </x:c>
      <x:c r="H206" s="17" t="str">
        <x:v>2026-09-03</x:v>
      </x:c>
      <x:c r="I206" s="17" t="str">
        <x:v>2026-09-11</x:v>
      </x:c>
      <x:c r="J206" s="17" t="str">
        <x:v>모집중</x:v>
      </x:c>
      <x:c r="K206" s="17" t="str">
        <x:v>기간제·비정규</x:v>
      </x:c>
      <x:c r="L206" s="17" t="str">
        <x:v>검토</x:v>
      </x:c>
      <x:c r="M206" s="17" t="str">
        <x:v>제한 문구 미탐지</x:v>
      </x:c>
      <x:c r="N206" s="17" t="str">
        <x:v>기관 공고 원문 확인</x:v>
      </x:c>
      <x:c r="O206" s="17" t="str">
        <x:v>기관 공고 원문 확인</x:v>
      </x:c>
      <x:c r="P206" s="17" t="str">
        <x:v>기관 공고 원문 확인</x:v>
      </x:c>
      <x:c r="Q206" s="17" t="str">
        <x:v>기관 공고 원문 확인</x:v>
      </x:c>
      <x:c r="R206" s="17" t="str">
        <x:v>정상</x:v>
      </x:c>
      <x:c r="S206" s="18" t="str">
        <x:v>https://job.cleaneye.go.kr/user/ypRecruitment.do</x:v>
      </x:c>
      <x:c r="T206" s="1"/>
      <x:c r="U206" s="1"/>
      <x:c r="V206" s="1"/>
      <x:c r="W206" s="1"/>
      <x:c r="X206" s="1"/>
      <x:c r="Y206" s="1"/>
      <x:c r="Z206" s="1"/>
    </x:row>
    <x:row r="207" ht="50" customHeight="1">
      <x:c r="A207" s="17" t="n">
        <x:v>203</x:v>
      </x:c>
      <x:c r="B207" s="17" t="str">
        <x:v>서울특별시농수산식품공사</x:v>
      </x:c>
      <x:c r="C207" s="17" t="str">
        <x:v>서울특별시</x:v>
      </x:c>
      <x:c r="D207" s="17" t="str">
        <x:v>2026년도 하반기 서울특별시농수산식품공사 체험형 청년인턴 채용 공고</x:v>
      </x:c>
      <x:c r="E207" s="17" t="str">
        <x:v>신입</x:v>
      </x:c>
      <x:c r="F207" s="17" t="str">
        <x:v>인턴</x:v>
      </x:c>
      <x:c r="G207" s="17" t="str">
        <x:v>명시 없음(원문 확인)</x:v>
      </x:c>
      <x:c r="H207" s="17" t="str">
        <x:v>2026-09-03</x:v>
      </x:c>
      <x:c r="I207" s="17" t="str">
        <x:v>2026-09-14</x:v>
      </x:c>
      <x:c r="J207" s="17" t="str">
        <x:v>모집중</x:v>
      </x:c>
      <x:c r="K207" s="17" t="str">
        <x:v>체험형·청년인턴</x:v>
      </x:c>
      <x:c r="L207" s="17" t="str">
        <x:v>우선검토</x:v>
      </x:c>
      <x:c r="M207" s="17" t="str">
        <x:v>제한 문구 미탐지</x:v>
      </x:c>
      <x:c r="N207" s="17" t="str">
        <x:v>기관 공고 원문 확인</x:v>
      </x:c>
      <x:c r="O207" s="17" t="str">
        <x:v>기관 공고 원문 확인</x:v>
      </x:c>
      <x:c r="P207" s="17" t="str">
        <x:v>기관 공고 원문 확인</x:v>
      </x:c>
      <x:c r="Q207" s="17" t="str">
        <x:v>기관 공고 원문 확인</x:v>
      </x:c>
      <x:c r="R207" s="17" t="str">
        <x:v>정상</x:v>
      </x:c>
      <x:c r="S207" s="18" t="str">
        <x:v>https://job.cleaneye.go.kr/user/ypRecruitment.do</x:v>
      </x:c>
      <x:c r="T207" s="1"/>
      <x:c r="U207" s="1"/>
      <x:c r="V207" s="1"/>
      <x:c r="W207" s="1"/>
      <x:c r="X207" s="1"/>
      <x:c r="Y207" s="1"/>
      <x:c r="Z207" s="1"/>
    </x:row>
    <x:row r="208" ht="50" customHeight="1">
      <x:c r="A208" s="17" t="n">
        <x:v>204</x:v>
      </x:c>
      <x:c r="B208" s="17" t="str">
        <x:v>제주특별자치도개발공사</x:v>
      </x:c>
      <x:c r="C208" s="17" t="str">
        <x:v>제주특별자치도</x:v>
      </x:c>
      <x:c r="D208" s="17" t="str">
        <x:v>제주특별자치도개발공사 비상임이사 공개모집 공고</x:v>
      </x:c>
      <x:c r="E208" s="17" t="str">
        <x:v>경력</x:v>
      </x:c>
      <x:c r="F208" s="17" t="str">
        <x:v>비상임</x:v>
      </x:c>
      <x:c r="G208" s="17" t="str">
        <x:v>명시 없음(원문 확인)</x:v>
      </x:c>
      <x:c r="H208" s="17" t="str">
        <x:v>2026-09-03</x:v>
      </x:c>
      <x:c r="I208" s="17" t="str">
        <x:v>2026-09-18</x:v>
      </x:c>
      <x:c r="J208" s="17" t="str">
        <x:v>모집중</x:v>
      </x:c>
      <x:c r="K208" s="17" t="str">
        <x:v>기타 채용</x:v>
      </x:c>
      <x:c r="L208" s="17" t="str">
        <x:v>세부조건 확인</x:v>
      </x:c>
      <x:c r="M208" s="17" t="str">
        <x:v>제한 문구 미탐지</x:v>
      </x:c>
      <x:c r="N208" s="17" t="str">
        <x:v>기관 공고 원문 확인</x:v>
      </x:c>
      <x:c r="O208" s="17" t="str">
        <x:v>기관 공고 원문 확인</x:v>
      </x:c>
      <x:c r="P208" s="17" t="str">
        <x:v>기관 공고 원문 확인</x:v>
      </x:c>
      <x:c r="Q208" s="17" t="str">
        <x:v>기관 공고 원문 확인</x:v>
      </x:c>
      <x:c r="R208" s="17" t="str">
        <x:v>정상</x:v>
      </x:c>
      <x:c r="S208" s="18" t="str">
        <x:v>https://job.cleaneye.go.kr/user/ypRecruitment.do</x:v>
      </x:c>
      <x:c r="T208" s="1"/>
      <x:c r="U208" s="1"/>
      <x:c r="V208" s="1"/>
      <x:c r="W208" s="1"/>
      <x:c r="X208" s="1"/>
      <x:c r="Y208" s="1"/>
      <x:c r="Z208" s="1"/>
    </x:row>
    <x:row r="209" ht="50" customHeight="1">
      <x:c r="A209" s="17" t="n">
        <x:v>205</x:v>
      </x:c>
      <x:c r="B209" s="17" t="str">
        <x:v>아산문화재단</x:v>
      </x:c>
      <x:c r="C209" s="17" t="str">
        <x:v>충청남도</x:v>
      </x:c>
      <x:c r="D209" s="17" t="str">
        <x:v>2026년 제8회 (재)아산문화재단 계약직 직원 경력경쟁 채용 공고</x:v>
      </x:c>
      <x:c r="E209" s="17" t="str">
        <x:v>경력</x:v>
      </x:c>
      <x:c r="F209" s="17" t="str">
        <x:v>일반계약직</x:v>
      </x:c>
      <x:c r="G209" s="17" t="str">
        <x:v>명시 없음(원문 확인)</x:v>
      </x:c>
      <x:c r="H209" s="17" t="str">
        <x:v>2026-09-03</x:v>
      </x:c>
      <x:c r="I209" s="17" t="str">
        <x:v>2026-09-11</x:v>
      </x:c>
      <x:c r="J209" s="17" t="str">
        <x:v>모집중</x:v>
      </x:c>
      <x:c r="K209" s="17" t="str">
        <x:v>제한경쟁·조건부</x:v>
      </x:c>
      <x:c r="L209" s="17" t="str">
        <x:v>조건 충족자만</x:v>
      </x:c>
      <x:c r="M209" s="17" t="str">
        <x:v>제한경쟁</x:v>
      </x:c>
      <x:c r="N209" s="17" t="str">
        <x:v>기관 공고 원문 확인</x:v>
      </x:c>
      <x:c r="O209" s="17" t="str">
        <x:v>기관 공고 원문 확인</x:v>
      </x:c>
      <x:c r="P209" s="17" t="str">
        <x:v>기관 공고 원문 확인</x:v>
      </x:c>
      <x:c r="Q209" s="17" t="str">
        <x:v>기관 공고 원문 확인</x:v>
      </x:c>
      <x:c r="R209" s="17" t="str">
        <x:v>정상</x:v>
      </x:c>
      <x:c r="S209" s="18" t="str">
        <x:v>https://job.cleaneye.go.kr/user/ypRecruitment.do</x:v>
      </x:c>
      <x:c r="T209" s="1"/>
      <x:c r="U209" s="1"/>
      <x:c r="V209" s="1"/>
      <x:c r="W209" s="1"/>
      <x:c r="X209" s="1"/>
      <x:c r="Y209" s="1"/>
      <x:c r="Z209" s="1"/>
    </x:row>
    <x:row r="210" ht="50" customHeight="1">
      <x:c r="A210" s="17" t="n">
        <x:v>206</x:v>
      </x:c>
      <x:c r="B210" s="17" t="str">
        <x:v>강원특별자치도영월의료원</x:v>
      </x:c>
      <x:c r="C210" s="17" t="str">
        <x:v>강원특별자치도</x:v>
      </x:c>
      <x:c r="D210" s="17" t="str">
        <x:v>장례식장 조리원 공개경쟁 채용 재공고(계약직)</x:v>
      </x:c>
      <x:c r="E210" s="17" t="str">
        <x:v>신입+경력</x:v>
      </x:c>
      <x:c r="F210" s="17" t="str">
        <x:v>기간제</x:v>
      </x:c>
      <x:c r="G210" s="17" t="str">
        <x:v>명시 없음(원문 확인)</x:v>
      </x:c>
      <x:c r="H210" s="17" t="str">
        <x:v>2026-09-02</x:v>
      </x:c>
      <x:c r="I210" s="17" t="str">
        <x:v>2026-09-14</x:v>
      </x:c>
      <x:c r="J210" s="17" t="str">
        <x:v>모집중</x:v>
      </x:c>
      <x:c r="K210" s="17" t="str">
        <x:v>기간제·비정규</x:v>
      </x:c>
      <x:c r="L210" s="17" t="str">
        <x:v>검토</x:v>
      </x:c>
      <x:c r="M210" s="17" t="str">
        <x:v>제한 문구 미탐지</x:v>
      </x:c>
      <x:c r="N210" s="17" t="str">
        <x:v>기관 공고 원문 확인</x:v>
      </x:c>
      <x:c r="O210" s="17" t="str">
        <x:v>기관 공고 원문 확인</x:v>
      </x:c>
      <x:c r="P210" s="17" t="str">
        <x:v>기관 공고 원문 확인</x:v>
      </x:c>
      <x:c r="Q210" s="17" t="str">
        <x:v>기관 공고 원문 확인</x:v>
      </x:c>
      <x:c r="R210" s="17" t="str">
        <x:v>정상</x:v>
      </x:c>
      <x:c r="S210" s="18" t="str">
        <x:v>https://job.cleaneye.go.kr/user/ypRecruitment.do</x:v>
      </x:c>
      <x:c r="T210" s="1"/>
      <x:c r="U210" s="1"/>
      <x:c r="V210" s="1"/>
      <x:c r="W210" s="1"/>
      <x:c r="X210" s="1"/>
      <x:c r="Y210" s="1"/>
      <x:c r="Z210" s="1"/>
    </x:row>
    <x:row r="211" ht="50" customHeight="1">
      <x:c r="A211" s="17" t="n">
        <x:v>207</x:v>
      </x:c>
      <x:c r="B211" s="17" t="str">
        <x:v>서귀포의료원</x:v>
      </x:c>
      <x:c r="C211" s="17" t="str">
        <x:v>제주특별자치도</x:v>
      </x:c>
      <x:c r="D211" s="17" t="str">
        <x:v>직원 모집 공고-간호직(간호사)</x:v>
      </x:c>
      <x:c r="E211" s="17" t="str">
        <x:v>신입+경력</x:v>
      </x:c>
      <x:c r="F211" s="17" t="str">
        <x:v>일반정규직</x:v>
      </x:c>
      <x:c r="G211" s="17" t="str">
        <x:v>명시 없음(원문 확인)</x:v>
      </x:c>
      <x:c r="H211" s="17" t="str">
        <x:v>2026-09-02</x:v>
      </x:c>
      <x:c r="I211" s="17" t="str">
        <x:v>2026-09-10</x:v>
      </x:c>
      <x:c r="J211" s="17" t="str">
        <x:v>모집중</x:v>
      </x:c>
      <x:c r="K211" s="17" t="str">
        <x:v>경력·전문직</x:v>
      </x:c>
      <x:c r="L211" s="17" t="str">
        <x:v>경력·전문 우선</x:v>
      </x:c>
      <x:c r="M211" s="17" t="str">
        <x:v>제한 문구 미탐지</x:v>
      </x:c>
      <x:c r="N211" s="17" t="str">
        <x:v>기관 공고 원문 확인</x:v>
      </x:c>
      <x:c r="O211" s="17" t="str">
        <x:v>기관 공고 원문 확인</x:v>
      </x:c>
      <x:c r="P211" s="17" t="str">
        <x:v>기관 공고 원문 확인</x:v>
      </x:c>
      <x:c r="Q211" s="17" t="str">
        <x:v>기관 공고 원문 확인</x:v>
      </x:c>
      <x:c r="R211" s="17" t="str">
        <x:v>정상</x:v>
      </x:c>
      <x:c r="S211" s="18" t="str">
        <x:v>https://job.cleaneye.go.kr/user/ypRecruitment.do</x:v>
      </x:c>
      <x:c r="T211" s="1"/>
      <x:c r="U211" s="1"/>
      <x:c r="V211" s="1"/>
      <x:c r="W211" s="1"/>
      <x:c r="X211" s="1"/>
      <x:c r="Y211" s="1"/>
      <x:c r="Z211" s="1"/>
    </x:row>
    <x:row r="212" ht="50" customHeight="1">
      <x:c r="A212" s="17" t="n">
        <x:v>208</x:v>
      </x:c>
      <x:c r="B212" s="17" t="str">
        <x:v>성남시의료원</x:v>
      </x:c>
      <x:c r="C212" s="17" t="str">
        <x:v>경기도</x:v>
      </x:c>
      <x:c r="D212" s="17" t="str">
        <x:v>2026년 제11회 성남시의료원 직원채용 모집 공고</x:v>
      </x:c>
      <x:c r="E212" s="17" t="str">
        <x:v>신입+경력</x:v>
      </x:c>
      <x:c r="F212" s="17" t="str">
        <x:v>일반계약직</x:v>
      </x:c>
      <x:c r="G212" s="17" t="str">
        <x:v>명시 없음(원문 확인)</x:v>
      </x:c>
      <x:c r="H212" s="17" t="str">
        <x:v>2026-09-02</x:v>
      </x:c>
      <x:c r="I212" s="17" t="str">
        <x:v>2026-09-13</x:v>
      </x:c>
      <x:c r="J212" s="17" t="str">
        <x:v>모집중</x:v>
      </x:c>
      <x:c r="K212" s="17" t="str">
        <x:v>기타 채용</x:v>
      </x:c>
      <x:c r="L212" s="17" t="str">
        <x:v>검토</x:v>
      </x:c>
      <x:c r="M212" s="17" t="str">
        <x:v>제한 문구 미탐지</x:v>
      </x:c>
      <x:c r="N212" s="17" t="str">
        <x:v>기관 공고 원문 확인</x:v>
      </x:c>
      <x:c r="O212" s="17" t="str">
        <x:v>기관 공고 원문 확인</x:v>
      </x:c>
      <x:c r="P212" s="17" t="str">
        <x:v>기관 공고 원문 확인</x:v>
      </x:c>
      <x:c r="Q212" s="17" t="str">
        <x:v>기관 공고 원문 확인</x:v>
      </x:c>
      <x:c r="R212" s="17" t="str">
        <x:v>정상</x:v>
      </x:c>
      <x:c r="S212" s="18" t="str">
        <x:v>https://job.cleaneye.go.kr/user/ypRecruitment.do</x:v>
      </x:c>
      <x:c r="T212" s="1"/>
      <x:c r="U212" s="1"/>
      <x:c r="V212" s="1"/>
      <x:c r="W212" s="1"/>
      <x:c r="X212" s="1"/>
      <x:c r="Y212" s="1"/>
      <x:c r="Z212" s="1"/>
    </x:row>
    <x:row r="213" ht="50" customHeight="1">
      <x:c r="A213" s="17" t="n">
        <x:v>209</x:v>
      </x:c>
      <x:c r="B213" s="17" t="str">
        <x:v>강원특별자치도영월의료원</x:v>
      </x:c>
      <x:c r="C213" s="17" t="str">
        <x:v>강원특별자치도</x:v>
      </x:c>
      <x:c r="D213" s="17" t="str">
        <x:v>업무지원인력 공개경쟁 채용 재공고(계약직_약제과)</x:v>
      </x:c>
      <x:c r="E213" s="17" t="str">
        <x:v>신입+경력</x:v>
      </x:c>
      <x:c r="F213" s="17" t="str">
        <x:v>기간제</x:v>
      </x:c>
      <x:c r="G213" s="17" t="str">
        <x:v>명시 없음(원문 확인)</x:v>
      </x:c>
      <x:c r="H213" s="17" t="str">
        <x:v>2026-09-02</x:v>
      </x:c>
      <x:c r="I213" s="17" t="str">
        <x:v>2026-09-14</x:v>
      </x:c>
      <x:c r="J213" s="17" t="str">
        <x:v>모집중</x:v>
      </x:c>
      <x:c r="K213" s="17" t="str">
        <x:v>기간제·비정규</x:v>
      </x:c>
      <x:c r="L213" s="17" t="str">
        <x:v>검토</x:v>
      </x:c>
      <x:c r="M213" s="17" t="str">
        <x:v>제한 문구 미탐지</x:v>
      </x:c>
      <x:c r="N213" s="17" t="str">
        <x:v>기관 공고 원문 확인</x:v>
      </x:c>
      <x:c r="O213" s="17" t="str">
        <x:v>기관 공고 원문 확인</x:v>
      </x:c>
      <x:c r="P213" s="17" t="str">
        <x:v>기관 공고 원문 확인</x:v>
      </x:c>
      <x:c r="Q213" s="17" t="str">
        <x:v>기관 공고 원문 확인</x:v>
      </x:c>
      <x:c r="R213" s="17" t="str">
        <x:v>정상</x:v>
      </x:c>
      <x:c r="S213" s="18" t="str">
        <x:v>https://job.cleaneye.go.kr/user/ypRecruitment.do</x:v>
      </x:c>
      <x:c r="T213" s="1"/>
      <x:c r="U213" s="1"/>
      <x:c r="V213" s="1"/>
      <x:c r="W213" s="1"/>
      <x:c r="X213" s="1"/>
      <x:c r="Y213" s="1"/>
      <x:c r="Z213" s="1"/>
    </x:row>
    <x:row r="214" ht="50" customHeight="1">
      <x:c r="A214" s="17" t="n">
        <x:v>210</x:v>
      </x:c>
      <x:c r="B214" s="17" t="str">
        <x:v>강원특별자치도영월의료원</x:v>
      </x:c>
      <x:c r="C214" s="17" t="str">
        <x:v>강원특별자치도</x:v>
      </x:c>
      <x:c r="D214" s="17" t="str">
        <x:v>간호조무사 공개경쟁 채용 재공고(기능직)</x:v>
      </x:c>
      <x:c r="E214" s="17" t="str">
        <x:v>신입+경력</x:v>
      </x:c>
      <x:c r="F214" s="17" t="str">
        <x:v>일반정규직</x:v>
      </x:c>
      <x:c r="G214" s="17" t="str">
        <x:v>명시 없음(원문 확인)</x:v>
      </x:c>
      <x:c r="H214" s="17" t="str">
        <x:v>2026-09-02</x:v>
      </x:c>
      <x:c r="I214" s="17" t="str">
        <x:v>2026-09-14</x:v>
      </x:c>
      <x:c r="J214" s="17" t="str">
        <x:v>모집중</x:v>
      </x:c>
      <x:c r="K214" s="17" t="str">
        <x:v>정규직(세부 확인)</x:v>
      </x:c>
      <x:c r="L214" s="17" t="str">
        <x:v>검토</x:v>
      </x:c>
      <x:c r="M214" s="17" t="str">
        <x:v>제한 문구 미탐지</x:v>
      </x:c>
      <x:c r="N214" s="17" t="str">
        <x:v>기관 공고 원문 확인</x:v>
      </x:c>
      <x:c r="O214" s="17" t="str">
        <x:v>기관 공고 원문 확인</x:v>
      </x:c>
      <x:c r="P214" s="17" t="str">
        <x:v>기관 공고 원문 확인</x:v>
      </x:c>
      <x:c r="Q214" s="17" t="str">
        <x:v>기관 공고 원문 확인</x:v>
      </x:c>
      <x:c r="R214" s="17" t="str">
        <x:v>정상</x:v>
      </x:c>
      <x:c r="S214" s="18" t="str">
        <x:v>https://job.cleaneye.go.kr/user/ypRecruitment.do</x:v>
      </x:c>
      <x:c r="T214" s="1"/>
      <x:c r="U214" s="1"/>
      <x:c r="V214" s="1"/>
      <x:c r="W214" s="1"/>
      <x:c r="X214" s="1"/>
      <x:c r="Y214" s="1"/>
      <x:c r="Z214" s="1"/>
    </x:row>
    <x:row r="215" ht="50" customHeight="1">
      <x:c r="A215" s="17" t="n">
        <x:v>211</x:v>
      </x:c>
      <x:c r="B215" s="17" t="str">
        <x:v>재단법인 울산광역시 복지가족진흥사회서비스원</x:v>
      </x:c>
      <x:c r="C215" s="17" t="str">
        <x:v>울산광역시</x:v>
      </x:c>
      <x:c r="D215" s="17" t="str">
        <x:v>울산광역시 복지가족진흥사회서비스원 선임직 이사 공개모집 공고</x:v>
      </x:c>
      <x:c r="E215" s="17" t="str">
        <x:v>경력</x:v>
      </x:c>
      <x:c r="F215" s="17" t="str">
        <x:v>비상임</x:v>
      </x:c>
      <x:c r="G215" s="17" t="str">
        <x:v>명시 없음(원문 확인)</x:v>
      </x:c>
      <x:c r="H215" s="17" t="str">
        <x:v>2026-09-02</x:v>
      </x:c>
      <x:c r="I215" s="17" t="str">
        <x:v>2026-09-15</x:v>
      </x:c>
      <x:c r="J215" s="17" t="str">
        <x:v>모집중</x:v>
      </x:c>
      <x:c r="K215" s="17" t="str">
        <x:v>기타 채용</x:v>
      </x:c>
      <x:c r="L215" s="17" t="str">
        <x:v>세부조건 확인</x:v>
      </x:c>
      <x:c r="M215" s="17" t="str">
        <x:v>제한 문구 미탐지</x:v>
      </x:c>
      <x:c r="N215" s="17" t="str">
        <x:v>기관 공고 원문 확인</x:v>
      </x:c>
      <x:c r="O215" s="17" t="str">
        <x:v>기관 공고 원문 확인</x:v>
      </x:c>
      <x:c r="P215" s="17" t="str">
        <x:v>기관 공고 원문 확인</x:v>
      </x:c>
      <x:c r="Q215" s="17" t="str">
        <x:v>기관 공고 원문 확인</x:v>
      </x:c>
      <x:c r="R215" s="17" t="str">
        <x:v>정상</x:v>
      </x:c>
      <x:c r="S215" s="18" t="str">
        <x:v>https://job.cleaneye.go.kr/user/ypRecruitment.do</x:v>
      </x:c>
      <x:c r="T215" s="1"/>
      <x:c r="U215" s="1"/>
      <x:c r="V215" s="1"/>
      <x:c r="W215" s="1"/>
      <x:c r="X215" s="1"/>
      <x:c r="Y215" s="1"/>
      <x:c r="Z215" s="1"/>
    </x:row>
    <x:row r="216" ht="50" customHeight="1">
      <x:c r="A216" s="17" t="n">
        <x:v>212</x:v>
      </x:c>
      <x:c r="B216" s="17" t="str">
        <x:v>고양도시관리공사</x:v>
      </x:c>
      <x:c r="C216" s="17" t="str">
        <x:v>경기도</x:v>
      </x:c>
      <x:c r="D216" s="17" t="str">
        <x:v>고양환경에너지시설 기간제 직원 채용 공고</x:v>
      </x:c>
      <x:c r="E216" s="17" t="str">
        <x:v>경력</x:v>
      </x:c>
      <x:c r="F216" s="17" t="str">
        <x:v>기간제</x:v>
      </x:c>
      <x:c r="G216" s="17" t="str">
        <x:v>명시 없음(원문 확인)</x:v>
      </x:c>
      <x:c r="H216" s="17" t="str">
        <x:v>2026-09-02</x:v>
      </x:c>
      <x:c r="I216" s="17" t="str">
        <x:v>2026-09-11</x:v>
      </x:c>
      <x:c r="J216" s="17" t="str">
        <x:v>모집중</x:v>
      </x:c>
      <x:c r="K216" s="17" t="str">
        <x:v>기간제·비정규</x:v>
      </x:c>
      <x:c r="L216" s="17" t="str">
        <x:v>세부조건 확인</x:v>
      </x:c>
      <x:c r="M216" s="17" t="str">
        <x:v>제한 문구 미탐지</x:v>
      </x:c>
      <x:c r="N216" s="17" t="str">
        <x:v>기관 공고 원문 확인</x:v>
      </x:c>
      <x:c r="O216" s="17" t="str">
        <x:v>기관 공고 원문 확인</x:v>
      </x:c>
      <x:c r="P216" s="17" t="str">
        <x:v>기관 공고 원문 확인</x:v>
      </x:c>
      <x:c r="Q216" s="17" t="str">
        <x:v>기관 공고 원문 확인</x:v>
      </x:c>
      <x:c r="R216" s="17" t="str">
        <x:v>정상</x:v>
      </x:c>
      <x:c r="S216" s="18" t="str">
        <x:v>https://job.cleaneye.go.kr/user/ypRecruitment.do</x:v>
      </x:c>
      <x:c r="T216" s="1"/>
      <x:c r="U216" s="1"/>
      <x:c r="V216" s="1"/>
      <x:c r="W216" s="1"/>
      <x:c r="X216" s="1"/>
      <x:c r="Y216" s="1"/>
      <x:c r="Z216" s="1"/>
    </x:row>
    <x:row r="217" ht="50" customHeight="1">
      <x:c r="A217" s="17" t="n">
        <x:v>213</x:v>
      </x:c>
      <x:c r="B217" s="17" t="str">
        <x:v>충청북도기업진흥원</x:v>
      </x:c>
      <x:c r="C217" s="17" t="str">
        <x:v>충청북도</x:v>
      </x:c>
      <x:c r="D217" s="17" t="str">
        <x:v>(재)충청북도기업진흥원 임원 초빙 공고</x:v>
      </x:c>
      <x:c r="E217" s="17" t="str">
        <x:v>경력</x:v>
      </x:c>
      <x:c r="F217" s="17" t="str">
        <x:v>일반정규직</x:v>
      </x:c>
      <x:c r="G217" s="17" t="str">
        <x:v>명시 없음(원문 확인)</x:v>
      </x:c>
      <x:c r="H217" s="17" t="str">
        <x:v>2026-09-02</x:v>
      </x:c>
      <x:c r="I217" s="17" t="str">
        <x:v>2026-09-16</x:v>
      </x:c>
      <x:c r="J217" s="17" t="str">
        <x:v>모집중</x:v>
      </x:c>
      <x:c r="K217" s="17" t="str">
        <x:v>경력·전문직</x:v>
      </x:c>
      <x:c r="L217" s="17" t="str">
        <x:v>경력·전문 우선</x:v>
      </x:c>
      <x:c r="M217" s="17" t="str">
        <x:v>제한 문구 미탐지</x:v>
      </x:c>
      <x:c r="N217" s="17" t="str">
        <x:v>기관 공고 원문 확인</x:v>
      </x:c>
      <x:c r="O217" s="17" t="str">
        <x:v>기관 공고 원문 확인</x:v>
      </x:c>
      <x:c r="P217" s="17" t="str">
        <x:v>기관 공고 원문 확인</x:v>
      </x:c>
      <x:c r="Q217" s="17" t="str">
        <x:v>기관 공고 원문 확인</x:v>
      </x:c>
      <x:c r="R217" s="17" t="str">
        <x:v>정상</x:v>
      </x:c>
      <x:c r="S217" s="18" t="str">
        <x:v>https://job.cleaneye.go.kr/user/ypRecruitment.do</x:v>
      </x:c>
      <x:c r="T217" s="1"/>
      <x:c r="U217" s="1"/>
      <x:c r="V217" s="1"/>
      <x:c r="W217" s="1"/>
      <x:c r="X217" s="1"/>
      <x:c r="Y217" s="1"/>
      <x:c r="Z217" s="1"/>
    </x:row>
    <x:row r="218" ht="50" customHeight="1">
      <x:c r="A218" s="17" t="n">
        <x:v>214</x:v>
      </x:c>
      <x:c r="B218" s="17" t="str">
        <x:v>재단법인 강원특별자치도 사회서비스원</x:v>
      </x:c>
      <x:c r="C218" s="17" t="str">
        <x:v>강원특별자치도</x:v>
      </x:c>
      <x:c r="D218" s="17" t="str">
        <x:v>2026년 제6차 강원특별자치도 사회서비스원 기간제 계약직 채용공고</x:v>
      </x:c>
      <x:c r="E218" s="17" t="str">
        <x:v>신입+경력</x:v>
      </x:c>
      <x:c r="F218" s="17" t="str">
        <x:v>기간제</x:v>
      </x:c>
      <x:c r="G218" s="17" t="str">
        <x:v>강원특별자치도</x:v>
      </x:c>
      <x:c r="H218" s="17" t="str">
        <x:v>2026-09-02</x:v>
      </x:c>
      <x:c r="I218" s="17" t="str">
        <x:v>2026-09-15</x:v>
      </x:c>
      <x:c r="J218" s="17" t="str">
        <x:v>모집중</x:v>
      </x:c>
      <x:c r="K218" s="17" t="str">
        <x:v>기간제·비정규</x:v>
      </x:c>
      <x:c r="L218" s="17" t="str">
        <x:v>검토</x:v>
      </x:c>
      <x:c r="M218" s="17" t="str">
        <x:v>제한 문구 미탐지</x:v>
      </x:c>
      <x:c r="N218" s="17" t="str">
        <x:v>기관 공고 원문 확인</x:v>
      </x:c>
      <x:c r="O218" s="17" t="str">
        <x:v>기관 공고 원문 확인</x:v>
      </x:c>
      <x:c r="P218" s="17" t="str">
        <x:v>기관 공고 원문 확인</x:v>
      </x:c>
      <x:c r="Q218" s="17" t="str">
        <x:v>기관 공고 원문 확인</x:v>
      </x:c>
      <x:c r="R218" s="17" t="str">
        <x:v>정상</x:v>
      </x:c>
      <x:c r="S218" s="18" t="str">
        <x:v>https://job.cleaneye.go.kr/user/ypRecruitment.do</x:v>
      </x:c>
      <x:c r="T218" s="1"/>
      <x:c r="U218" s="1"/>
      <x:c r="V218" s="1"/>
      <x:c r="W218" s="1"/>
      <x:c r="X218" s="1"/>
      <x:c r="Y218" s="1"/>
      <x:c r="Z218" s="1"/>
    </x:row>
    <x:row r="219" ht="50" customHeight="1">
      <x:c r="A219" s="17" t="n">
        <x:v>215</x:v>
      </x:c>
      <x:c r="B219" s="17" t="str">
        <x:v>고양연구원</x:v>
      </x:c>
      <x:c r="C219" s="17" t="str">
        <x:v>경기도</x:v>
      </x:c>
      <x:c r="D219" s="17" t="str">
        <x:v>제5대 고양연구원장 공개모집 공고</x:v>
      </x:c>
      <x:c r="E219" s="17" t="str">
        <x:v>경력</x:v>
      </x:c>
      <x:c r="F219" s="17" t="str">
        <x:v>기간제</x:v>
      </x:c>
      <x:c r="G219" s="17" t="str">
        <x:v>명시 없음(원문 확인)</x:v>
      </x:c>
      <x:c r="H219" s="17" t="str">
        <x:v>2026-09-02</x:v>
      </x:c>
      <x:c r="I219" s="17" t="str">
        <x:v>2026-09-17</x:v>
      </x:c>
      <x:c r="J219" s="17" t="str">
        <x:v>모집중</x:v>
      </x:c>
      <x:c r="K219" s="17" t="str">
        <x:v>경력·전문직</x:v>
      </x:c>
      <x:c r="L219" s="17" t="str">
        <x:v>경력·전문 우선</x:v>
      </x:c>
      <x:c r="M219" s="17" t="str">
        <x:v>제한 문구 미탐지</x:v>
      </x:c>
      <x:c r="N219" s="17" t="str">
        <x:v>기관 공고 원문 확인</x:v>
      </x:c>
      <x:c r="O219" s="17" t="str">
        <x:v>기관 공고 원문 확인</x:v>
      </x:c>
      <x:c r="P219" s="17" t="str">
        <x:v>기관 공고 원문 확인</x:v>
      </x:c>
      <x:c r="Q219" s="17" t="str">
        <x:v>기관 공고 원문 확인</x:v>
      </x:c>
      <x:c r="R219" s="17" t="str">
        <x:v>정상</x:v>
      </x:c>
      <x:c r="S219" s="18" t="str">
        <x:v>https://job.cleaneye.go.kr/user/ypRecruitment.do</x:v>
      </x:c>
      <x:c r="T219" s="1"/>
      <x:c r="U219" s="1"/>
      <x:c r="V219" s="1"/>
      <x:c r="W219" s="1"/>
      <x:c r="X219" s="1"/>
      <x:c r="Y219" s="1"/>
      <x:c r="Z219" s="1"/>
    </x:row>
    <x:row r="220" ht="50" customHeight="1">
      <x:c r="A220" s="17" t="n">
        <x:v>216</x:v>
      </x:c>
      <x:c r="B220" s="17" t="str">
        <x:v>강원특별자치도영월의료원</x:v>
      </x:c>
      <x:c r="C220" s="17" t="str">
        <x:v>강원특별자치도</x:v>
      </x:c>
      <x:c r="D220" s="17" t="str">
        <x:v>사회복지사 공개경쟁 채용 재공고(계약직_공공의료과)</x:v>
      </x:c>
      <x:c r="E220" s="17" t="str">
        <x:v>신입+경력</x:v>
      </x:c>
      <x:c r="F220" s="17" t="str">
        <x:v>기간제</x:v>
      </x:c>
      <x:c r="G220" s="17" t="str">
        <x:v>명시 없음(원문 확인)</x:v>
      </x:c>
      <x:c r="H220" s="17" t="str">
        <x:v>2026-09-02</x:v>
      </x:c>
      <x:c r="I220" s="17" t="str">
        <x:v>2026-09-14</x:v>
      </x:c>
      <x:c r="J220" s="17" t="str">
        <x:v>모집중</x:v>
      </x:c>
      <x:c r="K220" s="17" t="str">
        <x:v>기간제·비정규</x:v>
      </x:c>
      <x:c r="L220" s="17" t="str">
        <x:v>검토</x:v>
      </x:c>
      <x:c r="M220" s="17" t="str">
        <x:v>제한 문구 미탐지</x:v>
      </x:c>
      <x:c r="N220" s="17" t="str">
        <x:v>기관 공고 원문 확인</x:v>
      </x:c>
      <x:c r="O220" s="17" t="str">
        <x:v>기관 공고 원문 확인</x:v>
      </x:c>
      <x:c r="P220" s="17" t="str">
        <x:v>기관 공고 원문 확인</x:v>
      </x:c>
      <x:c r="Q220" s="17" t="str">
        <x:v>기관 공고 원문 확인</x:v>
      </x:c>
      <x:c r="R220" s="17" t="str">
        <x:v>정상</x:v>
      </x:c>
      <x:c r="S220" s="18" t="str">
        <x:v>https://job.cleaneye.go.kr/user/ypRecruitment.do</x:v>
      </x:c>
      <x:c r="T220" s="1"/>
      <x:c r="U220" s="1"/>
      <x:c r="V220" s="1"/>
      <x:c r="W220" s="1"/>
      <x:c r="X220" s="1"/>
      <x:c r="Y220" s="1"/>
      <x:c r="Z220" s="1"/>
    </x:row>
    <x:row r="221" ht="50" customHeight="1">
      <x:c r="A221" s="17" t="n">
        <x:v>217</x:v>
      </x:c>
      <x:c r="B221" s="17" t="str">
        <x:v>강원특별자치도영월의료원</x:v>
      </x:c>
      <x:c r="C221" s="17" t="str">
        <x:v>강원특별자치도</x:v>
      </x:c>
      <x:c r="D221" s="17" t="str">
        <x:v>간호사 공개경쟁 채용 재공고(계약직_건강검진팀)</x:v>
      </x:c>
      <x:c r="E221" s="17" t="str">
        <x:v>신입+경력</x:v>
      </x:c>
      <x:c r="F221" s="17" t="str">
        <x:v>기간제</x:v>
      </x:c>
      <x:c r="G221" s="17" t="str">
        <x:v>명시 없음(원문 확인)</x:v>
      </x:c>
      <x:c r="H221" s="17" t="str">
        <x:v>2026-09-02</x:v>
      </x:c>
      <x:c r="I221" s="17" t="str">
        <x:v>2026-09-14</x:v>
      </x:c>
      <x:c r="J221" s="17" t="str">
        <x:v>모집중</x:v>
      </x:c>
      <x:c r="K221" s="17" t="str">
        <x:v>경력·전문직</x:v>
      </x:c>
      <x:c r="L221" s="17" t="str">
        <x:v>경력·전문 우선</x:v>
      </x:c>
      <x:c r="M221" s="17" t="str">
        <x:v>제한 문구 미탐지</x:v>
      </x:c>
      <x:c r="N221" s="17" t="str">
        <x:v>기관 공고 원문 확인</x:v>
      </x:c>
      <x:c r="O221" s="17" t="str">
        <x:v>기관 공고 원문 확인</x:v>
      </x:c>
      <x:c r="P221" s="17" t="str">
        <x:v>기관 공고 원문 확인</x:v>
      </x:c>
      <x:c r="Q221" s="17" t="str">
        <x:v>기관 공고 원문 확인</x:v>
      </x:c>
      <x:c r="R221" s="17" t="str">
        <x:v>정상</x:v>
      </x:c>
      <x:c r="S221" s="18" t="str">
        <x:v>https://job.cleaneye.go.kr/user/ypRecruitment.do</x:v>
      </x:c>
      <x:c r="T221" s="1"/>
      <x:c r="U221" s="1"/>
      <x:c r="V221" s="1"/>
      <x:c r="W221" s="1"/>
      <x:c r="X221" s="1"/>
      <x:c r="Y221" s="1"/>
      <x:c r="Z221" s="1"/>
    </x:row>
    <x:row r="222" ht="50" customHeight="1">
      <x:c r="A222" s="17" t="n">
        <x:v>218</x:v>
      </x:c>
      <x:c r="B222" s="17" t="str">
        <x:v>강원특별자치도영월의료원</x:v>
      </x:c>
      <x:c r="C222" s="17" t="str">
        <x:v>강원특별자치도</x:v>
      </x:c>
      <x:c r="D222" s="17" t="str">
        <x:v>간호사(연구보조원) 공개경쟁 채용 재공고(계약직_전략기획팀)</x:v>
      </x:c>
      <x:c r="E222" s="17" t="str">
        <x:v>신입+경력</x:v>
      </x:c>
      <x:c r="F222" s="17" t="str">
        <x:v>기간제</x:v>
      </x:c>
      <x:c r="G222" s="17" t="str">
        <x:v>명시 없음(원문 확인)</x:v>
      </x:c>
      <x:c r="H222" s="17" t="str">
        <x:v>2026-09-02</x:v>
      </x:c>
      <x:c r="I222" s="17" t="str">
        <x:v>2026-09-14</x:v>
      </x:c>
      <x:c r="J222" s="17" t="str">
        <x:v>모집중</x:v>
      </x:c>
      <x:c r="K222" s="17" t="str">
        <x:v>경력·전문직</x:v>
      </x:c>
      <x:c r="L222" s="17" t="str">
        <x:v>경력·전문 우선</x:v>
      </x:c>
      <x:c r="M222" s="17" t="str">
        <x:v>제한 문구 미탐지</x:v>
      </x:c>
      <x:c r="N222" s="17" t="str">
        <x:v>기관 공고 원문 확인</x:v>
      </x:c>
      <x:c r="O222" s="17" t="str">
        <x:v>기관 공고 원문 확인</x:v>
      </x:c>
      <x:c r="P222" s="17" t="str">
        <x:v>기관 공고 원문 확인</x:v>
      </x:c>
      <x:c r="Q222" s="17" t="str">
        <x:v>기관 공고 원문 확인</x:v>
      </x:c>
      <x:c r="R222" s="17" t="str">
        <x:v>정상</x:v>
      </x:c>
      <x:c r="S222" s="18" t="str">
        <x:v>https://job.cleaneye.go.kr/user/ypRecruitment.do</x:v>
      </x:c>
      <x:c r="T222" s="1"/>
      <x:c r="U222" s="1"/>
      <x:c r="V222" s="1"/>
      <x:c r="W222" s="1"/>
      <x:c r="X222" s="1"/>
      <x:c r="Y222" s="1"/>
      <x:c r="Z222" s="1"/>
    </x:row>
    <x:row r="223" ht="50" customHeight="1">
      <x:c r="A223" s="17" t="n">
        <x:v>219</x:v>
      </x:c>
      <x:c r="B223" s="17" t="str">
        <x:v>강원특별자치도영월의료원</x:v>
      </x:c>
      <x:c r="C223" s="17" t="str">
        <x:v>강원특별자치도</x:v>
      </x:c>
      <x:c r="D223" s="17" t="str">
        <x:v>조리원 공개경쟁 채용 재공고(공무직)</x:v>
      </x:c>
      <x:c r="E223" s="17" t="str">
        <x:v>신입+경력</x:v>
      </x:c>
      <x:c r="F223" s="17" t="str">
        <x:v>일반정규직</x:v>
      </x:c>
      <x:c r="G223" s="17" t="str">
        <x:v>명시 없음(원문 확인)</x:v>
      </x:c>
      <x:c r="H223" s="17" t="str">
        <x:v>2026-09-02</x:v>
      </x:c>
      <x:c r="I223" s="17" t="str">
        <x:v>2026-09-14</x:v>
      </x:c>
      <x:c r="J223" s="17" t="str">
        <x:v>모집중</x:v>
      </x:c>
      <x:c r="K223" s="17" t="str">
        <x:v>정규직(세부 확인)</x:v>
      </x:c>
      <x:c r="L223" s="17" t="str">
        <x:v>검토</x:v>
      </x:c>
      <x:c r="M223" s="17" t="str">
        <x:v>제한 문구 미탐지</x:v>
      </x:c>
      <x:c r="N223" s="17" t="str">
        <x:v>기관 공고 원문 확인</x:v>
      </x:c>
      <x:c r="O223" s="17" t="str">
        <x:v>기관 공고 원문 확인</x:v>
      </x:c>
      <x:c r="P223" s="17" t="str">
        <x:v>기관 공고 원문 확인</x:v>
      </x:c>
      <x:c r="Q223" s="17" t="str">
        <x:v>기관 공고 원문 확인</x:v>
      </x:c>
      <x:c r="R223" s="17" t="str">
        <x:v>정상</x:v>
      </x:c>
      <x:c r="S223" s="18" t="str">
        <x:v>https://job.cleaneye.go.kr/user/ypRecruitment.do</x:v>
      </x:c>
      <x:c r="T223" s="1"/>
      <x:c r="U223" s="1"/>
      <x:c r="V223" s="1"/>
      <x:c r="W223" s="1"/>
      <x:c r="X223" s="1"/>
      <x:c r="Y223" s="1"/>
      <x:c r="Z223" s="1"/>
    </x:row>
    <x:row r="224" ht="50" customHeight="1">
      <x:c r="A224" s="17" t="n">
        <x:v>220</x:v>
      </x:c>
      <x:c r="B224" s="17" t="str">
        <x:v>구로문화재단</x:v>
      </x:c>
      <x:c r="C224" s="17" t="str">
        <x:v>서울특별시</x:v>
      </x:c>
      <x:c r="D224" s="17" t="str">
        <x:v>구로문화재단 육아휴직 대체 기간제 공개경쟁채용 모집공고(재공고)</x:v>
      </x:c>
      <x:c r="E224" s="17" t="str">
        <x:v>신입</x:v>
      </x:c>
      <x:c r="F224" s="17" t="str">
        <x:v>기간제</x:v>
      </x:c>
      <x:c r="G224" s="17" t="str">
        <x:v>명시 없음(원문 확인)</x:v>
      </x:c>
      <x:c r="H224" s="17" t="str">
        <x:v>2026-09-02</x:v>
      </x:c>
      <x:c r="I224" s="17" t="str">
        <x:v>2026-09-12</x:v>
      </x:c>
      <x:c r="J224" s="17" t="str">
        <x:v>모집중</x:v>
      </x:c>
      <x:c r="K224" s="17" t="str">
        <x:v>기간제·비정규</x:v>
      </x:c>
      <x:c r="L224" s="17" t="str">
        <x:v>검토</x:v>
      </x:c>
      <x:c r="M224" s="17" t="str">
        <x:v>제한 문구 미탐지</x:v>
      </x:c>
      <x:c r="N224" s="17" t="str">
        <x:v>기관 공고 원문 확인</x:v>
      </x:c>
      <x:c r="O224" s="17" t="str">
        <x:v>기관 공고 원문 확인</x:v>
      </x:c>
      <x:c r="P224" s="17" t="str">
        <x:v>기관 공고 원문 확인</x:v>
      </x:c>
      <x:c r="Q224" s="17" t="str">
        <x:v>기관 공고 원문 확인</x:v>
      </x:c>
      <x:c r="R224" s="17" t="str">
        <x:v>정상</x:v>
      </x:c>
      <x:c r="S224" s="18" t="str">
        <x:v>https://job.cleaneye.go.kr/user/ypRecruitment.do</x:v>
      </x:c>
      <x:c r="T224" s="1"/>
      <x:c r="U224" s="1"/>
      <x:c r="V224" s="1"/>
      <x:c r="W224" s="1"/>
      <x:c r="X224" s="1"/>
      <x:c r="Y224" s="1"/>
      <x:c r="Z224" s="1"/>
    </x:row>
    <x:row r="225" ht="50" customHeight="1">
      <x:c r="A225" s="17" t="n">
        <x:v>221</x:v>
      </x:c>
      <x:c r="B225" s="17" t="str">
        <x:v>강원특별자치도영월의료원</x:v>
      </x:c>
      <x:c r="C225" s="17" t="str">
        <x:v>강원특별자치도</x:v>
      </x:c>
      <x:c r="D225" s="17" t="str">
        <x:v>소화기내과 전문의 공개경쟁 채용 재공고</x:v>
      </x:c>
      <x:c r="E225" s="17" t="str">
        <x:v>신입+경력</x:v>
      </x:c>
      <x:c r="F225" s="17" t="str">
        <x:v>일반정규직</x:v>
      </x:c>
      <x:c r="G225" s="17" t="str">
        <x:v>명시 없음(원문 확인)</x:v>
      </x:c>
      <x:c r="H225" s="17" t="str">
        <x:v>2026-09-02</x:v>
      </x:c>
      <x:c r="I225" s="17" t="str">
        <x:v>2026-09-14</x:v>
      </x:c>
      <x:c r="J225" s="17" t="str">
        <x:v>모집중</x:v>
      </x:c>
      <x:c r="K225" s="17" t="str">
        <x:v>경력·전문직</x:v>
      </x:c>
      <x:c r="L225" s="17" t="str">
        <x:v>경력·전문 우선</x:v>
      </x:c>
      <x:c r="M225" s="17" t="str">
        <x:v>제한 문구 미탐지</x:v>
      </x:c>
      <x:c r="N225" s="17" t="str">
        <x:v>기관 공고 원문 확인</x:v>
      </x:c>
      <x:c r="O225" s="17" t="str">
        <x:v>기관 공고 원문 확인</x:v>
      </x:c>
      <x:c r="P225" s="17" t="str">
        <x:v>기관 공고 원문 확인</x:v>
      </x:c>
      <x:c r="Q225" s="17" t="str">
        <x:v>기관 공고 원문 확인</x:v>
      </x:c>
      <x:c r="R225" s="17" t="str">
        <x:v>정상</x:v>
      </x:c>
      <x:c r="S225" s="18" t="str">
        <x:v>https://job.cleaneye.go.kr/user/ypRecruitment.do</x:v>
      </x:c>
      <x:c r="T225" s="1"/>
      <x:c r="U225" s="1"/>
      <x:c r="V225" s="1"/>
      <x:c r="W225" s="1"/>
      <x:c r="X225" s="1"/>
      <x:c r="Y225" s="1"/>
      <x:c r="Z225" s="1"/>
    </x:row>
    <x:row r="226" ht="50" customHeight="1">
      <x:c r="A226" s="17" t="n">
        <x:v>222</x:v>
      </x:c>
      <x:c r="B226" s="17" t="str">
        <x:v>강원특별자치도영월의료원</x:v>
      </x:c>
      <x:c r="C226" s="17" t="str">
        <x:v>강원특별자치도</x:v>
      </x:c>
      <x:c r="D226" s="17" t="str">
        <x:v>간호사 공개경쟁 채용 재공고(간호직)</x:v>
      </x:c>
      <x:c r="E226" s="17" t="str">
        <x:v>신입+경력</x:v>
      </x:c>
      <x:c r="F226" s="17" t="str">
        <x:v>일반정규직</x:v>
      </x:c>
      <x:c r="G226" s="17" t="str">
        <x:v>명시 없음(원문 확인)</x:v>
      </x:c>
      <x:c r="H226" s="17" t="str">
        <x:v>2026-09-02</x:v>
      </x:c>
      <x:c r="I226" s="17" t="str">
        <x:v>2026-09-14</x:v>
      </x:c>
      <x:c r="J226" s="17" t="str">
        <x:v>모집중</x:v>
      </x:c>
      <x:c r="K226" s="17" t="str">
        <x:v>경력·전문직</x:v>
      </x:c>
      <x:c r="L226" s="17" t="str">
        <x:v>경력·전문 우선</x:v>
      </x:c>
      <x:c r="M226" s="17" t="str">
        <x:v>제한 문구 미탐지</x:v>
      </x:c>
      <x:c r="N226" s="17" t="str">
        <x:v>기관 공고 원문 확인</x:v>
      </x:c>
      <x:c r="O226" s="17" t="str">
        <x:v>기관 공고 원문 확인</x:v>
      </x:c>
      <x:c r="P226" s="17" t="str">
        <x:v>기관 공고 원문 확인</x:v>
      </x:c>
      <x:c r="Q226" s="17" t="str">
        <x:v>기관 공고 원문 확인</x:v>
      </x:c>
      <x:c r="R226" s="17" t="str">
        <x:v>정상</x:v>
      </x:c>
      <x:c r="S226" s="18" t="str">
        <x:v>https://job.cleaneye.go.kr/user/ypRecruitment.do</x:v>
      </x:c>
      <x:c r="T226" s="1"/>
      <x:c r="U226" s="1"/>
      <x:c r="V226" s="1"/>
      <x:c r="W226" s="1"/>
      <x:c r="X226" s="1"/>
      <x:c r="Y226" s="1"/>
      <x:c r="Z226" s="1"/>
    </x:row>
    <x:row r="227" ht="50" customHeight="1">
      <x:c r="A227" s="17" t="n">
        <x:v>223</x:v>
      </x:c>
      <x:c r="B227" s="17" t="str">
        <x:v>강원특별자치도영월의료원</x:v>
      </x:c>
      <x:c r="C227" s="17" t="str">
        <x:v>강원특별자치도</x:v>
      </x:c>
      <x:c r="D227" s="17" t="str">
        <x:v>응급의학과 전문의 공개경쟁 채용 재공고</x:v>
      </x:c>
      <x:c r="E227" s="17" t="str">
        <x:v>신입+경력</x:v>
      </x:c>
      <x:c r="F227" s="17" t="str">
        <x:v>일반정규직</x:v>
      </x:c>
      <x:c r="G227" s="17" t="str">
        <x:v>명시 없음(원문 확인)</x:v>
      </x:c>
      <x:c r="H227" s="17" t="str">
        <x:v>2026-09-02</x:v>
      </x:c>
      <x:c r="I227" s="17" t="str">
        <x:v>2026-09-14</x:v>
      </x:c>
      <x:c r="J227" s="17" t="str">
        <x:v>모집중</x:v>
      </x:c>
      <x:c r="K227" s="17" t="str">
        <x:v>경력·전문직</x:v>
      </x:c>
      <x:c r="L227" s="17" t="str">
        <x:v>경력·전문 우선</x:v>
      </x:c>
      <x:c r="M227" s="17" t="str">
        <x:v>제한 문구 미탐지</x:v>
      </x:c>
      <x:c r="N227" s="17" t="str">
        <x:v>기관 공고 원문 확인</x:v>
      </x:c>
      <x:c r="O227" s="17" t="str">
        <x:v>기관 공고 원문 확인</x:v>
      </x:c>
      <x:c r="P227" s="17" t="str">
        <x:v>기관 공고 원문 확인</x:v>
      </x:c>
      <x:c r="Q227" s="17" t="str">
        <x:v>기관 공고 원문 확인</x:v>
      </x:c>
      <x:c r="R227" s="17" t="str">
        <x:v>정상</x:v>
      </x:c>
      <x:c r="S227" s="18" t="str">
        <x:v>https://job.cleaneye.go.kr/user/ypRecruitment.do</x:v>
      </x:c>
      <x:c r="T227" s="1"/>
      <x:c r="U227" s="1"/>
      <x:c r="V227" s="1"/>
      <x:c r="W227" s="1"/>
      <x:c r="X227" s="1"/>
      <x:c r="Y227" s="1"/>
      <x:c r="Z227" s="1"/>
    </x:row>
    <x:row r="228" ht="50" customHeight="1">
      <x:c r="A228" s="17" t="n">
        <x:v>224</x:v>
      </x:c>
      <x:c r="B228" s="17" t="str">
        <x:v>강원특별자치도영월의료원</x:v>
      </x:c>
      <x:c r="C228" s="17" t="str">
        <x:v>강원특별자치도</x:v>
      </x:c>
      <x:c r="D228" s="17" t="str">
        <x:v>응급실 전담의 공개경쟁 채용 재공고</x:v>
      </x:c>
      <x:c r="E228" s="17" t="str">
        <x:v>신입+경력</x:v>
      </x:c>
      <x:c r="F228" s="17" t="str">
        <x:v>일반정규직</x:v>
      </x:c>
      <x:c r="G228" s="17" t="str">
        <x:v>명시 없음(원문 확인)</x:v>
      </x:c>
      <x:c r="H228" s="17" t="str">
        <x:v>2026-09-02</x:v>
      </x:c>
      <x:c r="I228" s="17" t="str">
        <x:v>2026-09-14</x:v>
      </x:c>
      <x:c r="J228" s="17" t="str">
        <x:v>모집중</x:v>
      </x:c>
      <x:c r="K228" s="17" t="str">
        <x:v>정규직(세부 확인)</x:v>
      </x:c>
      <x:c r="L228" s="17" t="str">
        <x:v>검토</x:v>
      </x:c>
      <x:c r="M228" s="17" t="str">
        <x:v>제한 문구 미탐지</x:v>
      </x:c>
      <x:c r="N228" s="17" t="str">
        <x:v>기관 공고 원문 확인</x:v>
      </x:c>
      <x:c r="O228" s="17" t="str">
        <x:v>기관 공고 원문 확인</x:v>
      </x:c>
      <x:c r="P228" s="17" t="str">
        <x:v>기관 공고 원문 확인</x:v>
      </x:c>
      <x:c r="Q228" s="17" t="str">
        <x:v>기관 공고 원문 확인</x:v>
      </x:c>
      <x:c r="R228" s="17" t="str">
        <x:v>정상</x:v>
      </x:c>
      <x:c r="S228" s="18" t="str">
        <x:v>https://job.cleaneye.go.kr/user/ypRecruitment.do</x:v>
      </x:c>
      <x:c r="T228" s="1"/>
      <x:c r="U228" s="1"/>
      <x:c r="V228" s="1"/>
      <x:c r="W228" s="1"/>
      <x:c r="X228" s="1"/>
      <x:c r="Y228" s="1"/>
      <x:c r="Z228" s="1"/>
    </x:row>
    <x:row r="229" ht="50" customHeight="1">
      <x:c r="A229" s="17" t="n">
        <x:v>225</x:v>
      </x:c>
      <x:c r="B229" s="17" t="str">
        <x:v>강원특별자치도영월의료원</x:v>
      </x:c>
      <x:c r="C229" s="17" t="str">
        <x:v>강원특별자치도</x:v>
      </x:c>
      <x:c r="D229" s="17" t="str">
        <x:v>소아청소년과 전문의 공개경쟁 채용 재공고</x:v>
      </x:c>
      <x:c r="E229" s="17" t="str">
        <x:v>신입+경력</x:v>
      </x:c>
      <x:c r="F229" s="17" t="str">
        <x:v>일반정규직</x:v>
      </x:c>
      <x:c r="G229" s="17" t="str">
        <x:v>명시 없음(원문 확인)</x:v>
      </x:c>
      <x:c r="H229" s="17" t="str">
        <x:v>2026-09-02</x:v>
      </x:c>
      <x:c r="I229" s="17" t="str">
        <x:v>2026-09-14</x:v>
      </x:c>
      <x:c r="J229" s="17" t="str">
        <x:v>모집중</x:v>
      </x:c>
      <x:c r="K229" s="17" t="str">
        <x:v>경력·전문직</x:v>
      </x:c>
      <x:c r="L229" s="17" t="str">
        <x:v>경력·전문 우선</x:v>
      </x:c>
      <x:c r="M229" s="17" t="str">
        <x:v>제한 문구 미탐지</x:v>
      </x:c>
      <x:c r="N229" s="17" t="str">
        <x:v>기관 공고 원문 확인</x:v>
      </x:c>
      <x:c r="O229" s="17" t="str">
        <x:v>기관 공고 원문 확인</x:v>
      </x:c>
      <x:c r="P229" s="17" t="str">
        <x:v>기관 공고 원문 확인</x:v>
      </x:c>
      <x:c r="Q229" s="17" t="str">
        <x:v>기관 공고 원문 확인</x:v>
      </x:c>
      <x:c r="R229" s="17" t="str">
        <x:v>정상</x:v>
      </x:c>
      <x:c r="S229" s="18" t="str">
        <x:v>https://job.cleaneye.go.kr/user/ypRecruitment.do</x:v>
      </x:c>
      <x:c r="T229" s="1"/>
      <x:c r="U229" s="1"/>
      <x:c r="V229" s="1"/>
      <x:c r="W229" s="1"/>
      <x:c r="X229" s="1"/>
      <x:c r="Y229" s="1"/>
      <x:c r="Z229" s="1"/>
    </x:row>
    <x:row r="230" ht="50" customHeight="1">
      <x:c r="A230" s="17" t="n">
        <x:v>226</x:v>
      </x:c>
      <x:c r="B230" s="17" t="str">
        <x:v>서귀포의료원</x:v>
      </x:c>
      <x:c r="C230" s="17" t="str">
        <x:v>제주특별자치도</x:v>
      </x:c>
      <x:c r="D230" s="17" t="str">
        <x:v>직원 수시모집 공고 - 의사직(치과)</x:v>
      </x:c>
      <x:c r="E230" s="17" t="str">
        <x:v>신입+경력</x:v>
      </x:c>
      <x:c r="F230" s="17" t="str">
        <x:v>일반정규직</x:v>
      </x:c>
      <x:c r="G230" s="17" t="str">
        <x:v>명시 없음(원문 확인)</x:v>
      </x:c>
      <x:c r="H230" s="17" t="str">
        <x:v>2026-09-02</x:v>
      </x:c>
      <x:c r="I230" s="17" t="str">
        <x:v>2026-09-10</x:v>
      </x:c>
      <x:c r="J230" s="17" t="str">
        <x:v>모집중</x:v>
      </x:c>
      <x:c r="K230" s="17" t="str">
        <x:v>정규직(세부 확인)</x:v>
      </x:c>
      <x:c r="L230" s="17" t="str">
        <x:v>검토</x:v>
      </x:c>
      <x:c r="M230" s="17" t="str">
        <x:v>제한 문구 미탐지</x:v>
      </x:c>
      <x:c r="N230" s="17" t="str">
        <x:v>기관 공고 원문 확인</x:v>
      </x:c>
      <x:c r="O230" s="17" t="str">
        <x:v>기관 공고 원문 확인</x:v>
      </x:c>
      <x:c r="P230" s="17" t="str">
        <x:v>기관 공고 원문 확인</x:v>
      </x:c>
      <x:c r="Q230" s="17" t="str">
        <x:v>기관 공고 원문 확인</x:v>
      </x:c>
      <x:c r="R230" s="17" t="str">
        <x:v>정상</x:v>
      </x:c>
      <x:c r="S230" s="18" t="str">
        <x:v>https://job.cleaneye.go.kr/user/ypRecruitment.do</x:v>
      </x:c>
      <x:c r="T230" s="1"/>
      <x:c r="U230" s="1"/>
      <x:c r="V230" s="1"/>
      <x:c r="W230" s="1"/>
      <x:c r="X230" s="1"/>
      <x:c r="Y230" s="1"/>
      <x:c r="Z230" s="1"/>
    </x:row>
    <x:row r="231" ht="50" customHeight="1">
      <x:c r="A231" s="17" t="n">
        <x:v>227</x:v>
      </x:c>
      <x:c r="B231" s="17" t="str">
        <x:v>서울의료원</x:v>
      </x:c>
      <x:c r="C231" s="17" t="str">
        <x:v>서울특별시</x:v>
      </x:c>
      <x:c r="D231" s="17" t="str">
        <x:v>2026년 제45회 기간제근로자 조리원(휴직대체) 직원 모집 공고</x:v>
      </x:c>
      <x:c r="E231" s="17" t="str">
        <x:v>신입</x:v>
      </x:c>
      <x:c r="F231" s="17" t="str">
        <x:v>기간제</x:v>
      </x:c>
      <x:c r="G231" s="17" t="str">
        <x:v>명시 없음(원문 확인)</x:v>
      </x:c>
      <x:c r="H231" s="17" t="str">
        <x:v>2026-09-01</x:v>
      </x:c>
      <x:c r="I231" s="17" t="str">
        <x:v>2026-09-11</x:v>
      </x:c>
      <x:c r="J231" s="17" t="str">
        <x:v>모집중</x:v>
      </x:c>
      <x:c r="K231" s="17" t="str">
        <x:v>기간제·비정규</x:v>
      </x:c>
      <x:c r="L231" s="17" t="str">
        <x:v>검토</x:v>
      </x:c>
      <x:c r="M231" s="17" t="str">
        <x:v>제한 문구 미탐지</x:v>
      </x:c>
      <x:c r="N231" s="17" t="str">
        <x:v>기관 공고 원문 확인</x:v>
      </x:c>
      <x:c r="O231" s="17" t="str">
        <x:v>기관 공고 원문 확인</x:v>
      </x:c>
      <x:c r="P231" s="17" t="str">
        <x:v>기관 공고 원문 확인</x:v>
      </x:c>
      <x:c r="Q231" s="17" t="str">
        <x:v>기관 공고 원문 확인</x:v>
      </x:c>
      <x:c r="R231" s="17" t="str">
        <x:v>정상</x:v>
      </x:c>
      <x:c r="S231" s="18" t="str">
        <x:v>https://job.cleaneye.go.kr/user/ypRecruitment.do</x:v>
      </x:c>
      <x:c r="T231" s="1"/>
      <x:c r="U231" s="1"/>
      <x:c r="V231" s="1"/>
      <x:c r="W231" s="1"/>
      <x:c r="X231" s="1"/>
      <x:c r="Y231" s="1"/>
      <x:c r="Z231" s="1"/>
    </x:row>
    <x:row r="232" ht="50" customHeight="1">
      <x:c r="A232" s="17" t="n">
        <x:v>228</x:v>
      </x:c>
      <x:c r="B232" s="17" t="str">
        <x:v>경상북도안동의료원</x:v>
      </x:c>
      <x:c r="C232" s="17" t="str">
        <x:v>경상북도</x:v>
      </x:c>
      <x:c r="D232" s="17" t="str">
        <x:v>관리직 시설관리사(정규직) 채용 공고</x:v>
      </x:c>
      <x:c r="E232" s="17" t="str">
        <x:v>신입+경력</x:v>
      </x:c>
      <x:c r="F232" s="17" t="str">
        <x:v>일반정규직</x:v>
      </x:c>
      <x:c r="G232" s="17" t="str">
        <x:v>명시 없음(원문 확인)</x:v>
      </x:c>
      <x:c r="H232" s="17" t="str">
        <x:v>2026-09-01</x:v>
      </x:c>
      <x:c r="I232" s="17" t="str">
        <x:v>2026-09-13</x:v>
      </x:c>
      <x:c r="J232" s="17" t="str">
        <x:v>모집중</x:v>
      </x:c>
      <x:c r="K232" s="17" t="str">
        <x:v>정규직(세부 확인)</x:v>
      </x:c>
      <x:c r="L232" s="17" t="str">
        <x:v>검토</x:v>
      </x:c>
      <x:c r="M232" s="17" t="str">
        <x:v>제한 문구 미탐지</x:v>
      </x:c>
      <x:c r="N232" s="17" t="str">
        <x:v>기관 공고 원문 확인</x:v>
      </x:c>
      <x:c r="O232" s="17" t="str">
        <x:v>기관 공고 원문 확인</x:v>
      </x:c>
      <x:c r="P232" s="17" t="str">
        <x:v>기관 공고 원문 확인</x:v>
      </x:c>
      <x:c r="Q232" s="17" t="str">
        <x:v>기관 공고 원문 확인</x:v>
      </x:c>
      <x:c r="R232" s="17" t="str">
        <x:v>정상</x:v>
      </x:c>
      <x:c r="S232" s="18" t="str">
        <x:v>https://job.cleaneye.go.kr/user/ypRecruitment.do</x:v>
      </x:c>
      <x:c r="T232" s="1"/>
      <x:c r="U232" s="1"/>
      <x:c r="V232" s="1"/>
      <x:c r="W232" s="1"/>
      <x:c r="X232" s="1"/>
      <x:c r="Y232" s="1"/>
      <x:c r="Z232" s="1"/>
    </x:row>
    <x:row r="233" ht="50" customHeight="1">
      <x:c r="A233" s="17" t="n">
        <x:v>229</x:v>
      </x:c>
      <x:c r="B233" s="17" t="str">
        <x:v>서초여성일자리주식회사</x:v>
      </x:c>
      <x:c r="C233" s="17" t="str">
        <x:v>서울특별시</x:v>
      </x:c>
      <x:c r="D233" s="17" t="str">
        <x:v>2026년 하반기 4차 경영지원(사원), 사업관리(주임) 직원채용 공고</x:v>
      </x:c>
      <x:c r="E233" s="17" t="str">
        <x:v>신입+경력</x:v>
      </x:c>
      <x:c r="F233" s="17" t="str">
        <x:v>기간제</x:v>
      </x:c>
      <x:c r="G233" s="17" t="str">
        <x:v>명시 없음(원문 확인)</x:v>
      </x:c>
      <x:c r="H233" s="17" t="str">
        <x:v>2026-09-01</x:v>
      </x:c>
      <x:c r="I233" s="17" t="str">
        <x:v>2026-09-13</x:v>
      </x:c>
      <x:c r="J233" s="17" t="str">
        <x:v>모집중</x:v>
      </x:c>
      <x:c r="K233" s="17" t="str">
        <x:v>기간제·비정규</x:v>
      </x:c>
      <x:c r="L233" s="17" t="str">
        <x:v>검토</x:v>
      </x:c>
      <x:c r="M233" s="17" t="str">
        <x:v>제한 문구 미탐지</x:v>
      </x:c>
      <x:c r="N233" s="17" t="str">
        <x:v>기관 공고 원문 확인</x:v>
      </x:c>
      <x:c r="O233" s="17" t="str">
        <x:v>기관 공고 원문 확인</x:v>
      </x:c>
      <x:c r="P233" s="17" t="str">
        <x:v>기관 공고 원문 확인</x:v>
      </x:c>
      <x:c r="Q233" s="17" t="str">
        <x:v>기관 공고 원문 확인</x:v>
      </x:c>
      <x:c r="R233" s="17" t="str">
        <x:v>정상</x:v>
      </x:c>
      <x:c r="S233" s="18" t="str">
        <x:v>https://job.cleaneye.go.kr/user/ypRecruitment.do</x:v>
      </x:c>
      <x:c r="T233" s="1"/>
      <x:c r="U233" s="1"/>
      <x:c r="V233" s="1"/>
      <x:c r="W233" s="1"/>
      <x:c r="X233" s="1"/>
      <x:c r="Y233" s="1"/>
      <x:c r="Z233" s="1"/>
    </x:row>
    <x:row r="234" ht="50" customHeight="1">
      <x:c r="A234" s="17" t="n">
        <x:v>230</x:v>
      </x:c>
      <x:c r="B234" s="17" t="str">
        <x:v>광주환경공단</x:v>
      </x:c>
      <x:c r="C234" s="17" t="str"/>
      <x:c r="D234" s="17" t="str">
        <x:v>광주환경공단 임원(본부장, 비상임이사) 모집공고</x:v>
      </x:c>
      <x:c r="E234" s="17" t="str">
        <x:v>경력</x:v>
      </x:c>
      <x:c r="F234" s="17" t="str">
        <x:v>일반정규직</x:v>
      </x:c>
      <x:c r="G234" s="17" t="str">
        <x:v>명시 없음(원문 확인)</x:v>
      </x:c>
      <x:c r="H234" s="17" t="str">
        <x:v>2026-09-01</x:v>
      </x:c>
      <x:c r="I234" s="17" t="str">
        <x:v>2026-09-16</x:v>
      </x:c>
      <x:c r="J234" s="17" t="str">
        <x:v>모집중</x:v>
      </x:c>
      <x:c r="K234" s="17" t="str">
        <x:v>경력·전문직</x:v>
      </x:c>
      <x:c r="L234" s="17" t="str">
        <x:v>경력·전문 우선</x:v>
      </x:c>
      <x:c r="M234" s="17" t="str">
        <x:v>제한 문구 미탐지</x:v>
      </x:c>
      <x:c r="N234" s="17" t="str">
        <x:v>기관 공고 원문 확인</x:v>
      </x:c>
      <x:c r="O234" s="17" t="str">
        <x:v>기관 공고 원문 확인</x:v>
      </x:c>
      <x:c r="P234" s="17" t="str">
        <x:v>기관 공고 원문 확인</x:v>
      </x:c>
      <x:c r="Q234" s="17" t="str">
        <x:v>기관 공고 원문 확인</x:v>
      </x:c>
      <x:c r="R234" s="17" t="str">
        <x:v>정상</x:v>
      </x:c>
      <x:c r="S234" s="18" t="str">
        <x:v>https://job.cleaneye.go.kr/user/ypRecruitment.do</x:v>
      </x:c>
      <x:c r="T234" s="1"/>
      <x:c r="U234" s="1"/>
      <x:c r="V234" s="1"/>
      <x:c r="W234" s="1"/>
      <x:c r="X234" s="1"/>
      <x:c r="Y234" s="1"/>
      <x:c r="Z234" s="1"/>
    </x:row>
    <x:row r="235" ht="50" customHeight="1">
      <x:c r="A235" s="17" t="n">
        <x:v>231</x:v>
      </x:c>
      <x:c r="B235" s="17" t="str">
        <x:v>부산관광공사</x:v>
      </x:c>
      <x:c r="C235" s="17" t="str">
        <x:v>부산광역시</x:v>
      </x:c>
      <x:c r="D235" s="17" t="str">
        <x:v>부산관광공사 일반계약직(9차) 제한경쟁 공개채용 공고(제2026-138호)</x:v>
      </x:c>
      <x:c r="E235" s="17" t="str">
        <x:v>신입+경력</x:v>
      </x:c>
      <x:c r="F235" s="17" t="str">
        <x:v>일반계약직</x:v>
      </x:c>
      <x:c r="G235" s="17" t="str">
        <x:v>명시 없음(원문 확인)</x:v>
      </x:c>
      <x:c r="H235" s="17" t="str">
        <x:v>2026-09-01</x:v>
      </x:c>
      <x:c r="I235" s="17" t="str">
        <x:v>2026-09-11</x:v>
      </x:c>
      <x:c r="J235" s="17" t="str">
        <x:v>모집중</x:v>
      </x:c>
      <x:c r="K235" s="17" t="str">
        <x:v>제한경쟁·조건부</x:v>
      </x:c>
      <x:c r="L235" s="17" t="str">
        <x:v>조건 충족자만</x:v>
      </x:c>
      <x:c r="M235" s="17" t="str">
        <x:v>제한경쟁</x:v>
      </x:c>
      <x:c r="N235" s="17" t="str">
        <x:v>기관 공고 원문 확인</x:v>
      </x:c>
      <x:c r="O235" s="17" t="str">
        <x:v>기관 공고 원문 확인</x:v>
      </x:c>
      <x:c r="P235" s="17" t="str">
        <x:v>기관 공고 원문 확인</x:v>
      </x:c>
      <x:c r="Q235" s="17" t="str">
        <x:v>기관 공고 원문 확인</x:v>
      </x:c>
      <x:c r="R235" s="17" t="str">
        <x:v>정상</x:v>
      </x:c>
      <x:c r="S235" s="18" t="str">
        <x:v>https://job.cleaneye.go.kr/user/ypRecruitment.do</x:v>
      </x:c>
      <x:c r="T235" s="1"/>
      <x:c r="U235" s="1"/>
      <x:c r="V235" s="1"/>
      <x:c r="W235" s="1"/>
      <x:c r="X235" s="1"/>
      <x:c r="Y235" s="1"/>
      <x:c r="Z235" s="1"/>
    </x:row>
    <x:row r="236" ht="50" customHeight="1">
      <x:c r="A236" s="17" t="n">
        <x:v>232</x:v>
      </x:c>
      <x:c r="B236" s="17" t="str">
        <x:v>중구시설관리공단</x:v>
      </x:c>
      <x:c r="C236" s="17" t="str">
        <x:v>서울특별시</x:v>
      </x:c>
      <x:c r="D236" s="17" t="str">
        <x:v>사회서비스시설(보육) 직원 채용 공고</x:v>
      </x:c>
      <x:c r="E236" s="17" t="str">
        <x:v>신입+경력</x:v>
      </x:c>
      <x:c r="F236" s="17" t="str">
        <x:v>기간제</x:v>
      </x:c>
      <x:c r="G236" s="17" t="str">
        <x:v>명시 없음(원문 확인)</x:v>
      </x:c>
      <x:c r="H236" s="17" t="str">
        <x:v>2026-09-01</x:v>
      </x:c>
      <x:c r="I236" s="17" t="str">
        <x:v>2026-09-11</x:v>
      </x:c>
      <x:c r="J236" s="17" t="str">
        <x:v>모집중</x:v>
      </x:c>
      <x:c r="K236" s="17" t="str">
        <x:v>기간제·비정규</x:v>
      </x:c>
      <x:c r="L236" s="17" t="str">
        <x:v>검토</x:v>
      </x:c>
      <x:c r="M236" s="17" t="str">
        <x:v>제한 문구 미탐지</x:v>
      </x:c>
      <x:c r="N236" s="17" t="str">
        <x:v>기관 공고 원문 확인</x:v>
      </x:c>
      <x:c r="O236" s="17" t="str">
        <x:v>기관 공고 원문 확인</x:v>
      </x:c>
      <x:c r="P236" s="17" t="str">
        <x:v>기관 공고 원문 확인</x:v>
      </x:c>
      <x:c r="Q236" s="17" t="str">
        <x:v>기관 공고 원문 확인</x:v>
      </x:c>
      <x:c r="R236" s="17" t="str">
        <x:v>정상</x:v>
      </x:c>
      <x:c r="S236" s="18" t="str">
        <x:v>https://job.cleaneye.go.kr/user/ypRecruitment.do</x:v>
      </x:c>
      <x:c r="T236" s="1"/>
      <x:c r="U236" s="1"/>
      <x:c r="V236" s="1"/>
      <x:c r="W236" s="1"/>
      <x:c r="X236" s="1"/>
      <x:c r="Y236" s="1"/>
      <x:c r="Z236" s="1"/>
    </x:row>
    <x:row r="237" ht="50" customHeight="1">
      <x:c r="A237" s="17" t="n">
        <x:v>233</x:v>
      </x:c>
      <x:c r="B237" s="17" t="str">
        <x:v>서울의료원</x:v>
      </x:c>
      <x:c r="C237" s="17" t="str">
        <x:v>서울특별시</x:v>
      </x:c>
      <x:c r="D237" s="17" t="str">
        <x:v>2026년 제29회 정규직 조리원 직원 모집 공고</x:v>
      </x:c>
      <x:c r="E237" s="17" t="str">
        <x:v>신입</x:v>
      </x:c>
      <x:c r="F237" s="17" t="str">
        <x:v>일반정규직</x:v>
      </x:c>
      <x:c r="G237" s="17" t="str">
        <x:v>명시 없음(원문 확인)</x:v>
      </x:c>
      <x:c r="H237" s="17" t="str">
        <x:v>2026-09-01</x:v>
      </x:c>
      <x:c r="I237" s="17" t="str">
        <x:v>2026-09-11</x:v>
      </x:c>
      <x:c r="J237" s="17" t="str">
        <x:v>모집중</x:v>
      </x:c>
      <x:c r="K237" s="17" t="str">
        <x:v>정규직(세부 확인)</x:v>
      </x:c>
      <x:c r="L237" s="17" t="str">
        <x:v>검토</x:v>
      </x:c>
      <x:c r="M237" s="17" t="str">
        <x:v>제한 문구 미탐지</x:v>
      </x:c>
      <x:c r="N237" s="17" t="str">
        <x:v>기관 공고 원문 확인</x:v>
      </x:c>
      <x:c r="O237" s="17" t="str">
        <x:v>기관 공고 원문 확인</x:v>
      </x:c>
      <x:c r="P237" s="17" t="str">
        <x:v>기관 공고 원문 확인</x:v>
      </x:c>
      <x:c r="Q237" s="17" t="str">
        <x:v>기관 공고 원문 확인</x:v>
      </x:c>
      <x:c r="R237" s="17" t="str">
        <x:v>정상</x:v>
      </x:c>
      <x:c r="S237" s="18" t="str">
        <x:v>https://job.cleaneye.go.kr/user/ypRecruitment.do</x:v>
      </x:c>
      <x:c r="T237" s="1"/>
      <x:c r="U237" s="1"/>
      <x:c r="V237" s="1"/>
      <x:c r="W237" s="1"/>
      <x:c r="X237" s="1"/>
      <x:c r="Y237" s="1"/>
      <x:c r="Z237" s="1"/>
    </x:row>
    <x:row r="238" ht="50" customHeight="1">
      <x:c r="A238" s="17" t="n">
        <x:v>234</x:v>
      </x:c>
      <x:c r="B238" s="17" t="str">
        <x:v>서울의료원</x:v>
      </x:c>
      <x:c r="C238" s="17" t="str">
        <x:v>서울특별시</x:v>
      </x:c>
      <x:c r="D238" s="17" t="str">
        <x:v>2026년 제46회 기간제근로자 보조원(장애인 제한경쟁_동료지원인) 직원 모집 공고</x:v>
      </x:c>
      <x:c r="E238" s="17" t="str">
        <x:v>신입</x:v>
      </x:c>
      <x:c r="F238" s="17" t="str">
        <x:v>기간제</x:v>
      </x:c>
      <x:c r="G238" s="17" t="str">
        <x:v>명시 없음(원문 확인)</x:v>
      </x:c>
      <x:c r="H238" s="17" t="str">
        <x:v>2026-09-01</x:v>
      </x:c>
      <x:c r="I238" s="17" t="str">
        <x:v>2026-09-11</x:v>
      </x:c>
      <x:c r="J238" s="17" t="str">
        <x:v>모집중</x:v>
      </x:c>
      <x:c r="K238" s="17" t="str">
        <x:v>제한경쟁·조건부</x:v>
      </x:c>
      <x:c r="L238" s="17" t="str">
        <x:v>조건 충족자만</x:v>
      </x:c>
      <x:c r="M238" s="17" t="str">
        <x:v>장애 관련 제한경쟁</x:v>
      </x:c>
      <x:c r="N238" s="17" t="str">
        <x:v>기관 공고 원문 확인</x:v>
      </x:c>
      <x:c r="O238" s="17" t="str">
        <x:v>기관 공고 원문 확인</x:v>
      </x:c>
      <x:c r="P238" s="17" t="str">
        <x:v>기관 공고 원문 확인</x:v>
      </x:c>
      <x:c r="Q238" s="17" t="str">
        <x:v>기관 공고 원문 확인</x:v>
      </x:c>
      <x:c r="R238" s="17" t="str">
        <x:v>정상</x:v>
      </x:c>
      <x:c r="S238" s="18" t="str">
        <x:v>https://job.cleaneye.go.kr/user/ypRecruitment.do</x:v>
      </x:c>
      <x:c r="T238" s="1"/>
      <x:c r="U238" s="1"/>
      <x:c r="V238" s="1"/>
      <x:c r="W238" s="1"/>
      <x:c r="X238" s="1"/>
      <x:c r="Y238" s="1"/>
      <x:c r="Z238" s="1"/>
    </x:row>
    <x:row r="239" ht="50" customHeight="1">
      <x:c r="A239" s="17" t="n">
        <x:v>235</x:v>
      </x:c>
      <x:c r="B239" s="17" t="str">
        <x:v>중구시설관리공단</x:v>
      </x:c>
      <x:c r="C239" s="17" t="str">
        <x:v>서울특별시</x:v>
      </x:c>
      <x:c r="D239" s="17" t="str">
        <x:v>사회서비스시설(보육) 기간제 보훈특별고용 채용 공고</x:v>
      </x:c>
      <x:c r="E239" s="17" t="str">
        <x:v>신입+경력</x:v>
      </x:c>
      <x:c r="F239" s="17" t="str">
        <x:v>기간제</x:v>
      </x:c>
      <x:c r="G239" s="17" t="str">
        <x:v>명시 없음(원문 확인)</x:v>
      </x:c>
      <x:c r="H239" s="17" t="str">
        <x:v>2026-09-01</x:v>
      </x:c>
      <x:c r="I239" s="17" t="str">
        <x:v>2026-09-11</x:v>
      </x:c>
      <x:c r="J239" s="17" t="str">
        <x:v>모집중</x:v>
      </x:c>
      <x:c r="K239" s="17" t="str">
        <x:v>제한경쟁·조건부</x:v>
      </x:c>
      <x:c r="L239" s="17" t="str">
        <x:v>조건 충족자만</x:v>
      </x:c>
      <x:c r="M239" s="17" t="str">
        <x:v>보훈 관련 제한경쟁</x:v>
      </x:c>
      <x:c r="N239" s="17" t="str">
        <x:v>기관 공고 원문 확인</x:v>
      </x:c>
      <x:c r="O239" s="17" t="str">
        <x:v>기관 공고 원문 확인</x:v>
      </x:c>
      <x:c r="P239" s="17" t="str">
        <x:v>기관 공고 원문 확인</x:v>
      </x:c>
      <x:c r="Q239" s="17" t="str">
        <x:v>기관 공고 원문 확인</x:v>
      </x:c>
      <x:c r="R239" s="17" t="str">
        <x:v>정상</x:v>
      </x:c>
      <x:c r="S239" s="18" t="str">
        <x:v>https://job.cleaneye.go.kr/user/ypRecruitment.do</x:v>
      </x:c>
      <x:c r="T239" s="1"/>
      <x:c r="U239" s="1"/>
      <x:c r="V239" s="1"/>
      <x:c r="W239" s="1"/>
      <x:c r="X239" s="1"/>
      <x:c r="Y239" s="1"/>
      <x:c r="Z239" s="1"/>
    </x:row>
    <x:row r="240" ht="50" customHeight="1">
      <x:c r="A240" s="17" t="n">
        <x:v>236</x:v>
      </x:c>
      <x:c r="B240" s="17" t="str">
        <x:v>중구시설관리공단</x:v>
      </x:c>
      <x:c r="C240" s="17" t="str">
        <x:v>서울특별시</x:v>
      </x:c>
      <x:c r="D240" s="17" t="str">
        <x:v>사회서비스시설(보육) 기간제 장애인근로자 채용 공고</x:v>
      </x:c>
      <x:c r="E240" s="17" t="str">
        <x:v>신입+경력</x:v>
      </x:c>
      <x:c r="F240" s="17" t="str">
        <x:v>기간제</x:v>
      </x:c>
      <x:c r="G240" s="17" t="str">
        <x:v>명시 없음(원문 확인)</x:v>
      </x:c>
      <x:c r="H240" s="17" t="str">
        <x:v>2026-09-01</x:v>
      </x:c>
      <x:c r="I240" s="17" t="str">
        <x:v>2026-09-11</x:v>
      </x:c>
      <x:c r="J240" s="17" t="str">
        <x:v>모집중</x:v>
      </x:c>
      <x:c r="K240" s="17" t="str">
        <x:v>기간제·비정규</x:v>
      </x:c>
      <x:c r="L240" s="17" t="str">
        <x:v>검토</x:v>
      </x:c>
      <x:c r="M240" s="17" t="str">
        <x:v>제한 문구 미탐지</x:v>
      </x:c>
      <x:c r="N240" s="17" t="str">
        <x:v>기관 공고 원문 확인</x:v>
      </x:c>
      <x:c r="O240" s="17" t="str">
        <x:v>기관 공고 원문 확인</x:v>
      </x:c>
      <x:c r="P240" s="17" t="str">
        <x:v>기관 공고 원문 확인</x:v>
      </x:c>
      <x:c r="Q240" s="17" t="str">
        <x:v>기관 공고 원문 확인</x:v>
      </x:c>
      <x:c r="R240" s="17" t="str">
        <x:v>정상</x:v>
      </x:c>
      <x:c r="S240" s="18" t="str">
        <x:v>https://job.cleaneye.go.kr/user/ypRecruitment.do</x:v>
      </x:c>
      <x:c r="T240" s="1"/>
      <x:c r="U240" s="1"/>
      <x:c r="V240" s="1"/>
      <x:c r="W240" s="1"/>
      <x:c r="X240" s="1"/>
      <x:c r="Y240" s="1"/>
      <x:c r="Z240" s="1"/>
    </x:row>
    <x:row r="241" ht="50" customHeight="1">
      <x:c r="A241" s="17" t="n">
        <x:v>237</x:v>
      </x:c>
      <x:c r="B241" s="17" t="str">
        <x:v>제주테크노파크</x:v>
      </x:c>
      <x:c r="C241" s="17" t="str">
        <x:v>제주특별자치도</x:v>
      </x:c>
      <x:c r="D241" s="17" t="str">
        <x:v>2026년도 제주특별자치도 제2회 공공기관 통합채용(제주테크노파크 2026년도 제4차 직원(정규직 전환형)) 공고</x:v>
      </x:c>
      <x:c r="E241" s="17" t="str">
        <x:v>신입+경력</x:v>
      </x:c>
      <x:c r="F241" s="17" t="str">
        <x:v>일반정규직</x:v>
      </x:c>
      <x:c r="G241" s="17" t="str">
        <x:v>명시 없음(원문 확인)</x:v>
      </x:c>
      <x:c r="H241" s="17" t="str">
        <x:v>2026-09-01</x:v>
      </x:c>
      <x:c r="I241" s="17" t="str">
        <x:v>2026-09-22</x:v>
      </x:c>
      <x:c r="J241" s="17" t="str">
        <x:v>모집중</x:v>
      </x:c>
      <x:c r="K241" s="17" t="str">
        <x:v>정규직(세부 확인)</x:v>
      </x:c>
      <x:c r="L241" s="17" t="str">
        <x:v>검토</x:v>
      </x:c>
      <x:c r="M241" s="17" t="str">
        <x:v>제한 문구 미탐지</x:v>
      </x:c>
      <x:c r="N241" s="17" t="str">
        <x:v>기관 공고 원문 확인</x:v>
      </x:c>
      <x:c r="O241" s="17" t="str">
        <x:v>기관 공고 원문 확인</x:v>
      </x:c>
      <x:c r="P241" s="17" t="str">
        <x:v>기관 공고 원문 확인</x:v>
      </x:c>
      <x:c r="Q241" s="17" t="str">
        <x:v>기관 공고 원문 확인</x:v>
      </x:c>
      <x:c r="R241" s="17" t="str">
        <x:v>정상</x:v>
      </x:c>
      <x:c r="S241" s="18" t="str">
        <x:v>https://job.cleaneye.go.kr/user/ypRecruitment.do</x:v>
      </x:c>
      <x:c r="T241" s="1"/>
      <x:c r="U241" s="1"/>
      <x:c r="V241" s="1"/>
      <x:c r="W241" s="1"/>
      <x:c r="X241" s="1"/>
      <x:c r="Y241" s="1"/>
      <x:c r="Z241" s="1"/>
    </x:row>
    <x:row r="242" ht="50" customHeight="1">
      <x:c r="A242" s="17" t="n">
        <x:v>238</x:v>
      </x:c>
      <x:c r="B242" s="17" t="str">
        <x:v>서울의료원</x:v>
      </x:c>
      <x:c r="C242" s="17" t="str">
        <x:v>서울특별시</x:v>
      </x:c>
      <x:c r="D242" s="17" t="str">
        <x:v>2026년 제44회 기간제근로자 연구원(공공보건의료지원단) 직원 모집 공고</x:v>
      </x:c>
      <x:c r="E242" s="17" t="str">
        <x:v>신입</x:v>
      </x:c>
      <x:c r="F242" s="17" t="str">
        <x:v>기간제</x:v>
      </x:c>
      <x:c r="G242" s="17" t="str">
        <x:v>명시 없음(원문 확인)</x:v>
      </x:c>
      <x:c r="H242" s="17" t="str">
        <x:v>2026-09-01</x:v>
      </x:c>
      <x:c r="I242" s="17" t="str">
        <x:v>2026-09-11</x:v>
      </x:c>
      <x:c r="J242" s="17" t="str">
        <x:v>모집중</x:v>
      </x:c>
      <x:c r="K242" s="17" t="str">
        <x:v>기간제·비정규</x:v>
      </x:c>
      <x:c r="L242" s="17" t="str">
        <x:v>검토</x:v>
      </x:c>
      <x:c r="M242" s="17" t="str">
        <x:v>제한 문구 미탐지</x:v>
      </x:c>
      <x:c r="N242" s="17" t="str">
        <x:v>기관 공고 원문 확인</x:v>
      </x:c>
      <x:c r="O242" s="17" t="str">
        <x:v>기관 공고 원문 확인</x:v>
      </x:c>
      <x:c r="P242" s="17" t="str">
        <x:v>기관 공고 원문 확인</x:v>
      </x:c>
      <x:c r="Q242" s="17" t="str">
        <x:v>기관 공고 원문 확인</x:v>
      </x:c>
      <x:c r="R242" s="17" t="str">
        <x:v>정상</x:v>
      </x:c>
      <x:c r="S242" s="18" t="str">
        <x:v>https://job.cleaneye.go.kr/user/ypRecruitment.do</x:v>
      </x:c>
      <x:c r="T242" s="1"/>
      <x:c r="U242" s="1"/>
      <x:c r="V242" s="1"/>
      <x:c r="W242" s="1"/>
      <x:c r="X242" s="1"/>
      <x:c r="Y242" s="1"/>
      <x:c r="Z242" s="1"/>
    </x:row>
    <x:row r="243" ht="50" customHeight="1">
      <x:c r="A243" s="17" t="n">
        <x:v>239</x:v>
      </x:c>
      <x:c r="B243" s="17" t="str">
        <x:v>세종특별자치시시설관리공단</x:v>
      </x:c>
      <x:c r="C243" s="17" t="str">
        <x:v>세종특별자치시</x:v>
      </x:c>
      <x:c r="D243" s="17" t="str">
        <x:v>2026년 세종특별자치시시설관리공단 제2기 임원(비상임이사) 공개모집 공고</x:v>
      </x:c>
      <x:c r="E243" s="17" t="str">
        <x:v>경력</x:v>
      </x:c>
      <x:c r="F243" s="17" t="str">
        <x:v>비상임</x:v>
      </x:c>
      <x:c r="G243" s="17" t="str">
        <x:v>명시 없음(원문 확인)</x:v>
      </x:c>
      <x:c r="H243" s="17" t="str">
        <x:v>2026-09-01</x:v>
      </x:c>
      <x:c r="I243" s="17" t="str">
        <x:v>2026-09-16</x:v>
      </x:c>
      <x:c r="J243" s="17" t="str">
        <x:v>모집중</x:v>
      </x:c>
      <x:c r="K243" s="17" t="str">
        <x:v>경력·전문직</x:v>
      </x:c>
      <x:c r="L243" s="17" t="str">
        <x:v>경력·전문 우선</x:v>
      </x:c>
      <x:c r="M243" s="17" t="str">
        <x:v>제한 문구 미탐지</x:v>
      </x:c>
      <x:c r="N243" s="17" t="str">
        <x:v>기관 공고 원문 확인</x:v>
      </x:c>
      <x:c r="O243" s="17" t="str">
        <x:v>기관 공고 원문 확인</x:v>
      </x:c>
      <x:c r="P243" s="17" t="str">
        <x:v>기관 공고 원문 확인</x:v>
      </x:c>
      <x:c r="Q243" s="17" t="str">
        <x:v>기관 공고 원문 확인</x:v>
      </x:c>
      <x:c r="R243" s="17" t="str">
        <x:v>정상</x:v>
      </x:c>
      <x:c r="S243" s="18" t="str">
        <x:v>https://job.cleaneye.go.kr/user/ypRecruitment.do</x:v>
      </x:c>
      <x:c r="T243" s="1"/>
      <x:c r="U243" s="1"/>
      <x:c r="V243" s="1"/>
      <x:c r="W243" s="1"/>
      <x:c r="X243" s="1"/>
      <x:c r="Y243" s="1"/>
      <x:c r="Z243" s="1"/>
    </x:row>
    <x:row r="244" ht="50" customHeight="1">
      <x:c r="A244" s="17" t="n">
        <x:v>240</x:v>
      </x:c>
      <x:c r="B244" s="17" t="str">
        <x:v>재단법인 전라남도중소기업일자리경제진흥원</x:v>
      </x:c>
      <x:c r="C244" s="17" t="str">
        <x:v>전남광주통합특별시</x:v>
      </x:c>
      <x:c r="D244" s="17" t="str">
        <x:v>2026년 제5차 계약직 직원 채용 재공고</x:v>
      </x:c>
      <x:c r="E244" s="17" t="str">
        <x:v>신입+경력</x:v>
      </x:c>
      <x:c r="F244" s="17" t="str">
        <x:v>일반계약직</x:v>
      </x:c>
      <x:c r="G244" s="17" t="str">
        <x:v>명시 없음(원문 확인)</x:v>
      </x:c>
      <x:c r="H244" s="17" t="str">
        <x:v>2026-09-01</x:v>
      </x:c>
      <x:c r="I244" s="17" t="str">
        <x:v>2026-09-09</x:v>
      </x:c>
      <x:c r="J244" s="17" t="str">
        <x:v>모집중</x:v>
      </x:c>
      <x:c r="K244" s="17" t="str">
        <x:v>기타 채용</x:v>
      </x:c>
      <x:c r="L244" s="17" t="str">
        <x:v>검토</x:v>
      </x:c>
      <x:c r="M244" s="17" t="str">
        <x:v>제한 문구 미탐지</x:v>
      </x:c>
      <x:c r="N244" s="17" t="str">
        <x:v>기관 공고 원문 확인</x:v>
      </x:c>
      <x:c r="O244" s="17" t="str">
        <x:v>기관 공고 원문 확인</x:v>
      </x:c>
      <x:c r="P244" s="17" t="str">
        <x:v>기관 공고 원문 확인</x:v>
      </x:c>
      <x:c r="Q244" s="17" t="str">
        <x:v>기관 공고 원문 확인</x:v>
      </x:c>
      <x:c r="R244" s="17" t="str">
        <x:v>정상</x:v>
      </x:c>
      <x:c r="S244" s="18" t="str">
        <x:v>https://job.cleaneye.go.kr/user/ypRecruitment.do</x:v>
      </x:c>
      <x:c r="T244" s="1"/>
      <x:c r="U244" s="1"/>
      <x:c r="V244" s="1"/>
      <x:c r="W244" s="1"/>
      <x:c r="X244" s="1"/>
      <x:c r="Y244" s="1"/>
      <x:c r="Z244" s="1"/>
    </x:row>
    <x:row r="245" ht="50" customHeight="1">
      <x:c r="A245" s="17" t="n">
        <x:v>241</x:v>
      </x:c>
      <x:c r="B245" s="17" t="str">
        <x:v>재단법인 전라남도중소기업일자리경제진흥원</x:v>
      </x:c>
      <x:c r="C245" s="17" t="str">
        <x:v>전남광주통합특별시</x:v>
      </x:c>
      <x:c r="D245" s="17" t="str">
        <x:v>2026년 제6차 계약직 직원 채용 공고</x:v>
      </x:c>
      <x:c r="E245" s="17" t="str">
        <x:v>신입+경력</x:v>
      </x:c>
      <x:c r="F245" s="17" t="str">
        <x:v>일반계약직</x:v>
      </x:c>
      <x:c r="G245" s="17" t="str">
        <x:v>명시 없음(원문 확인)</x:v>
      </x:c>
      <x:c r="H245" s="17" t="str">
        <x:v>2026-09-01</x:v>
      </x:c>
      <x:c r="I245" s="17" t="str">
        <x:v>2026-09-09</x:v>
      </x:c>
      <x:c r="J245" s="17" t="str">
        <x:v>모집중</x:v>
      </x:c>
      <x:c r="K245" s="17" t="str">
        <x:v>기타 채용</x:v>
      </x:c>
      <x:c r="L245" s="17" t="str">
        <x:v>검토</x:v>
      </x:c>
      <x:c r="M245" s="17" t="str">
        <x:v>제한 문구 미탐지</x:v>
      </x:c>
      <x:c r="N245" s="17" t="str">
        <x:v>기관 공고 원문 확인</x:v>
      </x:c>
      <x:c r="O245" s="17" t="str">
        <x:v>기관 공고 원문 확인</x:v>
      </x:c>
      <x:c r="P245" s="17" t="str">
        <x:v>기관 공고 원문 확인</x:v>
      </x:c>
      <x:c r="Q245" s="17" t="str">
        <x:v>기관 공고 원문 확인</x:v>
      </x:c>
      <x:c r="R245" s="17" t="str">
        <x:v>정상</x:v>
      </x:c>
      <x:c r="S245" s="18" t="str">
        <x:v>https://job.cleaneye.go.kr/user/ypRecruitment.do</x:v>
      </x:c>
      <x:c r="T245" s="1"/>
      <x:c r="U245" s="1"/>
      <x:c r="V245" s="1"/>
      <x:c r="W245" s="1"/>
      <x:c r="X245" s="1"/>
      <x:c r="Y245" s="1"/>
      <x:c r="Z245" s="1"/>
    </x:row>
    <x:row r="246" ht="50" customHeight="1">
      <x:c r="A246" s="17" t="n">
        <x:v>242</x:v>
      </x:c>
      <x:c r="B246" s="17" t="str">
        <x:v>부산정보산업진흥원</x:v>
      </x:c>
      <x:c r="C246" s="17" t="str">
        <x:v>부산광역시</x:v>
      </x:c>
      <x:c r="D246" s="17" t="str">
        <x:v>재)부산정보산업진흥원 2026년 4차 계약직(일반(5급 육휴대체)) 채용 공고</x:v>
      </x:c>
      <x:c r="E246" s="17" t="str">
        <x:v>신입+경력</x:v>
      </x:c>
      <x:c r="F246" s="17" t="str">
        <x:v>일반계약직</x:v>
      </x:c>
      <x:c r="G246" s="17" t="str">
        <x:v>명시 없음(원문 확인)</x:v>
      </x:c>
      <x:c r="H246" s="17" t="str">
        <x:v>2026-09-01</x:v>
      </x:c>
      <x:c r="I246" s="17" t="str">
        <x:v>2026-09-14</x:v>
      </x:c>
      <x:c r="J246" s="17" t="str">
        <x:v>모집중</x:v>
      </x:c>
      <x:c r="K246" s="17" t="str">
        <x:v>기타 채용</x:v>
      </x:c>
      <x:c r="L246" s="17" t="str">
        <x:v>검토</x:v>
      </x:c>
      <x:c r="M246" s="17" t="str">
        <x:v>제한 문구 미탐지</x:v>
      </x:c>
      <x:c r="N246" s="17" t="str">
        <x:v>기관 공고 원문 확인</x:v>
      </x:c>
      <x:c r="O246" s="17" t="str">
        <x:v>기관 공고 원문 확인</x:v>
      </x:c>
      <x:c r="P246" s="17" t="str">
        <x:v>기관 공고 원문 확인</x:v>
      </x:c>
      <x:c r="Q246" s="17" t="str">
        <x:v>기관 공고 원문 확인</x:v>
      </x:c>
      <x:c r="R246" s="17" t="str">
        <x:v>정상</x:v>
      </x:c>
      <x:c r="S246" s="18" t="str">
        <x:v>https://job.cleaneye.go.kr/user/ypRecruitment.do</x:v>
      </x:c>
      <x:c r="T246" s="1"/>
      <x:c r="U246" s="1"/>
      <x:c r="V246" s="1"/>
      <x:c r="W246" s="1"/>
      <x:c r="X246" s="1"/>
      <x:c r="Y246" s="1"/>
      <x:c r="Z246" s="1"/>
    </x:row>
    <x:row r="247" ht="50" customHeight="1">
      <x:c r="A247" s="17" t="n">
        <x:v>243</x:v>
      </x:c>
      <x:c r="B247" s="17" t="str">
        <x:v>충남테크노파크</x:v>
      </x:c>
      <x:c r="C247" s="17" t="str">
        <x:v>충청남도</x:v>
      </x:c>
      <x:c r="D247" s="17" t="str">
        <x:v>2026년 충남테크노파크 제3차 직원(계약직) 채용 공고</x:v>
      </x:c>
      <x:c r="E247" s="17" t="str">
        <x:v>신입+경력</x:v>
      </x:c>
      <x:c r="F247" s="17" t="str">
        <x:v>기간제</x:v>
      </x:c>
      <x:c r="G247" s="17" t="str">
        <x:v>명시 없음(원문 확인)</x:v>
      </x:c>
      <x:c r="H247" s="17" t="str">
        <x:v>2026-09-01</x:v>
      </x:c>
      <x:c r="I247" s="17" t="str">
        <x:v>2026-09-10</x:v>
      </x:c>
      <x:c r="J247" s="17" t="str">
        <x:v>모집중</x:v>
      </x:c>
      <x:c r="K247" s="17" t="str">
        <x:v>기간제·비정규</x:v>
      </x:c>
      <x:c r="L247" s="17" t="str">
        <x:v>검토</x:v>
      </x:c>
      <x:c r="M247" s="17" t="str">
        <x:v>제한 문구 미탐지</x:v>
      </x:c>
      <x:c r="N247" s="17" t="str">
        <x:v>기관 공고 원문 확인</x:v>
      </x:c>
      <x:c r="O247" s="17" t="str">
        <x:v>기관 공고 원문 확인</x:v>
      </x:c>
      <x:c r="P247" s="17" t="str">
        <x:v>기관 공고 원문 확인</x:v>
      </x:c>
      <x:c r="Q247" s="17" t="str">
        <x:v>기관 공고 원문 확인</x:v>
      </x:c>
      <x:c r="R247" s="17" t="str">
        <x:v>정상</x:v>
      </x:c>
      <x:c r="S247" s="18" t="str">
        <x:v>https://job.cleaneye.go.kr/user/ypRecruitment.do</x:v>
      </x:c>
      <x:c r="T247" s="1"/>
      <x:c r="U247" s="1"/>
      <x:c r="V247" s="1"/>
      <x:c r="W247" s="1"/>
      <x:c r="X247" s="1"/>
      <x:c r="Y247" s="1"/>
      <x:c r="Z247" s="1"/>
    </x:row>
    <x:row r="248" ht="50" customHeight="1">
      <x:c r="A248" s="17" t="n">
        <x:v>244</x:v>
      </x:c>
      <x:c r="B248" s="17" t="str">
        <x:v>중랑구시설관리공단</x:v>
      </x:c>
      <x:c r="C248" s="17" t="str">
        <x:v>서울특별시</x:v>
      </x:c>
      <x:c r="D248" s="17" t="str">
        <x:v>[중랑스포츠클라이밍경기장] 클라이밍 강습 시간강사 채용공고</x:v>
      </x:c>
      <x:c r="E248" s="17" t="str">
        <x:v>신입+경력</x:v>
      </x:c>
      <x:c r="F248" s="17" t="str">
        <x:v>기간제</x:v>
      </x:c>
      <x:c r="G248" s="17" t="str">
        <x:v>명시 없음(원문 확인)</x:v>
      </x:c>
      <x:c r="H248" s="17" t="str">
        <x:v>2026-09-01</x:v>
      </x:c>
      <x:c r="I248" s="17" t="str">
        <x:v>2026-09-11</x:v>
      </x:c>
      <x:c r="J248" s="17" t="str">
        <x:v>모집중</x:v>
      </x:c>
      <x:c r="K248" s="17" t="str">
        <x:v>기간제·비정규</x:v>
      </x:c>
      <x:c r="L248" s="17" t="str">
        <x:v>검토</x:v>
      </x:c>
      <x:c r="M248" s="17" t="str">
        <x:v>제한 문구 미탐지</x:v>
      </x:c>
      <x:c r="N248" s="17" t="str">
        <x:v>기관 공고 원문 확인</x:v>
      </x:c>
      <x:c r="O248" s="17" t="str">
        <x:v>기관 공고 원문 확인</x:v>
      </x:c>
      <x:c r="P248" s="17" t="str">
        <x:v>기관 공고 원문 확인</x:v>
      </x:c>
      <x:c r="Q248" s="17" t="str">
        <x:v>기관 공고 원문 확인</x:v>
      </x:c>
      <x:c r="R248" s="17" t="str">
        <x:v>정상</x:v>
      </x:c>
      <x:c r="S248" s="18" t="str">
        <x:v>https://job.cleaneye.go.kr/user/ypRecruitment.do</x:v>
      </x:c>
      <x:c r="T248" s="1"/>
      <x:c r="U248" s="1"/>
      <x:c r="V248" s="1"/>
      <x:c r="W248" s="1"/>
      <x:c r="X248" s="1"/>
      <x:c r="Y248" s="1"/>
      <x:c r="Z248" s="1"/>
    </x:row>
    <x:row r="249" ht="50" customHeight="1">
      <x:c r="A249" s="17" t="n">
        <x:v>245</x:v>
      </x:c>
      <x:c r="B249" s="17" t="str">
        <x:v>재단법인 춘천지역먹거리통합지원센터</x:v>
      </x:c>
      <x:c r="C249" s="17" t="str">
        <x:v>강원특별자치도</x:v>
      </x:c>
      <x:c r="D249" s="17" t="str">
        <x:v>2026년 제8회 직원(육아휴직 대체인력/행정지원) 채용 공고</x:v>
      </x:c>
      <x:c r="E249" s="17" t="str">
        <x:v>신입</x:v>
      </x:c>
      <x:c r="F249" s="17" t="str">
        <x:v>기간제</x:v>
      </x:c>
      <x:c r="G249" s="17" t="str">
        <x:v>명시 없음(원문 확인)</x:v>
      </x:c>
      <x:c r="H249" s="17" t="str">
        <x:v>2026-09-01</x:v>
      </x:c>
      <x:c r="I249" s="17" t="str">
        <x:v>2026-09-11</x:v>
      </x:c>
      <x:c r="J249" s="17" t="str">
        <x:v>모집중</x:v>
      </x:c>
      <x:c r="K249" s="17" t="str">
        <x:v>기간제·비정규</x:v>
      </x:c>
      <x:c r="L249" s="17" t="str">
        <x:v>검토</x:v>
      </x:c>
      <x:c r="M249" s="17" t="str">
        <x:v>제한 문구 미탐지</x:v>
      </x:c>
      <x:c r="N249" s="17" t="str">
        <x:v>기관 공고 원문 확인</x:v>
      </x:c>
      <x:c r="O249" s="17" t="str">
        <x:v>기관 공고 원문 확인</x:v>
      </x:c>
      <x:c r="P249" s="17" t="str">
        <x:v>기관 공고 원문 확인</x:v>
      </x:c>
      <x:c r="Q249" s="17" t="str">
        <x:v>기관 공고 원문 확인</x:v>
      </x:c>
      <x:c r="R249" s="17" t="str">
        <x:v>정상</x:v>
      </x:c>
      <x:c r="S249" s="18" t="str">
        <x:v>https://job.cleaneye.go.kr/user/ypRecruitment.do</x:v>
      </x:c>
      <x:c r="T249" s="1"/>
      <x:c r="U249" s="1"/>
      <x:c r="V249" s="1"/>
      <x:c r="W249" s="1"/>
      <x:c r="X249" s="1"/>
      <x:c r="Y249" s="1"/>
      <x:c r="Z249" s="1"/>
    </x:row>
    <x:row r="250" ht="50" customHeight="1">
      <x:c r="A250" s="17" t="n">
        <x:v>246</x:v>
      </x:c>
      <x:c r="B250" s="17" t="str">
        <x:v>제주특별자치도경제통상진흥원</x:v>
      </x:c>
      <x:c r="C250" s="17" t="str">
        <x:v>제주특별자치도</x:v>
      </x:c>
      <x:c r="D250" s="17" t="str">
        <x:v>2026년 제3회 제주특별자치 공공기관 통합채용 제주특별자치도경제통상진흥원 정규직원 채용 공고</x:v>
      </x:c>
      <x:c r="E250" s="17" t="str">
        <x:v>신입+경력</x:v>
      </x:c>
      <x:c r="F250" s="17" t="str">
        <x:v>무기계약직</x:v>
      </x:c>
      <x:c r="G250" s="17" t="str">
        <x:v>제주특별자치도</x:v>
      </x:c>
      <x:c r="H250" s="17" t="str">
        <x:v>2026-09-01</x:v>
      </x:c>
      <x:c r="I250" s="17" t="str">
        <x:v>2026-09-22</x:v>
      </x:c>
      <x:c r="J250" s="17" t="str">
        <x:v>모집중</x:v>
      </x:c>
      <x:c r="K250" s="17" t="str">
        <x:v>무기계약·공무직</x:v>
      </x:c>
      <x:c r="L250" s="17" t="str">
        <x:v>검토</x:v>
      </x:c>
      <x:c r="M250" s="17" t="str">
        <x:v>제한 문구 미탐지</x:v>
      </x:c>
      <x:c r="N250" s="17" t="str">
        <x:v>기관 공고 원문 확인</x:v>
      </x:c>
      <x:c r="O250" s="17" t="str">
        <x:v>기관 공고 원문 확인</x:v>
      </x:c>
      <x:c r="P250" s="17" t="str">
        <x:v>기관 공고 원문 확인</x:v>
      </x:c>
      <x:c r="Q250" s="17" t="str">
        <x:v>기관 공고 원문 확인</x:v>
      </x:c>
      <x:c r="R250" s="17" t="str">
        <x:v>정상</x:v>
      </x:c>
      <x:c r="S250" s="18" t="str">
        <x:v>https://job.cleaneye.go.kr/user/ypRecruitment.do</x:v>
      </x:c>
      <x:c r="T250" s="1"/>
      <x:c r="U250" s="1"/>
      <x:c r="V250" s="1"/>
      <x:c r="W250" s="1"/>
      <x:c r="X250" s="1"/>
      <x:c r="Y250" s="1"/>
      <x:c r="Z250" s="1"/>
    </x:row>
    <x:row r="251" ht="50" customHeight="1">
      <x:c r="A251" s="17" t="n">
        <x:v>247</x:v>
      </x:c>
      <x:c r="B251" s="17" t="str">
        <x:v>목포시의료원</x:v>
      </x:c>
      <x:c r="C251" s="17" t="str">
        <x:v>전남광주통합특별시</x:v>
      </x:c>
      <x:c r="D251" s="17" t="str">
        <x:v>제2026-84호직원 채용 재 공고(전산원)</x:v>
      </x:c>
      <x:c r="E251" s="17" t="str">
        <x:v>신입+경력</x:v>
      </x:c>
      <x:c r="F251" s="17" t="str">
        <x:v>기간제</x:v>
      </x:c>
      <x:c r="G251" s="17" t="str">
        <x:v>명시 없음(원문 확인)</x:v>
      </x:c>
      <x:c r="H251" s="17" t="str">
        <x:v>2026-09-01</x:v>
      </x:c>
      <x:c r="I251" s="17" t="str">
        <x:v>2026-09-10</x:v>
      </x:c>
      <x:c r="J251" s="17" t="str">
        <x:v>모집중</x:v>
      </x:c>
      <x:c r="K251" s="17" t="str">
        <x:v>기간제·비정규</x:v>
      </x:c>
      <x:c r="L251" s="17" t="str">
        <x:v>검토</x:v>
      </x:c>
      <x:c r="M251" s="17" t="str">
        <x:v>제한 문구 미탐지</x:v>
      </x:c>
      <x:c r="N251" s="17" t="str">
        <x:v>기관 공고 원문 확인</x:v>
      </x:c>
      <x:c r="O251" s="17" t="str">
        <x:v>기관 공고 원문 확인</x:v>
      </x:c>
      <x:c r="P251" s="17" t="str">
        <x:v>기관 공고 원문 확인</x:v>
      </x:c>
      <x:c r="Q251" s="17" t="str">
        <x:v>기관 공고 원문 확인</x:v>
      </x:c>
      <x:c r="R251" s="17" t="str">
        <x:v>정상</x:v>
      </x:c>
      <x:c r="S251" s="18" t="str">
        <x:v>https://job.cleaneye.go.kr/user/ypRecruitment.do</x:v>
      </x:c>
      <x:c r="T251" s="1"/>
      <x:c r="U251" s="1"/>
      <x:c r="V251" s="1"/>
      <x:c r="W251" s="1"/>
      <x:c r="X251" s="1"/>
      <x:c r="Y251" s="1"/>
      <x:c r="Z251" s="1"/>
    </x:row>
    <x:row r="252" ht="50" customHeight="1">
      <x:c r="A252" s="17" t="n">
        <x:v>248</x:v>
      </x:c>
      <x:c r="B252" s="17" t="str">
        <x:v>세종특별자치시시설관리공단</x:v>
      </x:c>
      <x:c r="C252" s="17" t="str">
        <x:v>세종특별자치시</x:v>
      </x:c>
      <x:c r="D252" s="17" t="str">
        <x:v>2026년 세종특별자치시시설관리공단 제1기 임원(이사장, 비상임이사) 공개모집 공고</x:v>
      </x:c>
      <x:c r="E252" s="17" t="str">
        <x:v>경력</x:v>
      </x:c>
      <x:c r="F252" s="17" t="str">
        <x:v>전문계약직</x:v>
      </x:c>
      <x:c r="G252" s="17" t="str">
        <x:v>명시 없음(원문 확인)</x:v>
      </x:c>
      <x:c r="H252" s="17" t="str">
        <x:v>2026-09-01</x:v>
      </x:c>
      <x:c r="I252" s="17" t="str">
        <x:v>2026-09-16</x:v>
      </x:c>
      <x:c r="J252" s="17" t="str">
        <x:v>모집중</x:v>
      </x:c>
      <x:c r="K252" s="17" t="str">
        <x:v>경력·전문직</x:v>
      </x:c>
      <x:c r="L252" s="17" t="str">
        <x:v>경력·전문 우선</x:v>
      </x:c>
      <x:c r="M252" s="17" t="str">
        <x:v>제한 문구 미탐지</x:v>
      </x:c>
      <x:c r="N252" s="17" t="str">
        <x:v>기관 공고 원문 확인</x:v>
      </x:c>
      <x:c r="O252" s="17" t="str">
        <x:v>기관 공고 원문 확인</x:v>
      </x:c>
      <x:c r="P252" s="17" t="str">
        <x:v>기관 공고 원문 확인</x:v>
      </x:c>
      <x:c r="Q252" s="17" t="str">
        <x:v>기관 공고 원문 확인</x:v>
      </x:c>
      <x:c r="R252" s="17" t="str">
        <x:v>정상</x:v>
      </x:c>
      <x:c r="S252" s="18" t="str">
        <x:v>https://job.cleaneye.go.kr/user/ypRecruitment.do</x:v>
      </x:c>
      <x:c r="T252" s="1"/>
      <x:c r="U252" s="1"/>
      <x:c r="V252" s="1"/>
      <x:c r="W252" s="1"/>
      <x:c r="X252" s="1"/>
      <x:c r="Y252" s="1"/>
      <x:c r="Z252" s="1"/>
    </x:row>
    <x:row r="253" ht="50" customHeight="1">
      <x:c r="A253" s="17" t="n">
        <x:v>249</x:v>
      </x:c>
      <x:c r="B253" s="17" t="str">
        <x:v>강원특별자치도원주의료원</x:v>
      </x:c>
      <x:c r="C253" s="17" t="str">
        <x:v>강원특별자치도</x:v>
      </x:c>
      <x:c r="D253" s="17" t="str">
        <x:v>원주의료원 신규직원(간호직 7급_간호사, 보건직 8급 임상병리사) 채용공고</x:v>
      </x:c>
      <x:c r="E253" s="17" t="str">
        <x:v>신입+경력</x:v>
      </x:c>
      <x:c r="F253" s="17" t="str">
        <x:v>일반정규직</x:v>
      </x:c>
      <x:c r="G253" s="17" t="str">
        <x:v>명시 없음(원문 확인)</x:v>
      </x:c>
      <x:c r="H253" s="17" t="str">
        <x:v>2026-09-01</x:v>
      </x:c>
      <x:c r="I253" s="17" t="str">
        <x:v>2026-09-11</x:v>
      </x:c>
      <x:c r="J253" s="17" t="str">
        <x:v>모집중</x:v>
      </x:c>
      <x:c r="K253" s="17" t="str">
        <x:v>경력·전문직</x:v>
      </x:c>
      <x:c r="L253" s="17" t="str">
        <x:v>경력·전문 우선</x:v>
      </x:c>
      <x:c r="M253" s="17" t="str">
        <x:v>제한 문구 미탐지</x:v>
      </x:c>
      <x:c r="N253" s="17" t="str">
        <x:v>기관 공고 원문 확인</x:v>
      </x:c>
      <x:c r="O253" s="17" t="str">
        <x:v>기관 공고 원문 확인</x:v>
      </x:c>
      <x:c r="P253" s="17" t="str">
        <x:v>기관 공고 원문 확인</x:v>
      </x:c>
      <x:c r="Q253" s="17" t="str">
        <x:v>기관 공고 원문 확인</x:v>
      </x:c>
      <x:c r="R253" s="17" t="str">
        <x:v>정상</x:v>
      </x:c>
      <x:c r="S253" s="18" t="str">
        <x:v>https://job.cleaneye.go.kr/user/ypRecruitment.do</x:v>
      </x:c>
      <x:c r="T253" s="1"/>
      <x:c r="U253" s="1"/>
      <x:c r="V253" s="1"/>
      <x:c r="W253" s="1"/>
      <x:c r="X253" s="1"/>
      <x:c r="Y253" s="1"/>
      <x:c r="Z253" s="1"/>
    </x:row>
    <x:row r="254" ht="50" customHeight="1">
      <x:c r="A254" s="17" t="n">
        <x:v>250</x:v>
      </x:c>
      <x:c r="B254" s="17" t="str">
        <x:v>전북특별자치도 남원의료원</x:v>
      </x:c>
      <x:c r="C254" s="17" t="str">
        <x:v>전북특별자치도</x:v>
      </x:c>
      <x:c r="D254" s="17" t="str">
        <x:v>전북특별자치도 남원의료원 조리운영(시설관리직 8급) 채용시험 재공고</x:v>
      </x:c>
      <x:c r="E254" s="17" t="str">
        <x:v>신입+경력</x:v>
      </x:c>
      <x:c r="F254" s="17" t="str">
        <x:v>일반정규직</x:v>
      </x:c>
      <x:c r="G254" s="17" t="str">
        <x:v>명시 없음(원문 확인)</x:v>
      </x:c>
      <x:c r="H254" s="17" t="str">
        <x:v>2026-09-01</x:v>
      </x:c>
      <x:c r="I254" s="17" t="str">
        <x:v>2026-09-11</x:v>
      </x:c>
      <x:c r="J254" s="17" t="str">
        <x:v>모집중</x:v>
      </x:c>
      <x:c r="K254" s="17" t="str">
        <x:v>정규직(세부 확인)</x:v>
      </x:c>
      <x:c r="L254" s="17" t="str">
        <x:v>검토</x:v>
      </x:c>
      <x:c r="M254" s="17" t="str">
        <x:v>제한 문구 미탐지</x:v>
      </x:c>
      <x:c r="N254" s="17" t="str">
        <x:v>기관 공고 원문 확인</x:v>
      </x:c>
      <x:c r="O254" s="17" t="str">
        <x:v>기관 공고 원문 확인</x:v>
      </x:c>
      <x:c r="P254" s="17" t="str">
        <x:v>기관 공고 원문 확인</x:v>
      </x:c>
      <x:c r="Q254" s="17" t="str">
        <x:v>기관 공고 원문 확인</x:v>
      </x:c>
      <x:c r="R254" s="17" t="str">
        <x:v>정상</x:v>
      </x:c>
      <x:c r="S254" s="18" t="str">
        <x:v>https://job.cleaneye.go.kr/user/ypRecruitment.do</x:v>
      </x:c>
      <x:c r="T254" s="1"/>
      <x:c r="U254" s="1"/>
      <x:c r="V254" s="1"/>
      <x:c r="W254" s="1"/>
      <x:c r="X254" s="1"/>
      <x:c r="Y254" s="1"/>
      <x:c r="Z254" s="1"/>
    </x:row>
    <x:row r="255" ht="50" customHeight="1">
      <x:c r="A255" s="17" t="n">
        <x:v>251</x:v>
      </x:c>
      <x:c r="B255" s="17" t="str">
        <x:v>전북특별자치도 남원의료원</x:v>
      </x:c>
      <x:c r="C255" s="17" t="str">
        <x:v>전북특별자치도</x:v>
      </x:c>
      <x:c r="D255" s="17" t="str">
        <x:v>전북특별자치도 남원의료원 방사선사(기간제) 육아휴직 대체인력 채용시험 공고</x:v>
      </x:c>
      <x:c r="E255" s="17" t="str">
        <x:v>신입+경력</x:v>
      </x:c>
      <x:c r="F255" s="17" t="str">
        <x:v>기간제</x:v>
      </x:c>
      <x:c r="G255" s="17" t="str">
        <x:v>명시 없음(원문 확인)</x:v>
      </x:c>
      <x:c r="H255" s="17" t="str">
        <x:v>2026-09-01</x:v>
      </x:c>
      <x:c r="I255" s="17" t="str">
        <x:v>2026-09-11</x:v>
      </x:c>
      <x:c r="J255" s="17" t="str">
        <x:v>모집중</x:v>
      </x:c>
      <x:c r="K255" s="17" t="str">
        <x:v>기간제·비정규</x:v>
      </x:c>
      <x:c r="L255" s="17" t="str">
        <x:v>검토</x:v>
      </x:c>
      <x:c r="M255" s="17" t="str">
        <x:v>제한 문구 미탐지</x:v>
      </x:c>
      <x:c r="N255" s="17" t="str">
        <x:v>기관 공고 원문 확인</x:v>
      </x:c>
      <x:c r="O255" s="17" t="str">
        <x:v>기관 공고 원문 확인</x:v>
      </x:c>
      <x:c r="P255" s="17" t="str">
        <x:v>기관 공고 원문 확인</x:v>
      </x:c>
      <x:c r="Q255" s="17" t="str">
        <x:v>기관 공고 원문 확인</x:v>
      </x:c>
      <x:c r="R255" s="17" t="str">
        <x:v>정상</x:v>
      </x:c>
      <x:c r="S255" s="18" t="str">
        <x:v>https://job.cleaneye.go.kr/user/ypRecruitment.do</x:v>
      </x:c>
      <x:c r="T255" s="1"/>
      <x:c r="U255" s="1"/>
      <x:c r="V255" s="1"/>
      <x:c r="W255" s="1"/>
      <x:c r="X255" s="1"/>
      <x:c r="Y255" s="1"/>
      <x:c r="Z255" s="1"/>
    </x:row>
    <x:row r="256" ht="50" customHeight="1">
      <x:c r="A256" s="17" t="n">
        <x:v>252</x:v>
      </x:c>
      <x:c r="B256" s="17" t="str">
        <x:v>부산정보산업진흥원</x:v>
      </x:c>
      <x:c r="C256" s="17" t="str">
        <x:v>부산광역시</x:v>
      </x:c>
      <x:c r="D256" s="17" t="str">
        <x:v>(재)부산정보산업진흥원 2026년 4차 계약직(일반(4급,5급)) 공고</x:v>
      </x:c>
      <x:c r="E256" s="17" t="str">
        <x:v>신입+경력</x:v>
      </x:c>
      <x:c r="F256" s="17" t="str">
        <x:v>일반계약직</x:v>
      </x:c>
      <x:c r="G256" s="17" t="str">
        <x:v>명시 없음(원문 확인)</x:v>
      </x:c>
      <x:c r="H256" s="17" t="str">
        <x:v>2026-09-01</x:v>
      </x:c>
      <x:c r="I256" s="17" t="str">
        <x:v>2026-09-14</x:v>
      </x:c>
      <x:c r="J256" s="17" t="str">
        <x:v>모집중</x:v>
      </x:c>
      <x:c r="K256" s="17" t="str">
        <x:v>기타 채용</x:v>
      </x:c>
      <x:c r="L256" s="17" t="str">
        <x:v>검토</x:v>
      </x:c>
      <x:c r="M256" s="17" t="str">
        <x:v>제한 문구 미탐지</x:v>
      </x:c>
      <x:c r="N256" s="17" t="str">
        <x:v>기관 공고 원문 확인</x:v>
      </x:c>
      <x:c r="O256" s="17" t="str">
        <x:v>기관 공고 원문 확인</x:v>
      </x:c>
      <x:c r="P256" s="17" t="str">
        <x:v>기관 공고 원문 확인</x:v>
      </x:c>
      <x:c r="Q256" s="17" t="str">
        <x:v>기관 공고 원문 확인</x:v>
      </x:c>
      <x:c r="R256" s="17" t="str">
        <x:v>정상</x:v>
      </x:c>
      <x:c r="S256" s="18" t="str">
        <x:v>https://job.cleaneye.go.kr/user/ypRecruitment.do</x:v>
      </x:c>
      <x:c r="T256" s="1"/>
      <x:c r="U256" s="1"/>
      <x:c r="V256" s="1"/>
      <x:c r="W256" s="1"/>
      <x:c r="X256" s="1"/>
      <x:c r="Y256" s="1"/>
      <x:c r="Z256" s="1"/>
    </x:row>
    <x:row r="257" ht="50" customHeight="1">
      <x:c r="A257" s="17" t="n">
        <x:v>253</x:v>
      </x:c>
      <x:c r="B257" s="17" t="str">
        <x:v>대전광역시시설관리공단</x:v>
      </x:c>
      <x:c r="C257" s="17" t="str">
        <x:v>대전광역시</x:v>
      </x:c>
      <x:c r="D257" s="17" t="str">
        <x:v>대전추모공원 기간제근로자(취사인부) 채용 공고</x:v>
      </x:c>
      <x:c r="E257" s="17" t="str">
        <x:v>신입</x:v>
      </x:c>
      <x:c r="F257" s="17" t="str">
        <x:v>기간제</x:v>
      </x:c>
      <x:c r="G257" s="17" t="str">
        <x:v>대전광역시 서구 괴곡동</x:v>
      </x:c>
      <x:c r="H257" s="17" t="str">
        <x:v>2026-09-01</x:v>
      </x:c>
      <x:c r="I257" s="17" t="str">
        <x:v>2026-09-11</x:v>
      </x:c>
      <x:c r="J257" s="17" t="str">
        <x:v>모집중</x:v>
      </x:c>
      <x:c r="K257" s="17" t="str">
        <x:v>기간제·비정규</x:v>
      </x:c>
      <x:c r="L257" s="17" t="str">
        <x:v>검토</x:v>
      </x:c>
      <x:c r="M257" s="17" t="str">
        <x:v>제한 문구 미탐지</x:v>
      </x:c>
      <x:c r="N257" s="17" t="str">
        <x:v>기관 공고 원문 확인</x:v>
      </x:c>
      <x:c r="O257" s="17" t="str">
        <x:v>기관 공고 원문 확인</x:v>
      </x:c>
      <x:c r="P257" s="17" t="str">
        <x:v>기관 공고 원문 확인</x:v>
      </x:c>
      <x:c r="Q257" s="17" t="str">
        <x:v>기관 공고 원문 확인</x:v>
      </x:c>
      <x:c r="R257" s="17" t="str">
        <x:v>정상</x:v>
      </x:c>
      <x:c r="S257" s="18" t="str">
        <x:v>https://job.cleaneye.go.kr/user/ypRecruitment.do</x:v>
      </x:c>
      <x:c r="T257" s="1"/>
      <x:c r="U257" s="1"/>
      <x:c r="V257" s="1"/>
      <x:c r="W257" s="1"/>
      <x:c r="X257" s="1"/>
      <x:c r="Y257" s="1"/>
      <x:c r="Z257" s="1"/>
    </x:row>
    <x:row r="258" ht="50" customHeight="1">
      <x:c r="A258" s="17" t="n">
        <x:v>254</x:v>
      </x:c>
      <x:c r="B258" s="17" t="str">
        <x:v>전남광주통합특별시북구시설관리공단</x:v>
      </x:c>
      <x:c r="C258" s="17" t="str"/>
      <x:c r="D258" s="17" t="str">
        <x:v>전남광주통합특별시북구시설관리공단 임원(이사장,비상임이사) 공개모집 공고</x:v>
      </x:c>
      <x:c r="E258" s="17" t="str">
        <x:v>경력</x:v>
      </x:c>
      <x:c r="F258" s="17" t="str">
        <x:v>전문계약직</x:v>
      </x:c>
      <x:c r="G258" s="17" t="str">
        <x:v>명시 없음(원문 확인)</x:v>
      </x:c>
      <x:c r="H258" s="17" t="str">
        <x:v>2026-09-01</x:v>
      </x:c>
      <x:c r="I258" s="17" t="str">
        <x:v>2026-09-16</x:v>
      </x:c>
      <x:c r="J258" s="17" t="str">
        <x:v>모집중</x:v>
      </x:c>
      <x:c r="K258" s="17" t="str">
        <x:v>경력·전문직</x:v>
      </x:c>
      <x:c r="L258" s="17" t="str">
        <x:v>경력·전문 우선</x:v>
      </x:c>
      <x:c r="M258" s="17" t="str">
        <x:v>제한 문구 미탐지</x:v>
      </x:c>
      <x:c r="N258" s="17" t="str">
        <x:v>기관 공고 원문 확인</x:v>
      </x:c>
      <x:c r="O258" s="17" t="str">
        <x:v>기관 공고 원문 확인</x:v>
      </x:c>
      <x:c r="P258" s="17" t="str">
        <x:v>기관 공고 원문 확인</x:v>
      </x:c>
      <x:c r="Q258" s="17" t="str">
        <x:v>기관 공고 원문 확인</x:v>
      </x:c>
      <x:c r="R258" s="17" t="str">
        <x:v>정상</x:v>
      </x:c>
      <x:c r="S258" s="18" t="str">
        <x:v>https://job.cleaneye.go.kr/user/ypRecruitment.do</x:v>
      </x:c>
      <x:c r="T258" s="1"/>
      <x:c r="U258" s="1"/>
      <x:c r="V258" s="1"/>
      <x:c r="W258" s="1"/>
      <x:c r="X258" s="1"/>
      <x:c r="Y258" s="1"/>
      <x:c r="Z258" s="1"/>
    </x:row>
    <x:row r="259" ht="50" customHeight="1">
      <x:c r="A259" s="17" t="n">
        <x:v>255</x:v>
      </x:c>
      <x:c r="B259" s="17" t="str">
        <x:v>평택복지재단</x:v>
      </x:c>
      <x:c r="C259" s="17" t="str">
        <x:v>경기도</x:v>
      </x:c>
      <x:c r="D259" s="17" t="str">
        <x:v>평택복지재단 임원(선임직이사 2명) 공개모집 공고</x:v>
      </x:c>
      <x:c r="E259" s="17" t="str">
        <x:v>신입+경력</x:v>
      </x:c>
      <x:c r="F259" s="17" t="str">
        <x:v>비상임</x:v>
      </x:c>
      <x:c r="G259" s="17" t="str">
        <x:v>명시 없음(원문 확인)</x:v>
      </x:c>
      <x:c r="H259" s="17" t="str">
        <x:v>2026-09-01</x:v>
      </x:c>
      <x:c r="I259" s="17" t="str">
        <x:v>2026-09-16</x:v>
      </x:c>
      <x:c r="J259" s="17" t="str">
        <x:v>모집중</x:v>
      </x:c>
      <x:c r="K259" s="17" t="str">
        <x:v>경력·전문직</x:v>
      </x:c>
      <x:c r="L259" s="17" t="str">
        <x:v>경력·전문 우선</x:v>
      </x:c>
      <x:c r="M259" s="17" t="str">
        <x:v>제한 문구 미탐지</x:v>
      </x:c>
      <x:c r="N259" s="17" t="str">
        <x:v>기관 공고 원문 확인</x:v>
      </x:c>
      <x:c r="O259" s="17" t="str">
        <x:v>기관 공고 원문 확인</x:v>
      </x:c>
      <x:c r="P259" s="17" t="str">
        <x:v>기관 공고 원문 확인</x:v>
      </x:c>
      <x:c r="Q259" s="17" t="str">
        <x:v>기관 공고 원문 확인</x:v>
      </x:c>
      <x:c r="R259" s="17" t="str">
        <x:v>정상</x:v>
      </x:c>
      <x:c r="S259" s="18" t="str">
        <x:v>https://job.cleaneye.go.kr/user/ypRecruitment.do</x:v>
      </x:c>
      <x:c r="T259" s="1"/>
      <x:c r="U259" s="1"/>
      <x:c r="V259" s="1"/>
      <x:c r="W259" s="1"/>
      <x:c r="X259" s="1"/>
      <x:c r="Y259" s="1"/>
      <x:c r="Z259" s="1"/>
    </x:row>
    <x:row r="260" ht="50" customHeight="1">
      <x:c r="A260" s="17" t="n">
        <x:v>256</x:v>
      </x:c>
      <x:c r="B260" s="17" t="str">
        <x:v>재단법인 화성시여성가족청소년재단</x:v>
      </x:c>
      <x:c r="C260" s="17" t="str">
        <x:v>경기도</x:v>
      </x:c>
      <x:c r="D260" s="17" t="str">
        <x:v>2026년도 제5회 직원 채용 공고</x:v>
      </x:c>
      <x:c r="E260" s="17" t="str">
        <x:v>신입</x:v>
      </x:c>
      <x:c r="F260" s="17" t="str">
        <x:v>무기계약직</x:v>
      </x:c>
      <x:c r="G260" s="17" t="str">
        <x:v>명시 없음(원문 확인)</x:v>
      </x:c>
      <x:c r="H260" s="17" t="str">
        <x:v>2026-09-01</x:v>
      </x:c>
      <x:c r="I260" s="17" t="str">
        <x:v>2026-09-11</x:v>
      </x:c>
      <x:c r="J260" s="17" t="str">
        <x:v>모집중</x:v>
      </x:c>
      <x:c r="K260" s="17" t="str">
        <x:v>무기계약·공무직</x:v>
      </x:c>
      <x:c r="L260" s="17" t="str">
        <x:v>검토</x:v>
      </x:c>
      <x:c r="M260" s="17" t="str">
        <x:v>제한 문구 미탐지</x:v>
      </x:c>
      <x:c r="N260" s="17" t="str">
        <x:v>기관 공고 원문 확인</x:v>
      </x:c>
      <x:c r="O260" s="17" t="str">
        <x:v>기관 공고 원문 확인</x:v>
      </x:c>
      <x:c r="P260" s="17" t="str">
        <x:v>기관 공고 원문 확인</x:v>
      </x:c>
      <x:c r="Q260" s="17" t="str">
        <x:v>기관 공고 원문 확인</x:v>
      </x:c>
      <x:c r="R260" s="17" t="str">
        <x:v>정상</x:v>
      </x:c>
      <x:c r="S260" s="18" t="str">
        <x:v>https://job.cleaneye.go.kr/user/ypRecruitment.do</x:v>
      </x:c>
      <x:c r="T260" s="1"/>
      <x:c r="U260" s="1"/>
      <x:c r="V260" s="1"/>
      <x:c r="W260" s="1"/>
      <x:c r="X260" s="1"/>
      <x:c r="Y260" s="1"/>
      <x:c r="Z260" s="1"/>
    </x:row>
    <x:row r="261" ht="50" customHeight="1">
      <x:c r="A261" s="17" t="n">
        <x:v>257</x:v>
      </x:c>
      <x:c r="B261" s="17" t="str">
        <x:v>강원특별자치도원주의료원</x:v>
      </x:c>
      <x:c r="C261" s="17" t="str">
        <x:v>강원특별자치도</x:v>
      </x:c>
      <x:c r="D261" s="17" t="str">
        <x:v>원주의료원 신규직원(기능직 8급_조리사, 기간제근로자 등) 채용공고</x:v>
      </x:c>
      <x:c r="E261" s="17" t="str">
        <x:v>신입+경력</x:v>
      </x:c>
      <x:c r="F261" s="17" t="str">
        <x:v>일반정규직</x:v>
      </x:c>
      <x:c r="G261" s="17" t="str">
        <x:v>명시 없음(원문 확인)</x:v>
      </x:c>
      <x:c r="H261" s="17" t="str">
        <x:v>2026-09-01</x:v>
      </x:c>
      <x:c r="I261" s="17" t="str">
        <x:v>2026-09-11</x:v>
      </x:c>
      <x:c r="J261" s="17" t="str">
        <x:v>모집중</x:v>
      </x:c>
      <x:c r="K261" s="17" t="str">
        <x:v>신입·정규직</x:v>
      </x:c>
      <x:c r="L261" s="17" t="str">
        <x:v>우선검토</x:v>
      </x:c>
      <x:c r="M261" s="17" t="str">
        <x:v>제한 문구 미탐지</x:v>
      </x:c>
      <x:c r="N261" s="17" t="str">
        <x:v>기관 공고 원문 확인</x:v>
      </x:c>
      <x:c r="O261" s="17" t="str">
        <x:v>기관 공고 원문 확인</x:v>
      </x:c>
      <x:c r="P261" s="17" t="str">
        <x:v>기관 공고 원문 확인</x:v>
      </x:c>
      <x:c r="Q261" s="17" t="str">
        <x:v>기관 공고 원문 확인</x:v>
      </x:c>
      <x:c r="R261" s="17" t="str">
        <x:v>정상</x:v>
      </x:c>
      <x:c r="S261" s="18" t="str">
        <x:v>https://job.cleaneye.go.kr/user/ypRecruitment.do</x:v>
      </x:c>
      <x:c r="T261" s="1"/>
      <x:c r="U261" s="1"/>
      <x:c r="V261" s="1"/>
      <x:c r="W261" s="1"/>
      <x:c r="X261" s="1"/>
      <x:c r="Y261" s="1"/>
      <x:c r="Z261" s="1"/>
    </x:row>
    <x:row r="262" ht="50" customHeight="1">
      <x:c r="A262" s="17" t="n">
        <x:v>258</x:v>
      </x:c>
      <x:c r="B262" s="17" t="str">
        <x:v>전남정보문화산업진흥원</x:v>
      </x:c>
      <x:c r="C262" s="17" t="str">
        <x:v>전남광주통합특별시</x:v>
      </x:c>
      <x:c r="D262" s="17" t="str">
        <x:v>(재)전라남도정보문화산업진흥원 2026년 제5차 계약직원 채용 공고</x:v>
      </x:c>
      <x:c r="E262" s="17" t="str">
        <x:v>신입+경력</x:v>
      </x:c>
      <x:c r="F262" s="17" t="str">
        <x:v>기간제</x:v>
      </x:c>
      <x:c r="G262" s="17" t="str">
        <x:v>명시 없음(원문 확인)</x:v>
      </x:c>
      <x:c r="H262" s="17" t="str">
        <x:v>2026-08-31</x:v>
      </x:c>
      <x:c r="I262" s="17" t="str">
        <x:v>2026-09-10</x:v>
      </x:c>
      <x:c r="J262" s="17" t="str">
        <x:v>모집중</x:v>
      </x:c>
      <x:c r="K262" s="17" t="str">
        <x:v>기간제·비정규</x:v>
      </x:c>
      <x:c r="L262" s="17" t="str">
        <x:v>검토</x:v>
      </x:c>
      <x:c r="M262" s="17" t="str">
        <x:v>제한 문구 미탐지</x:v>
      </x:c>
      <x:c r="N262" s="17" t="str">
        <x:v>기관 공고 원문 확인</x:v>
      </x:c>
      <x:c r="O262" s="17" t="str">
        <x:v>기관 공고 원문 확인</x:v>
      </x:c>
      <x:c r="P262" s="17" t="str">
        <x:v>기관 공고 원문 확인</x:v>
      </x:c>
      <x:c r="Q262" s="17" t="str">
        <x:v>기관 공고 원문 확인</x:v>
      </x:c>
      <x:c r="R262" s="17" t="str">
        <x:v>정상</x:v>
      </x:c>
      <x:c r="S262" s="18" t="str">
        <x:v>https://job.cleaneye.go.kr/user/ypRecruitment.do</x:v>
      </x:c>
      <x:c r="T262" s="1"/>
      <x:c r="U262" s="1"/>
      <x:c r="V262" s="1"/>
      <x:c r="W262" s="1"/>
      <x:c r="X262" s="1"/>
      <x:c r="Y262" s="1"/>
      <x:c r="Z262" s="1"/>
    </x:row>
    <x:row r="263" ht="50" customHeight="1">
      <x:c r="A263" s="17" t="n">
        <x:v>259</x:v>
      </x:c>
      <x:c r="B263" s="17" t="str">
        <x:v>부산광역시동구시설관리공단</x:v>
      </x:c>
      <x:c r="C263" s="17" t="str">
        <x:v>부산광역시</x:v>
      </x:c>
      <x:c r="D263" s="17" t="str">
        <x:v>부산광역시 동구 시설관리공단 이사장 공개모집 공고</x:v>
      </x:c>
      <x:c r="E263" s="17" t="str">
        <x:v>신입+경력</x:v>
      </x:c>
      <x:c r="F263" s="17" t="str">
        <x:v>일반정규직</x:v>
      </x:c>
      <x:c r="G263" s="17" t="str">
        <x:v>명시 없음(원문 확인)</x:v>
      </x:c>
      <x:c r="H263" s="17" t="str">
        <x:v>2026-08-31</x:v>
      </x:c>
      <x:c r="I263" s="17" t="str">
        <x:v>2026-09-15</x:v>
      </x:c>
      <x:c r="J263" s="17" t="str">
        <x:v>모집중</x:v>
      </x:c>
      <x:c r="K263" s="17" t="str">
        <x:v>정규직(세부 확인)</x:v>
      </x:c>
      <x:c r="L263" s="17" t="str">
        <x:v>검토</x:v>
      </x:c>
      <x:c r="M263" s="17" t="str">
        <x:v>제한 문구 미탐지</x:v>
      </x:c>
      <x:c r="N263" s="17" t="str">
        <x:v>기관 공고 원문 확인</x:v>
      </x:c>
      <x:c r="O263" s="17" t="str">
        <x:v>기관 공고 원문 확인</x:v>
      </x:c>
      <x:c r="P263" s="17" t="str">
        <x:v>기관 공고 원문 확인</x:v>
      </x:c>
      <x:c r="Q263" s="17" t="str">
        <x:v>기관 공고 원문 확인</x:v>
      </x:c>
      <x:c r="R263" s="17" t="str">
        <x:v>정상</x:v>
      </x:c>
      <x:c r="S263" s="18" t="str">
        <x:v>https://job.cleaneye.go.kr/user/ypRecruitment.do</x:v>
      </x:c>
      <x:c r="T263" s="1"/>
      <x:c r="U263" s="1"/>
      <x:c r="V263" s="1"/>
      <x:c r="W263" s="1"/>
      <x:c r="X263" s="1"/>
      <x:c r="Y263" s="1"/>
      <x:c r="Z263" s="1"/>
    </x:row>
    <x:row r="264" ht="50" customHeight="1">
      <x:c r="A264" s="17" t="n">
        <x:v>260</x:v>
      </x:c>
      <x:c r="B264" s="17" t="str">
        <x:v>재단법인 의정부도시교육재단</x:v>
      </x:c>
      <x:c r="C264" s="17" t="str">
        <x:v>경기도</x:v>
      </x:c>
      <x:c r="D264" s="17" t="str">
        <x:v>2026년 제3회 (재)의정부도시교육재단 직원공개 채용공고(육아휴직 대체인력)</x:v>
      </x:c>
      <x:c r="E264" s="17" t="str">
        <x:v>신입+경력</x:v>
      </x:c>
      <x:c r="F264" s="17" t="str">
        <x:v>기간제</x:v>
      </x:c>
      <x:c r="G264" s="17" t="str">
        <x:v>명시 없음(원문 확인)</x:v>
      </x:c>
      <x:c r="H264" s="17" t="str">
        <x:v>2026-08-31</x:v>
      </x:c>
      <x:c r="I264" s="17" t="str">
        <x:v>2026-09-10</x:v>
      </x:c>
      <x:c r="J264" s="17" t="str">
        <x:v>모집중</x:v>
      </x:c>
      <x:c r="K264" s="17" t="str">
        <x:v>기간제·비정규</x:v>
      </x:c>
      <x:c r="L264" s="17" t="str">
        <x:v>검토</x:v>
      </x:c>
      <x:c r="M264" s="17" t="str">
        <x:v>제한 문구 미탐지</x:v>
      </x:c>
      <x:c r="N264" s="17" t="str">
        <x:v>기관 공고 원문 확인</x:v>
      </x:c>
      <x:c r="O264" s="17" t="str">
        <x:v>기관 공고 원문 확인</x:v>
      </x:c>
      <x:c r="P264" s="17" t="str">
        <x:v>기관 공고 원문 확인</x:v>
      </x:c>
      <x:c r="Q264" s="17" t="str">
        <x:v>기관 공고 원문 확인</x:v>
      </x:c>
      <x:c r="R264" s="17" t="str">
        <x:v>정상</x:v>
      </x:c>
      <x:c r="S264" s="18" t="str">
        <x:v>https://job.cleaneye.go.kr/user/ypRecruitment.do</x:v>
      </x:c>
      <x:c r="T264" s="1"/>
      <x:c r="U264" s="1"/>
      <x:c r="V264" s="1"/>
      <x:c r="W264" s="1"/>
      <x:c r="X264" s="1"/>
      <x:c r="Y264" s="1"/>
      <x:c r="Z264" s="1"/>
    </x:row>
    <x:row r="265" ht="50" customHeight="1">
      <x:c r="A265" s="17" t="n">
        <x:v>261</x:v>
      </x:c>
      <x:c r="B265" s="17" t="str">
        <x:v>과천도시공사</x:v>
      </x:c>
      <x:c r="C265" s="17" t="str">
        <x:v>경기도</x:v>
      </x:c>
      <x:c r="D265" s="17" t="str">
        <x:v>공고 제2026-136호 과천도시공사 여가체육부 체육관(농구, 검도)상상하랑(스내그골프)초단시간강사 채용공고 2차</x:v>
      </x:c>
      <x:c r="E265" s="17" t="str">
        <x:v>신입+경력</x:v>
      </x:c>
      <x:c r="F265" s="17" t="str">
        <x:v>기간제</x:v>
      </x:c>
      <x:c r="G265" s="17" t="str">
        <x:v>명시 없음(원문 확인)</x:v>
      </x:c>
      <x:c r="H265" s="17" t="str">
        <x:v>2026-08-31</x:v>
      </x:c>
      <x:c r="I265" s="17" t="str">
        <x:v>2026-09-09</x:v>
      </x:c>
      <x:c r="J265" s="17" t="str">
        <x:v>모집중</x:v>
      </x:c>
      <x:c r="K265" s="17" t="str">
        <x:v>기간제·비정규</x:v>
      </x:c>
      <x:c r="L265" s="17" t="str">
        <x:v>검토</x:v>
      </x:c>
      <x:c r="M265" s="17" t="str">
        <x:v>제한 문구 미탐지</x:v>
      </x:c>
      <x:c r="N265" s="17" t="str">
        <x:v>기관 공고 원문 확인</x:v>
      </x:c>
      <x:c r="O265" s="17" t="str">
        <x:v>기관 공고 원문 확인</x:v>
      </x:c>
      <x:c r="P265" s="17" t="str">
        <x:v>기관 공고 원문 확인</x:v>
      </x:c>
      <x:c r="Q265" s="17" t="str">
        <x:v>기관 공고 원문 확인</x:v>
      </x:c>
      <x:c r="R265" s="17" t="str">
        <x:v>정상</x:v>
      </x:c>
      <x:c r="S265" s="18" t="str">
        <x:v>https://job.cleaneye.go.kr/user/ypRecruitment.do</x:v>
      </x:c>
      <x:c r="T265" s="1"/>
      <x:c r="U265" s="1"/>
      <x:c r="V265" s="1"/>
      <x:c r="W265" s="1"/>
      <x:c r="X265" s="1"/>
      <x:c r="Y265" s="1"/>
      <x:c r="Z265" s="1"/>
    </x:row>
    <x:row r="266" ht="50" customHeight="1">
      <x:c r="A266" s="17" t="n">
        <x:v>262</x:v>
      </x:c>
      <x:c r="B266" s="17" t="str">
        <x:v>연천군청소년육성재단</x:v>
      </x:c>
      <x:c r="C266" s="17" t="str">
        <x:v>경기도</x:v>
      </x:c>
      <x:c r="D266" s="17" t="str">
        <x:v>2026년 제5회 (재)연천군청소년육성재단 직원 공개채용(방과후아카데미 담임) 재공고</x:v>
      </x:c>
      <x:c r="E266" s="17" t="str">
        <x:v>신입+경력</x:v>
      </x:c>
      <x:c r="F266" s="17" t="str">
        <x:v>기간제</x:v>
      </x:c>
      <x:c r="G266" s="17" t="str">
        <x:v>명시 없음(원문 확인)</x:v>
      </x:c>
      <x:c r="H266" s="17" t="str">
        <x:v>2026-08-31</x:v>
      </x:c>
      <x:c r="I266" s="17" t="str">
        <x:v>2026-09-10</x:v>
      </x:c>
      <x:c r="J266" s="17" t="str">
        <x:v>모집중</x:v>
      </x:c>
      <x:c r="K266" s="17" t="str">
        <x:v>기간제·비정규</x:v>
      </x:c>
      <x:c r="L266" s="17" t="str">
        <x:v>검토</x:v>
      </x:c>
      <x:c r="M266" s="17" t="str">
        <x:v>제한 문구 미탐지</x:v>
      </x:c>
      <x:c r="N266" s="17" t="str">
        <x:v>기관 공고 원문 확인</x:v>
      </x:c>
      <x:c r="O266" s="17" t="str">
        <x:v>기관 공고 원문 확인</x:v>
      </x:c>
      <x:c r="P266" s="17" t="str">
        <x:v>기관 공고 원문 확인</x:v>
      </x:c>
      <x:c r="Q266" s="17" t="str">
        <x:v>기관 공고 원문 확인</x:v>
      </x:c>
      <x:c r="R266" s="17" t="str">
        <x:v>정상</x:v>
      </x:c>
      <x:c r="S266" s="18" t="str">
        <x:v>https://job.cleaneye.go.kr/user/ypRecruitment.do</x:v>
      </x:c>
      <x:c r="T266" s="1"/>
      <x:c r="U266" s="1"/>
      <x:c r="V266" s="1"/>
      <x:c r="W266" s="1"/>
      <x:c r="X266" s="1"/>
      <x:c r="Y266" s="1"/>
      <x:c r="Z266" s="1"/>
    </x:row>
    <x:row r="267" ht="50" customHeight="1">
      <x:c r="A267" s="17" t="n">
        <x:v>263</x:v>
      </x:c>
      <x:c r="B267" s="17" t="str">
        <x:v>경기도의료원</x:v>
      </x:c>
      <x:c r="C267" s="17" t="str">
        <x:v>경기도</x:v>
      </x:c>
      <x:c r="D267" s="17" t="str">
        <x:v>경기도의료원 파주병원 응급의학과 의사(계약직) 초빙 공고</x:v>
      </x:c>
      <x:c r="E267" s="17" t="str">
        <x:v>신입</x:v>
      </x:c>
      <x:c r="F267" s="17" t="str">
        <x:v>전문계약직</x:v>
      </x:c>
      <x:c r="G267" s="17" t="str">
        <x:v>명시 없음(원문 확인)</x:v>
      </x:c>
      <x:c r="H267" s="17" t="str">
        <x:v>2026-08-31</x:v>
      </x:c>
      <x:c r="I267" s="17" t="str">
        <x:v>2026-09-10</x:v>
      </x:c>
      <x:c r="J267" s="17" t="str">
        <x:v>모집중</x:v>
      </x:c>
      <x:c r="K267" s="17" t="str">
        <x:v>기타 채용</x:v>
      </x:c>
      <x:c r="L267" s="17" t="str">
        <x:v>검토</x:v>
      </x:c>
      <x:c r="M267" s="17" t="str">
        <x:v>제한 문구 미탐지</x:v>
      </x:c>
      <x:c r="N267" s="17" t="str">
        <x:v>기관 공고 원문 확인</x:v>
      </x:c>
      <x:c r="O267" s="17" t="str">
        <x:v>기관 공고 원문 확인</x:v>
      </x:c>
      <x:c r="P267" s="17" t="str">
        <x:v>기관 공고 원문 확인</x:v>
      </x:c>
      <x:c r="Q267" s="17" t="str">
        <x:v>기관 공고 원문 확인</x:v>
      </x:c>
      <x:c r="R267" s="17" t="str">
        <x:v>정상</x:v>
      </x:c>
      <x:c r="S267" s="18" t="str">
        <x:v>https://job.cleaneye.go.kr/user/ypRecruitment.do</x:v>
      </x:c>
      <x:c r="T267" s="1"/>
      <x:c r="U267" s="1"/>
      <x:c r="V267" s="1"/>
      <x:c r="W267" s="1"/>
      <x:c r="X267" s="1"/>
      <x:c r="Y267" s="1"/>
      <x:c r="Z267" s="1"/>
    </x:row>
    <x:row r="268" ht="50" customHeight="1">
      <x:c r="A268" s="17" t="n">
        <x:v>264</x:v>
      </x:c>
      <x:c r="B268" s="17" t="str">
        <x:v>부산광역시동구시설관리공단</x:v>
      </x:c>
      <x:c r="C268" s="17" t="str">
        <x:v>부산광역시</x:v>
      </x:c>
      <x:c r="D268" s="17" t="str">
        <x:v>부산광역시 동구 시설관리공단 비상임이사 공개모집 공고</x:v>
      </x:c>
      <x:c r="E268" s="17" t="str">
        <x:v>신입+경력</x:v>
      </x:c>
      <x:c r="F268" s="17" t="str">
        <x:v>비상임</x:v>
      </x:c>
      <x:c r="G268" s="17" t="str">
        <x:v>명시 없음(원문 확인)</x:v>
      </x:c>
      <x:c r="H268" s="17" t="str">
        <x:v>2026-08-31</x:v>
      </x:c>
      <x:c r="I268" s="17" t="str">
        <x:v>2026-09-15</x:v>
      </x:c>
      <x:c r="J268" s="17" t="str">
        <x:v>모집중</x:v>
      </x:c>
      <x:c r="K268" s="17" t="str">
        <x:v>기타 채용</x:v>
      </x:c>
      <x:c r="L268" s="17" t="str">
        <x:v>세부조건 확인</x:v>
      </x:c>
      <x:c r="M268" s="17" t="str">
        <x:v>제한 문구 미탐지</x:v>
      </x:c>
      <x:c r="N268" s="17" t="str">
        <x:v>기관 공고 원문 확인</x:v>
      </x:c>
      <x:c r="O268" s="17" t="str">
        <x:v>기관 공고 원문 확인</x:v>
      </x:c>
      <x:c r="P268" s="17" t="str">
        <x:v>기관 공고 원문 확인</x:v>
      </x:c>
      <x:c r="Q268" s="17" t="str">
        <x:v>기관 공고 원문 확인</x:v>
      </x:c>
      <x:c r="R268" s="17" t="str">
        <x:v>정상</x:v>
      </x:c>
      <x:c r="S268" s="18" t="str">
        <x:v>https://job.cleaneye.go.kr/user/ypRecruitment.do</x:v>
      </x:c>
      <x:c r="T268" s="1"/>
      <x:c r="U268" s="1"/>
      <x:c r="V268" s="1"/>
      <x:c r="W268" s="1"/>
      <x:c r="X268" s="1"/>
      <x:c r="Y268" s="1"/>
      <x:c r="Z268" s="1"/>
    </x:row>
    <x:row r="269" ht="50" customHeight="1">
      <x:c r="A269" s="17" t="n">
        <x:v>265</x:v>
      </x:c>
      <x:c r="B269" s="17" t="str">
        <x:v>종로문화재단</x:v>
      </x:c>
      <x:c r="C269" s="17" t="str">
        <x:v>서울특별시</x:v>
      </x:c>
      <x:c r="D269" s="17" t="str">
        <x:v>2026년 제7차 종로문화재단 직원 공개모집 공고(문화예술행정)</x:v>
      </x:c>
      <x:c r="E269" s="17" t="str">
        <x:v>경력</x:v>
      </x:c>
      <x:c r="F269" s="17" t="str">
        <x:v>기간제</x:v>
      </x:c>
      <x:c r="G269" s="17" t="str">
        <x:v>명시 없음(원문 확인)</x:v>
      </x:c>
      <x:c r="H269" s="17" t="str">
        <x:v>2026-08-31</x:v>
      </x:c>
      <x:c r="I269" s="17" t="str">
        <x:v>2026-09-09</x:v>
      </x:c>
      <x:c r="J269" s="17" t="str">
        <x:v>모집중</x:v>
      </x:c>
      <x:c r="K269" s="17" t="str">
        <x:v>기간제·비정규</x:v>
      </x:c>
      <x:c r="L269" s="17" t="str">
        <x:v>세부조건 확인</x:v>
      </x:c>
      <x:c r="M269" s="17" t="str">
        <x:v>제한 문구 미탐지</x:v>
      </x:c>
      <x:c r="N269" s="17" t="str">
        <x:v>기관 공고 원문 확인</x:v>
      </x:c>
      <x:c r="O269" s="17" t="str">
        <x:v>기관 공고 원문 확인</x:v>
      </x:c>
      <x:c r="P269" s="17" t="str">
        <x:v>기관 공고 원문 확인</x:v>
      </x:c>
      <x:c r="Q269" s="17" t="str">
        <x:v>기관 공고 원문 확인</x:v>
      </x:c>
      <x:c r="R269" s="17" t="str">
        <x:v>정상</x:v>
      </x:c>
      <x:c r="S269" s="18" t="str">
        <x:v>https://job.cleaneye.go.kr/user/ypRecruitment.do</x:v>
      </x:c>
      <x:c r="T269" s="1"/>
      <x:c r="U269" s="1"/>
      <x:c r="V269" s="1"/>
      <x:c r="W269" s="1"/>
      <x:c r="X269" s="1"/>
      <x:c r="Y269" s="1"/>
      <x:c r="Z269" s="1"/>
    </x:row>
    <x:row r="270" ht="50" customHeight="1">
      <x:c r="A270" s="17" t="n">
        <x:v>266</x:v>
      </x:c>
      <x:c r="B270" s="17" t="str">
        <x:v>(주)킨텍스</x:v>
      </x:c>
      <x:c r="C270" s="17" t="str">
        <x:v>경기도</x:v>
      </x:c>
      <x:c r="D270" s="17" t="str">
        <x:v>제2026-021호 킨텍스 안전관리자(계약직) 채용 공고</x:v>
      </x:c>
      <x:c r="E270" s="17" t="str">
        <x:v>경력</x:v>
      </x:c>
      <x:c r="F270" s="17" t="str">
        <x:v>기간제</x:v>
      </x:c>
      <x:c r="G270" s="17" t="str">
        <x:v>명시 없음(원문 확인)</x:v>
      </x:c>
      <x:c r="H270" s="17" t="str">
        <x:v>2026-08-31</x:v>
      </x:c>
      <x:c r="I270" s="17" t="str">
        <x:v>2026-09-11</x:v>
      </x:c>
      <x:c r="J270" s="17" t="str">
        <x:v>모집중</x:v>
      </x:c>
      <x:c r="K270" s="17" t="str">
        <x:v>기간제·비정규</x:v>
      </x:c>
      <x:c r="L270" s="17" t="str">
        <x:v>세부조건 확인</x:v>
      </x:c>
      <x:c r="M270" s="17" t="str">
        <x:v>제한 문구 미탐지</x:v>
      </x:c>
      <x:c r="N270" s="17" t="str">
        <x:v>기관 공고 원문 확인</x:v>
      </x:c>
      <x:c r="O270" s="17" t="str">
        <x:v>기관 공고 원문 확인</x:v>
      </x:c>
      <x:c r="P270" s="17" t="str">
        <x:v>기관 공고 원문 확인</x:v>
      </x:c>
      <x:c r="Q270" s="17" t="str">
        <x:v>기관 공고 원문 확인</x:v>
      </x:c>
      <x:c r="R270" s="17" t="str">
        <x:v>정상</x:v>
      </x:c>
      <x:c r="S270" s="18" t="str">
        <x:v>https://job.cleaneye.go.kr/user/ypRecruitment.do</x:v>
      </x:c>
      <x:c r="T270" s="1"/>
      <x:c r="U270" s="1"/>
      <x:c r="V270" s="1"/>
      <x:c r="W270" s="1"/>
      <x:c r="X270" s="1"/>
      <x:c r="Y270" s="1"/>
      <x:c r="Z270" s="1"/>
    </x:row>
    <x:row r="271" ht="50" customHeight="1">
      <x:c r="A271" s="17" t="n">
        <x:v>267</x:v>
      </x:c>
      <x:c r="B271" s="17" t="str">
        <x:v>경기도의료원</x:v>
      </x:c>
      <x:c r="C271" s="17" t="str">
        <x:v>경기도</x:v>
      </x:c>
      <x:c r="D271" s="17" t="str">
        <x:v>경기도의료원 안성병원 신경과 전문의 채용 재공고</x:v>
      </x:c>
      <x:c r="E271" s="17" t="str">
        <x:v>신입+경력</x:v>
      </x:c>
      <x:c r="F271" s="17" t="str">
        <x:v>전문계약직</x:v>
      </x:c>
      <x:c r="G271" s="17" t="str">
        <x:v>명시 없음(원문 확인)</x:v>
      </x:c>
      <x:c r="H271" s="17" t="str">
        <x:v>2026-08-31</x:v>
      </x:c>
      <x:c r="I271" s="17" t="str">
        <x:v>2026-09-13</x:v>
      </x:c>
      <x:c r="J271" s="17" t="str">
        <x:v>모집중</x:v>
      </x:c>
      <x:c r="K271" s="17" t="str">
        <x:v>경력·전문직</x:v>
      </x:c>
      <x:c r="L271" s="17" t="str">
        <x:v>경력·전문 우선</x:v>
      </x:c>
      <x:c r="M271" s="17" t="str">
        <x:v>제한 문구 미탐지</x:v>
      </x:c>
      <x:c r="N271" s="17" t="str">
        <x:v>기관 공고 원문 확인</x:v>
      </x:c>
      <x:c r="O271" s="17" t="str">
        <x:v>기관 공고 원문 확인</x:v>
      </x:c>
      <x:c r="P271" s="17" t="str">
        <x:v>기관 공고 원문 확인</x:v>
      </x:c>
      <x:c r="Q271" s="17" t="str">
        <x:v>기관 공고 원문 확인</x:v>
      </x:c>
      <x:c r="R271" s="17" t="str">
        <x:v>정상</x:v>
      </x:c>
      <x:c r="S271" s="18" t="str">
        <x:v>https://job.cleaneye.go.kr/user/ypRecruitment.do</x:v>
      </x:c>
      <x:c r="T271" s="1"/>
      <x:c r="U271" s="1"/>
      <x:c r="V271" s="1"/>
      <x:c r="W271" s="1"/>
      <x:c r="X271" s="1"/>
      <x:c r="Y271" s="1"/>
      <x:c r="Z271" s="1"/>
    </x:row>
    <x:row r="272" ht="50" customHeight="1">
      <x:c r="A272" s="17" t="n">
        <x:v>268</x:v>
      </x:c>
      <x:c r="B272" s="17" t="str">
        <x:v>(재)창원산업진흥원</x:v>
      </x:c>
      <x:c r="C272" s="17" t="str">
        <x:v>경상남도</x:v>
      </x:c>
      <x:c r="D272" s="17" t="str">
        <x:v>창원산업진흥원장 공개채용 공고</x:v>
      </x:c>
      <x:c r="E272" s="17" t="str">
        <x:v>경력</x:v>
      </x:c>
      <x:c r="F272" s="17" t="str">
        <x:v>전문계약직</x:v>
      </x:c>
      <x:c r="G272" s="17" t="str">
        <x:v>명시 없음(원문 확인)</x:v>
      </x:c>
      <x:c r="H272" s="17" t="str">
        <x:v>2026-08-31</x:v>
      </x:c>
      <x:c r="I272" s="17" t="str">
        <x:v>2026-09-15</x:v>
      </x:c>
      <x:c r="J272" s="17" t="str">
        <x:v>모집중</x:v>
      </x:c>
      <x:c r="K272" s="17" t="str">
        <x:v>경력·전문직</x:v>
      </x:c>
      <x:c r="L272" s="17" t="str">
        <x:v>경력·전문 우선</x:v>
      </x:c>
      <x:c r="M272" s="17" t="str">
        <x:v>제한 문구 미탐지</x:v>
      </x:c>
      <x:c r="N272" s="17" t="str">
        <x:v>기관 공고 원문 확인</x:v>
      </x:c>
      <x:c r="O272" s="17" t="str">
        <x:v>기관 공고 원문 확인</x:v>
      </x:c>
      <x:c r="P272" s="17" t="str">
        <x:v>기관 공고 원문 확인</x:v>
      </x:c>
      <x:c r="Q272" s="17" t="str">
        <x:v>기관 공고 원문 확인</x:v>
      </x:c>
      <x:c r="R272" s="17" t="str">
        <x:v>정상</x:v>
      </x:c>
      <x:c r="S272" s="18" t="str">
        <x:v>https://job.cleaneye.go.kr/user/ypRecruitment.do</x:v>
      </x:c>
      <x:c r="T272" s="1"/>
      <x:c r="U272" s="1"/>
      <x:c r="V272" s="1"/>
      <x:c r="W272" s="1"/>
      <x:c r="X272" s="1"/>
      <x:c r="Y272" s="1"/>
      <x:c r="Z272" s="1"/>
    </x:row>
    <x:row r="273" ht="50" customHeight="1">
      <x:c r="A273" s="17" t="n">
        <x:v>269</x:v>
      </x:c>
      <x:c r="B273" s="17" t="str">
        <x:v>경기평택항만공사</x:v>
      </x:c>
      <x:c r="C273" s="17" t="str">
        <x:v>경기도</x:v>
      </x:c>
      <x:c r="D273" s="17" t="str">
        <x:v>[채용공고] 2026년 경기평택항만공사 청년 체험형 인턴 모집 공고</x:v>
      </x:c>
      <x:c r="E273" s="17" t="str">
        <x:v>신입</x:v>
      </x:c>
      <x:c r="F273" s="17" t="str">
        <x:v>인턴</x:v>
      </x:c>
      <x:c r="G273" s="17" t="str">
        <x:v>명시 없음(원문 확인)</x:v>
      </x:c>
      <x:c r="H273" s="17" t="str">
        <x:v>2026-08-31</x:v>
      </x:c>
      <x:c r="I273" s="17" t="str">
        <x:v>2026-09-11</x:v>
      </x:c>
      <x:c r="J273" s="17" t="str">
        <x:v>모집중</x:v>
      </x:c>
      <x:c r="K273" s="17" t="str">
        <x:v>체험형·청년인턴</x:v>
      </x:c>
      <x:c r="L273" s="17" t="str">
        <x:v>우선검토</x:v>
      </x:c>
      <x:c r="M273" s="17" t="str">
        <x:v>제한 문구 미탐지</x:v>
      </x:c>
      <x:c r="N273" s="17" t="str">
        <x:v>기관 공고 원문 확인</x:v>
      </x:c>
      <x:c r="O273" s="17" t="str">
        <x:v>기관 공고 원문 확인</x:v>
      </x:c>
      <x:c r="P273" s="17" t="str">
        <x:v>기관 공고 원문 확인</x:v>
      </x:c>
      <x:c r="Q273" s="17" t="str">
        <x:v>기관 공고 원문 확인</x:v>
      </x:c>
      <x:c r="R273" s="17" t="str">
        <x:v>정상</x:v>
      </x:c>
      <x:c r="S273" s="18" t="str">
        <x:v>https://job.cleaneye.go.kr/user/ypRecruitment.do</x:v>
      </x:c>
      <x:c r="T273" s="1"/>
      <x:c r="U273" s="1"/>
      <x:c r="V273" s="1"/>
      <x:c r="W273" s="1"/>
      <x:c r="X273" s="1"/>
      <x:c r="Y273" s="1"/>
      <x:c r="Z273" s="1"/>
    </x:row>
    <x:row r="274" ht="50" customHeight="1">
      <x:c r="A274" s="17" t="n">
        <x:v>270</x:v>
      </x:c>
      <x:c r="B274" s="17" t="str">
        <x:v>제주여성가족연구원</x:v>
      </x:c>
      <x:c r="C274" s="17" t="str">
        <x:v>제주특별자치도</x:v>
      </x:c>
      <x:c r="D274" s="17" t="str">
        <x:v>제7차 제주여성가족연구원 직원(행정시설직4급) 채용 공고</x:v>
      </x:c>
      <x:c r="E274" s="17" t="str">
        <x:v>신입+경력</x:v>
      </x:c>
      <x:c r="F274" s="17" t="str">
        <x:v>일반정규직</x:v>
      </x:c>
      <x:c r="G274" s="17" t="str">
        <x:v>제주특별자치도</x:v>
      </x:c>
      <x:c r="H274" s="17" t="str">
        <x:v>2026-08-31</x:v>
      </x:c>
      <x:c r="I274" s="17" t="str">
        <x:v>2026-09-14</x:v>
      </x:c>
      <x:c r="J274" s="17" t="str">
        <x:v>모집중</x:v>
      </x:c>
      <x:c r="K274" s="17" t="str">
        <x:v>정규직(세부 확인)</x:v>
      </x:c>
      <x:c r="L274" s="17" t="str">
        <x:v>검토</x:v>
      </x:c>
      <x:c r="M274" s="17" t="str">
        <x:v>제한 문구 미탐지</x:v>
      </x:c>
      <x:c r="N274" s="17" t="str">
        <x:v>기관 공고 원문 확인</x:v>
      </x:c>
      <x:c r="O274" s="17" t="str">
        <x:v>기관 공고 원문 확인</x:v>
      </x:c>
      <x:c r="P274" s="17" t="str">
        <x:v>기관 공고 원문 확인</x:v>
      </x:c>
      <x:c r="Q274" s="17" t="str">
        <x:v>기관 공고 원문 확인</x:v>
      </x:c>
      <x:c r="R274" s="17" t="str">
        <x:v>정상</x:v>
      </x:c>
      <x:c r="S274" s="18" t="str">
        <x:v>https://job.cleaneye.go.kr/user/ypRecruitment.do</x:v>
      </x:c>
      <x:c r="T274" s="1"/>
      <x:c r="U274" s="1"/>
      <x:c r="V274" s="1"/>
      <x:c r="W274" s="1"/>
      <x:c r="X274" s="1"/>
      <x:c r="Y274" s="1"/>
      <x:c r="Z274" s="1"/>
    </x:row>
    <x:row r="275" ht="50" customHeight="1">
      <x:c r="A275" s="17" t="n">
        <x:v>271</x:v>
      </x:c>
      <x:c r="B275" s="17" t="str">
        <x:v>부산환경공단</x:v>
      </x:c>
      <x:c r="C275" s="17" t="str">
        <x:v>부산광역시</x:v>
      </x:c>
      <x:c r="D275" s="17" t="str">
        <x:v>부산환경공단 수영사업단 기간제근로자(현업보조원) 채용공고</x:v>
      </x:c>
      <x:c r="E275" s="17" t="str">
        <x:v>신입</x:v>
      </x:c>
      <x:c r="F275" s="17" t="str">
        <x:v>기간제</x:v>
      </x:c>
      <x:c r="G275" s="17" t="str">
        <x:v>부산광역시</x:v>
      </x:c>
      <x:c r="H275" s="17" t="str">
        <x:v>2026-08-31</x:v>
      </x:c>
      <x:c r="I275" s="17" t="str">
        <x:v>2026-09-09</x:v>
      </x:c>
      <x:c r="J275" s="17" t="str">
        <x:v>모집중</x:v>
      </x:c>
      <x:c r="K275" s="17" t="str">
        <x:v>기간제·비정규</x:v>
      </x:c>
      <x:c r="L275" s="17" t="str">
        <x:v>검토</x:v>
      </x:c>
      <x:c r="M275" s="17" t="str">
        <x:v>제한 문구 미탐지</x:v>
      </x:c>
      <x:c r="N275" s="17" t="str">
        <x:v>기관 공고 원문 확인</x:v>
      </x:c>
      <x:c r="O275" s="17" t="str">
        <x:v>기관 공고 원문 확인</x:v>
      </x:c>
      <x:c r="P275" s="17" t="str">
        <x:v>기관 공고 원문 확인</x:v>
      </x:c>
      <x:c r="Q275" s="17" t="str">
        <x:v>기관 공고 원문 확인</x:v>
      </x:c>
      <x:c r="R275" s="17" t="str">
        <x:v>정상</x:v>
      </x:c>
      <x:c r="S275" s="18" t="str">
        <x:v>https://job.cleaneye.go.kr/user/ypRecruitment.do</x:v>
      </x:c>
      <x:c r="T275" s="1"/>
      <x:c r="U275" s="1"/>
      <x:c r="V275" s="1"/>
      <x:c r="W275" s="1"/>
      <x:c r="X275" s="1"/>
      <x:c r="Y275" s="1"/>
      <x:c r="Z275" s="1"/>
    </x:row>
    <x:row r="276" ht="50" customHeight="1">
      <x:c r="A276" s="17" t="n">
        <x:v>272</x:v>
      </x:c>
      <x:c r="B276" s="17" t="str">
        <x:v>의정부도시공사</x:v>
      </x:c>
      <x:c r="C276" s="17" t="str">
        <x:v>경기도</x:v>
      </x:c>
      <x:c r="D276" s="17" t="str">
        <x:v>의정부도시공사 임원(비상임이사) 공개모집 공고</x:v>
      </x:c>
      <x:c r="E276" s="17" t="str">
        <x:v>신입+경력</x:v>
      </x:c>
      <x:c r="F276" s="17" t="str">
        <x:v>비상임</x:v>
      </x:c>
      <x:c r="G276" s="17" t="str">
        <x:v>명시 없음(원문 확인)</x:v>
      </x:c>
      <x:c r="H276" s="17" t="str">
        <x:v>2026-08-31</x:v>
      </x:c>
      <x:c r="I276" s="17" t="str">
        <x:v>2026-09-15</x:v>
      </x:c>
      <x:c r="J276" s="17" t="str">
        <x:v>모집중</x:v>
      </x:c>
      <x:c r="K276" s="17" t="str">
        <x:v>경력·전문직</x:v>
      </x:c>
      <x:c r="L276" s="17" t="str">
        <x:v>경력·전문 우선</x:v>
      </x:c>
      <x:c r="M276" s="17" t="str">
        <x:v>제한 문구 미탐지</x:v>
      </x:c>
      <x:c r="N276" s="17" t="str">
        <x:v>기관 공고 원문 확인</x:v>
      </x:c>
      <x:c r="O276" s="17" t="str">
        <x:v>기관 공고 원문 확인</x:v>
      </x:c>
      <x:c r="P276" s="17" t="str">
        <x:v>기관 공고 원문 확인</x:v>
      </x:c>
      <x:c r="Q276" s="17" t="str">
        <x:v>기관 공고 원문 확인</x:v>
      </x:c>
      <x:c r="R276" s="17" t="str">
        <x:v>정상</x:v>
      </x:c>
      <x:c r="S276" s="18" t="str">
        <x:v>https://job.cleaneye.go.kr/user/ypRecruitment.do</x:v>
      </x:c>
      <x:c r="T276" s="1"/>
      <x:c r="U276" s="1"/>
      <x:c r="V276" s="1"/>
      <x:c r="W276" s="1"/>
      <x:c r="X276" s="1"/>
      <x:c r="Y276" s="1"/>
      <x:c r="Z276" s="1"/>
    </x:row>
    <x:row r="277" ht="50" customHeight="1">
      <x:c r="A277" s="17" t="n">
        <x:v>273</x:v>
      </x:c>
      <x:c r="B277" s="17" t="str">
        <x:v>재단법인 이천시청소년재단</x:v>
      </x:c>
      <x:c r="C277" s="17" t="str">
        <x:v>경기도</x:v>
      </x:c>
      <x:c r="D277" s="17" t="str">
        <x:v>2026년 이천시청소년재단 제3차 직원채용 공고</x:v>
      </x:c>
      <x:c r="E277" s="17" t="str">
        <x:v>신입+경력</x:v>
      </x:c>
      <x:c r="F277" s="17" t="str">
        <x:v>일반정규직</x:v>
      </x:c>
      <x:c r="G277" s="17" t="str">
        <x:v>명시 없음(원문 확인)</x:v>
      </x:c>
      <x:c r="H277" s="17" t="str">
        <x:v>2026-08-31</x:v>
      </x:c>
      <x:c r="I277" s="17" t="str">
        <x:v>2026-09-11</x:v>
      </x:c>
      <x:c r="J277" s="17" t="str">
        <x:v>모집중</x:v>
      </x:c>
      <x:c r="K277" s="17" t="str">
        <x:v>정규직(세부 확인)</x:v>
      </x:c>
      <x:c r="L277" s="17" t="str">
        <x:v>검토</x:v>
      </x:c>
      <x:c r="M277" s="17" t="str">
        <x:v>제한 문구 미탐지</x:v>
      </x:c>
      <x:c r="N277" s="17" t="str">
        <x:v>기관 공고 원문 확인</x:v>
      </x:c>
      <x:c r="O277" s="17" t="str">
        <x:v>기관 공고 원문 확인</x:v>
      </x:c>
      <x:c r="P277" s="17" t="str">
        <x:v>기관 공고 원문 확인</x:v>
      </x:c>
      <x:c r="Q277" s="17" t="str">
        <x:v>기관 공고 원문 확인</x:v>
      </x:c>
      <x:c r="R277" s="17" t="str">
        <x:v>정상</x:v>
      </x:c>
      <x:c r="S277" s="18" t="str">
        <x:v>https://job.cleaneye.go.kr/user/ypRecruitment.do</x:v>
      </x:c>
      <x:c r="T277" s="1"/>
      <x:c r="U277" s="1"/>
      <x:c r="V277" s="1"/>
      <x:c r="W277" s="1"/>
      <x:c r="X277" s="1"/>
      <x:c r="Y277" s="1"/>
      <x:c r="Z277" s="1"/>
    </x:row>
    <x:row r="278" ht="50" customHeight="1">
      <x:c r="A278" s="17" t="n">
        <x:v>274</x:v>
      </x:c>
      <x:c r="B278" s="17" t="str">
        <x:v>성남도시개발공사</x:v>
      </x:c>
      <x:c r="C278" s="17" t="str">
        <x:v>경기도</x:v>
      </x:c>
      <x:c r="D278" s="17" t="str">
        <x:v>성남도시개발공사 상임이사 공개모집 재공고</x:v>
      </x:c>
      <x:c r="E278" s="17" t="str">
        <x:v>경력</x:v>
      </x:c>
      <x:c r="F278" s="17" t="str">
        <x:v>전문계약직</x:v>
      </x:c>
      <x:c r="G278" s="17" t="str">
        <x:v>명시 없음(원문 확인)</x:v>
      </x:c>
      <x:c r="H278" s="17" t="str">
        <x:v>2026-08-31</x:v>
      </x:c>
      <x:c r="I278" s="17" t="str">
        <x:v>2026-09-15</x:v>
      </x:c>
      <x:c r="J278" s="17" t="str">
        <x:v>모집중</x:v>
      </x:c>
      <x:c r="K278" s="17" t="str">
        <x:v>기타 채용</x:v>
      </x:c>
      <x:c r="L278" s="17" t="str">
        <x:v>세부조건 확인</x:v>
      </x:c>
      <x:c r="M278" s="17" t="str">
        <x:v>제한 문구 미탐지</x:v>
      </x:c>
      <x:c r="N278" s="17" t="str">
        <x:v>기관 공고 원문 확인</x:v>
      </x:c>
      <x:c r="O278" s="17" t="str">
        <x:v>기관 공고 원문 확인</x:v>
      </x:c>
      <x:c r="P278" s="17" t="str">
        <x:v>기관 공고 원문 확인</x:v>
      </x:c>
      <x:c r="Q278" s="17" t="str">
        <x:v>기관 공고 원문 확인</x:v>
      </x:c>
      <x:c r="R278" s="17" t="str">
        <x:v>정상</x:v>
      </x:c>
      <x:c r="S278" s="18" t="str">
        <x:v>https://job.cleaneye.go.kr/user/ypRecruitment.do</x:v>
      </x:c>
      <x:c r="T278" s="1"/>
      <x:c r="U278" s="1"/>
      <x:c r="V278" s="1"/>
      <x:c r="W278" s="1"/>
      <x:c r="X278" s="1"/>
      <x:c r="Y278" s="1"/>
      <x:c r="Z278" s="1"/>
    </x:row>
    <x:row r="279" ht="50" customHeight="1">
      <x:c r="A279" s="17" t="n">
        <x:v>275</x:v>
      </x:c>
      <x:c r="B279" s="17" t="str">
        <x:v>전남정보문화산업진흥원</x:v>
      </x:c>
      <x:c r="C279" s="17" t="str">
        <x:v>전남광주통합특별시</x:v>
      </x:c>
      <x:c r="D279" s="17" t="str">
        <x:v>(재)전라남도정보문화산업진흥원 2026년 제4차 계약직원 채용 재공고</x:v>
      </x:c>
      <x:c r="E279" s="17" t="str">
        <x:v>경력</x:v>
      </x:c>
      <x:c r="F279" s="17" t="str">
        <x:v>기간제</x:v>
      </x:c>
      <x:c r="G279" s="17" t="str">
        <x:v>명시 없음(원문 확인)</x:v>
      </x:c>
      <x:c r="H279" s="17" t="str">
        <x:v>2026-08-31</x:v>
      </x:c>
      <x:c r="I279" s="17" t="str">
        <x:v>2026-09-10</x:v>
      </x:c>
      <x:c r="J279" s="17" t="str">
        <x:v>모집중</x:v>
      </x:c>
      <x:c r="K279" s="17" t="str">
        <x:v>기간제·비정규</x:v>
      </x:c>
      <x:c r="L279" s="17" t="str">
        <x:v>세부조건 확인</x:v>
      </x:c>
      <x:c r="M279" s="17" t="str">
        <x:v>제한 문구 미탐지</x:v>
      </x:c>
      <x:c r="N279" s="17" t="str">
        <x:v>기관 공고 원문 확인</x:v>
      </x:c>
      <x:c r="O279" s="17" t="str">
        <x:v>기관 공고 원문 확인</x:v>
      </x:c>
      <x:c r="P279" s="17" t="str">
        <x:v>기관 공고 원문 확인</x:v>
      </x:c>
      <x:c r="Q279" s="17" t="str">
        <x:v>기관 공고 원문 확인</x:v>
      </x:c>
      <x:c r="R279" s="17" t="str">
        <x:v>정상</x:v>
      </x:c>
      <x:c r="S279" s="18" t="str">
        <x:v>https://job.cleaneye.go.kr/user/ypRecruitment.do</x:v>
      </x:c>
      <x:c r="T279" s="1"/>
      <x:c r="U279" s="1"/>
      <x:c r="V279" s="1"/>
      <x:c r="W279" s="1"/>
      <x:c r="X279" s="1"/>
      <x:c r="Y279" s="1"/>
      <x:c r="Z279" s="1"/>
    </x:row>
    <x:row r="280" ht="50" customHeight="1">
      <x:c r="A280" s="17" t="n">
        <x:v>276</x:v>
      </x:c>
      <x:c r="B280" s="17" t="str">
        <x:v>재단법인 용인시산업진흥원</x:v>
      </x:c>
      <x:c r="C280" s="17" t="str">
        <x:v>경기도</x:v>
      </x:c>
      <x:c r="D280" s="17" t="str">
        <x:v>2026년 제7차 채용 공고</x:v>
      </x:c>
      <x:c r="E280" s="17" t="str">
        <x:v>신입</x:v>
      </x:c>
      <x:c r="F280" s="17" t="str">
        <x:v>일반계약직</x:v>
      </x:c>
      <x:c r="G280" s="17" t="str">
        <x:v>명시 없음(원문 확인)</x:v>
      </x:c>
      <x:c r="H280" s="17" t="str">
        <x:v>2026-08-31</x:v>
      </x:c>
      <x:c r="I280" s="17" t="str">
        <x:v>2026-09-10</x:v>
      </x:c>
      <x:c r="J280" s="17" t="str">
        <x:v>모집중</x:v>
      </x:c>
      <x:c r="K280" s="17" t="str">
        <x:v>기타 채용</x:v>
      </x:c>
      <x:c r="L280" s="17" t="str">
        <x:v>검토</x:v>
      </x:c>
      <x:c r="M280" s="17" t="str">
        <x:v>제한 문구 미탐지</x:v>
      </x:c>
      <x:c r="N280" s="17" t="str">
        <x:v>기관 공고 원문 확인</x:v>
      </x:c>
      <x:c r="O280" s="17" t="str">
        <x:v>기관 공고 원문 확인</x:v>
      </x:c>
      <x:c r="P280" s="17" t="str">
        <x:v>기관 공고 원문 확인</x:v>
      </x:c>
      <x:c r="Q280" s="17" t="str">
        <x:v>기관 공고 원문 확인</x:v>
      </x:c>
      <x:c r="R280" s="17" t="str">
        <x:v>정상</x:v>
      </x:c>
      <x:c r="S280" s="18" t="str">
        <x:v>https://job.cleaneye.go.kr/user/ypRecruitment.do</x:v>
      </x:c>
      <x:c r="T280" s="1"/>
      <x:c r="U280" s="1"/>
      <x:c r="V280" s="1"/>
      <x:c r="W280" s="1"/>
      <x:c r="X280" s="1"/>
      <x:c r="Y280" s="1"/>
      <x:c r="Z280" s="1"/>
    </x:row>
    <x:row r="281" ht="50" customHeight="1">
      <x:c r="A281" s="17" t="n">
        <x:v>277</x:v>
      </x:c>
      <x:c r="B281" s="17" t="str">
        <x:v>제주의료원</x:v>
      </x:c>
      <x:c r="C281" s="17" t="str">
        <x:v>제주특별자치도</x:v>
      </x:c>
      <x:c r="D281" s="17" t="str">
        <x:v>2026년 제주의료원 제17차 직원(공기관대행사업-건강주치의제 지원센터) 채용 계획 재공고</x:v>
      </x:c>
      <x:c r="E281" s="17" t="str">
        <x:v>신입+경력</x:v>
      </x:c>
      <x:c r="F281" s="17" t="str">
        <x:v>기간제</x:v>
      </x:c>
      <x:c r="G281" s="17" t="str">
        <x:v>명시 없음(원문 확인)</x:v>
      </x:c>
      <x:c r="H281" s="17" t="str">
        <x:v>2026-08-31</x:v>
      </x:c>
      <x:c r="I281" s="17" t="str">
        <x:v>2026-09-11</x:v>
      </x:c>
      <x:c r="J281" s="17" t="str">
        <x:v>모집중</x:v>
      </x:c>
      <x:c r="K281" s="17" t="str">
        <x:v>기간제·비정규</x:v>
      </x:c>
      <x:c r="L281" s="17" t="str">
        <x:v>검토</x:v>
      </x:c>
      <x:c r="M281" s="17" t="str">
        <x:v>제한 문구 미탐지</x:v>
      </x:c>
      <x:c r="N281" s="17" t="str">
        <x:v>기관 공고 원문 확인</x:v>
      </x:c>
      <x:c r="O281" s="17" t="str">
        <x:v>기관 공고 원문 확인</x:v>
      </x:c>
      <x:c r="P281" s="17" t="str">
        <x:v>기관 공고 원문 확인</x:v>
      </x:c>
      <x:c r="Q281" s="17" t="str">
        <x:v>기관 공고 원문 확인</x:v>
      </x:c>
      <x:c r="R281" s="17" t="str">
        <x:v>정상</x:v>
      </x:c>
      <x:c r="S281" s="18" t="str">
        <x:v>https://job.cleaneye.go.kr/user/ypRecruitment.do</x:v>
      </x:c>
      <x:c r="T281" s="1"/>
      <x:c r="U281" s="1"/>
      <x:c r="V281" s="1"/>
      <x:c r="W281" s="1"/>
      <x:c r="X281" s="1"/>
      <x:c r="Y281" s="1"/>
      <x:c r="Z281" s="1"/>
    </x:row>
    <x:row r="282" ht="50" customHeight="1">
      <x:c r="A282" s="17" t="n">
        <x:v>278</x:v>
      </x:c>
      <x:c r="B282" s="17" t="str">
        <x:v>재단법인 남도장터</x:v>
      </x:c>
      <x:c r="C282" s="17" t="str">
        <x:v>전남광주통합특별시</x:v>
      </x:c>
      <x:c r="D282" s="17" t="str">
        <x:v>재단법인 남도장터 제2대 대표이사 공개모집 공고</x:v>
      </x:c>
      <x:c r="E282" s="17" t="str">
        <x:v>경력</x:v>
      </x:c>
      <x:c r="F282" s="17" t="str">
        <x:v>전문계약직</x:v>
      </x:c>
      <x:c r="G282" s="17" t="str">
        <x:v>명시 없음(원문 확인)</x:v>
      </x:c>
      <x:c r="H282" s="17" t="str">
        <x:v>2026-08-31</x:v>
      </x:c>
      <x:c r="I282" s="17" t="str">
        <x:v>2026-09-17</x:v>
      </x:c>
      <x:c r="J282" s="17" t="str">
        <x:v>모집중</x:v>
      </x:c>
      <x:c r="K282" s="17" t="str">
        <x:v>기타 채용</x:v>
      </x:c>
      <x:c r="L282" s="17" t="str">
        <x:v>세부조건 확인</x:v>
      </x:c>
      <x:c r="M282" s="17" t="str">
        <x:v>제한 문구 미탐지</x:v>
      </x:c>
      <x:c r="N282" s="17" t="str">
        <x:v>기관 공고 원문 확인</x:v>
      </x:c>
      <x:c r="O282" s="17" t="str">
        <x:v>기관 공고 원문 확인</x:v>
      </x:c>
      <x:c r="P282" s="17" t="str">
        <x:v>기관 공고 원문 확인</x:v>
      </x:c>
      <x:c r="Q282" s="17" t="str">
        <x:v>기관 공고 원문 확인</x:v>
      </x:c>
      <x:c r="R282" s="17" t="str">
        <x:v>정상</x:v>
      </x:c>
      <x:c r="S282" s="18" t="str">
        <x:v>https://job.cleaneye.go.kr/user/ypRecruitment.do</x:v>
      </x:c>
      <x:c r="T282" s="1"/>
      <x:c r="U282" s="1"/>
      <x:c r="V282" s="1"/>
      <x:c r="W282" s="1"/>
      <x:c r="X282" s="1"/>
      <x:c r="Y282" s="1"/>
      <x:c r="Z282" s="1"/>
    </x:row>
    <x:row r="283" ht="50" customHeight="1">
      <x:c r="A283" s="17" t="n">
        <x:v>279</x:v>
      </x:c>
      <x:c r="B283" s="17" t="str">
        <x:v>과천도시공사</x:v>
      </x:c>
      <x:c r="C283" s="17" t="str">
        <x:v>경기도</x:v>
      </x:c>
      <x:c r="D283" s="17" t="str">
        <x:v>과천갈현공공체육시설(풋살, 농구)시간강사 채용</x:v>
      </x:c>
      <x:c r="E283" s="17" t="str">
        <x:v>신입+경력</x:v>
      </x:c>
      <x:c r="F283" s="17" t="str">
        <x:v>기간제</x:v>
      </x:c>
      <x:c r="G283" s="17" t="str">
        <x:v>명시 없음(원문 확인)</x:v>
      </x:c>
      <x:c r="H283" s="17" t="str">
        <x:v>2026-08-31</x:v>
      </x:c>
      <x:c r="I283" s="17" t="str">
        <x:v>2026-09-09</x:v>
      </x:c>
      <x:c r="J283" s="17" t="str">
        <x:v>모집중</x:v>
      </x:c>
      <x:c r="K283" s="17" t="str">
        <x:v>기간제·비정규</x:v>
      </x:c>
      <x:c r="L283" s="17" t="str">
        <x:v>검토</x:v>
      </x:c>
      <x:c r="M283" s="17" t="str">
        <x:v>제한 문구 미탐지</x:v>
      </x:c>
      <x:c r="N283" s="17" t="str">
        <x:v>기관 공고 원문 확인</x:v>
      </x:c>
      <x:c r="O283" s="17" t="str">
        <x:v>기관 공고 원문 확인</x:v>
      </x:c>
      <x:c r="P283" s="17" t="str">
        <x:v>기관 공고 원문 확인</x:v>
      </x:c>
      <x:c r="Q283" s="17" t="str">
        <x:v>기관 공고 원문 확인</x:v>
      </x:c>
      <x:c r="R283" s="17" t="str">
        <x:v>정상</x:v>
      </x:c>
      <x:c r="S283" s="18" t="str">
        <x:v>https://job.cleaneye.go.kr/user/ypRecruitment.do</x:v>
      </x:c>
      <x:c r="T283" s="1"/>
      <x:c r="U283" s="1"/>
      <x:c r="V283" s="1"/>
      <x:c r="W283" s="1"/>
      <x:c r="X283" s="1"/>
      <x:c r="Y283" s="1"/>
      <x:c r="Z283" s="1"/>
    </x:row>
    <x:row r="284" ht="50" customHeight="1">
      <x:c r="A284" s="17" t="n">
        <x:v>280</x:v>
      </x:c>
      <x:c r="B284" s="17" t="str">
        <x:v>경남테크노파크</x:v>
      </x:c>
      <x:c r="C284" s="17" t="str">
        <x:v>경상남도</x:v>
      </x:c>
      <x:c r="D284" s="17" t="str">
        <x:v>(재)경남테크노파크 원장 초빙 공고(2026-345)</x:v>
      </x:c>
      <x:c r="E284" s="17" t="str">
        <x:v>경력</x:v>
      </x:c>
      <x:c r="F284" s="17" t="str">
        <x:v>전문계약직</x:v>
      </x:c>
      <x:c r="G284" s="17" t="str">
        <x:v>명시 없음(원문 확인)</x:v>
      </x:c>
      <x:c r="H284" s="17" t="str">
        <x:v>2026-08-31</x:v>
      </x:c>
      <x:c r="I284" s="17" t="str">
        <x:v>2026-09-15</x:v>
      </x:c>
      <x:c r="J284" s="17" t="str">
        <x:v>모집중</x:v>
      </x:c>
      <x:c r="K284" s="17" t="str">
        <x:v>경력·전문직</x:v>
      </x:c>
      <x:c r="L284" s="17" t="str">
        <x:v>경력·전문 우선</x:v>
      </x:c>
      <x:c r="M284" s="17" t="str">
        <x:v>제한 문구 미탐지</x:v>
      </x:c>
      <x:c r="N284" s="17" t="str">
        <x:v>기관 공고 원문 확인</x:v>
      </x:c>
      <x:c r="O284" s="17" t="str">
        <x:v>기관 공고 원문 확인</x:v>
      </x:c>
      <x:c r="P284" s="17" t="str">
        <x:v>기관 공고 원문 확인</x:v>
      </x:c>
      <x:c r="Q284" s="17" t="str">
        <x:v>기관 공고 원문 확인</x:v>
      </x:c>
      <x:c r="R284" s="17" t="str">
        <x:v>정상</x:v>
      </x:c>
      <x:c r="S284" s="18" t="str">
        <x:v>https://job.cleaneye.go.kr/user/ypRecruitment.do</x:v>
      </x:c>
      <x:c r="T284" s="1"/>
      <x:c r="U284" s="1"/>
      <x:c r="V284" s="1"/>
      <x:c r="W284" s="1"/>
      <x:c r="X284" s="1"/>
      <x:c r="Y284" s="1"/>
      <x:c r="Z284" s="1"/>
    </x:row>
    <x:row r="285" ht="50" customHeight="1">
      <x:c r="A285" s="17" t="n">
        <x:v>281</x:v>
      </x:c>
      <x:c r="B285" s="17" t="str">
        <x:v>경기도의료원</x:v>
      </x:c>
      <x:c r="C285" s="17" t="str">
        <x:v>경기도</x:v>
      </x:c>
      <x:c r="D285" s="17" t="str">
        <x:v>경기도의료원 이천병원 공무직 경비원(휴직대체) 신규채용 1차 재공고</x:v>
      </x:c>
      <x:c r="E285" s="17" t="str">
        <x:v>신입+경력</x:v>
      </x:c>
      <x:c r="F285" s="17" t="str">
        <x:v>기간제</x:v>
      </x:c>
      <x:c r="G285" s="17" t="str">
        <x:v>명시 없음(원문 확인)</x:v>
      </x:c>
      <x:c r="H285" s="17" t="str">
        <x:v>2026-08-31</x:v>
      </x:c>
      <x:c r="I285" s="17" t="str">
        <x:v>2026-09-10</x:v>
      </x:c>
      <x:c r="J285" s="17" t="str">
        <x:v>모집중</x:v>
      </x:c>
      <x:c r="K285" s="17" t="str">
        <x:v>무기계약·공무직</x:v>
      </x:c>
      <x:c r="L285" s="17" t="str">
        <x:v>검토</x:v>
      </x:c>
      <x:c r="M285" s="17" t="str">
        <x:v>제한 문구 미탐지</x:v>
      </x:c>
      <x:c r="N285" s="17" t="str">
        <x:v>기관 공고 원문 확인</x:v>
      </x:c>
      <x:c r="O285" s="17" t="str">
        <x:v>기관 공고 원문 확인</x:v>
      </x:c>
      <x:c r="P285" s="17" t="str">
        <x:v>기관 공고 원문 확인</x:v>
      </x:c>
      <x:c r="Q285" s="17" t="str">
        <x:v>기관 공고 원문 확인</x:v>
      </x:c>
      <x:c r="R285" s="17" t="str">
        <x:v>정상</x:v>
      </x:c>
      <x:c r="S285" s="18" t="str">
        <x:v>https://job.cleaneye.go.kr/user/ypRecruitment.do</x:v>
      </x:c>
      <x:c r="T285" s="1"/>
      <x:c r="U285" s="1"/>
      <x:c r="V285" s="1"/>
      <x:c r="W285" s="1"/>
      <x:c r="X285" s="1"/>
      <x:c r="Y285" s="1"/>
      <x:c r="Z285" s="1"/>
    </x:row>
    <x:row r="286" ht="50" customHeight="1">
      <x:c r="A286" s="17" t="n">
        <x:v>282</x:v>
      </x:c>
      <x:c r="B286" s="17" t="str">
        <x:v>경기도의료원</x:v>
      </x:c>
      <x:c r="C286" s="17" t="str">
        <x:v>경기도</x:v>
      </x:c>
      <x:c r="D286" s="17" t="str">
        <x:v>경기도의료원 파주병원 의사(마취통증의학과/계약직) 초빙 공고</x:v>
      </x:c>
      <x:c r="E286" s="17" t="str">
        <x:v>신입</x:v>
      </x:c>
      <x:c r="F286" s="17" t="str">
        <x:v>전문계약직</x:v>
      </x:c>
      <x:c r="G286" s="17" t="str">
        <x:v>명시 없음(원문 확인)</x:v>
      </x:c>
      <x:c r="H286" s="17" t="str">
        <x:v>2026-08-31</x:v>
      </x:c>
      <x:c r="I286" s="17" t="str">
        <x:v>2026-09-10</x:v>
      </x:c>
      <x:c r="J286" s="17" t="str">
        <x:v>모집중</x:v>
      </x:c>
      <x:c r="K286" s="17" t="str">
        <x:v>기타 채용</x:v>
      </x:c>
      <x:c r="L286" s="17" t="str">
        <x:v>검토</x:v>
      </x:c>
      <x:c r="M286" s="17" t="str">
        <x:v>제한 문구 미탐지</x:v>
      </x:c>
      <x:c r="N286" s="17" t="str">
        <x:v>기관 공고 원문 확인</x:v>
      </x:c>
      <x:c r="O286" s="17" t="str">
        <x:v>기관 공고 원문 확인</x:v>
      </x:c>
      <x:c r="P286" s="17" t="str">
        <x:v>기관 공고 원문 확인</x:v>
      </x:c>
      <x:c r="Q286" s="17" t="str">
        <x:v>기관 공고 원문 확인</x:v>
      </x:c>
      <x:c r="R286" s="17" t="str">
        <x:v>정상</x:v>
      </x:c>
      <x:c r="S286" s="18" t="str">
        <x:v>https://job.cleaneye.go.kr/user/ypRecruitment.do</x:v>
      </x:c>
      <x:c r="T286" s="1"/>
      <x:c r="U286" s="1"/>
      <x:c r="V286" s="1"/>
      <x:c r="W286" s="1"/>
      <x:c r="X286" s="1"/>
      <x:c r="Y286" s="1"/>
      <x:c r="Z286" s="1"/>
    </x:row>
    <x:row r="287" ht="50" customHeight="1">
      <x:c r="A287" s="17" t="n">
        <x:v>283</x:v>
      </x:c>
      <x:c r="B287" s="17" t="str">
        <x:v>의정부도시공사</x:v>
      </x:c>
      <x:c r="C287" s="17" t="str">
        <x:v>경기도</x:v>
      </x:c>
      <x:c r="D287" s="17" t="str">
        <x:v>의정부도시공사 임원(상임이사) 공개모집 공고</x:v>
      </x:c>
      <x:c r="E287" s="17" t="str">
        <x:v>신입+경력</x:v>
      </x:c>
      <x:c r="F287" s="17" t="str">
        <x:v>전문계약직</x:v>
      </x:c>
      <x:c r="G287" s="17" t="str">
        <x:v>명시 없음(원문 확인)</x:v>
      </x:c>
      <x:c r="H287" s="17" t="str">
        <x:v>2026-08-31</x:v>
      </x:c>
      <x:c r="I287" s="17" t="str">
        <x:v>2026-09-15</x:v>
      </x:c>
      <x:c r="J287" s="17" t="str">
        <x:v>모집중</x:v>
      </x:c>
      <x:c r="K287" s="17" t="str">
        <x:v>경력·전문직</x:v>
      </x:c>
      <x:c r="L287" s="17" t="str">
        <x:v>경력·전문 우선</x:v>
      </x:c>
      <x:c r="M287" s="17" t="str">
        <x:v>제한 문구 미탐지</x:v>
      </x:c>
      <x:c r="N287" s="17" t="str">
        <x:v>기관 공고 원문 확인</x:v>
      </x:c>
      <x:c r="O287" s="17" t="str">
        <x:v>기관 공고 원문 확인</x:v>
      </x:c>
      <x:c r="P287" s="17" t="str">
        <x:v>기관 공고 원문 확인</x:v>
      </x:c>
      <x:c r="Q287" s="17" t="str">
        <x:v>기관 공고 원문 확인</x:v>
      </x:c>
      <x:c r="R287" s="17" t="str">
        <x:v>정상</x:v>
      </x:c>
      <x:c r="S287" s="18" t="str">
        <x:v>https://job.cleaneye.go.kr/user/ypRecruitment.do</x:v>
      </x:c>
      <x:c r="T287" s="1"/>
      <x:c r="U287" s="1"/>
      <x:c r="V287" s="1"/>
      <x:c r="W287" s="1"/>
      <x:c r="X287" s="1"/>
      <x:c r="Y287" s="1"/>
      <x:c r="Z287" s="1"/>
    </x:row>
    <x:row r="288" ht="50" customHeight="1">
      <x:c r="A288" s="17" t="n">
        <x:v>284</x:v>
      </x:c>
      <x:c r="B288" s="17" t="str">
        <x:v>대전관광공사</x:v>
      </x:c>
      <x:c r="C288" s="17" t="str">
        <x:v>대전광역시</x:v>
      </x:c>
      <x:c r="D288" s="17" t="str">
        <x:v>대전관광공사 본사옥 운영관리 기간제근로자 채용 공고</x:v>
      </x:c>
      <x:c r="E288" s="17" t="str">
        <x:v>신입+경력</x:v>
      </x:c>
      <x:c r="F288" s="17" t="str">
        <x:v>기간제</x:v>
      </x:c>
      <x:c r="G288" s="17" t="str">
        <x:v>명시 없음(원문 확인)</x:v>
      </x:c>
      <x:c r="H288" s="17" t="str">
        <x:v>2026-08-31</x:v>
      </x:c>
      <x:c r="I288" s="17" t="str">
        <x:v>2026-09-10</x:v>
      </x:c>
      <x:c r="J288" s="17" t="str">
        <x:v>모집중</x:v>
      </x:c>
      <x:c r="K288" s="17" t="str">
        <x:v>기간제·비정규</x:v>
      </x:c>
      <x:c r="L288" s="17" t="str">
        <x:v>검토</x:v>
      </x:c>
      <x:c r="M288" s="17" t="str">
        <x:v>제한 문구 미탐지</x:v>
      </x:c>
      <x:c r="N288" s="17" t="str">
        <x:v>기관 공고 원문 확인</x:v>
      </x:c>
      <x:c r="O288" s="17" t="str">
        <x:v>기관 공고 원문 확인</x:v>
      </x:c>
      <x:c r="P288" s="17" t="str">
        <x:v>기관 공고 원문 확인</x:v>
      </x:c>
      <x:c r="Q288" s="17" t="str">
        <x:v>기관 공고 원문 확인</x:v>
      </x:c>
      <x:c r="R288" s="17" t="str">
        <x:v>정상</x:v>
      </x:c>
      <x:c r="S288" s="18" t="str">
        <x:v>https://job.cleaneye.go.kr/user/ypRecruitment.do</x:v>
      </x:c>
      <x:c r="T288" s="1"/>
      <x:c r="U288" s="1"/>
      <x:c r="V288" s="1"/>
      <x:c r="W288" s="1"/>
      <x:c r="X288" s="1"/>
      <x:c r="Y288" s="1"/>
      <x:c r="Z288" s="1"/>
    </x:row>
    <x:row r="289" ht="50" customHeight="1">
      <x:c r="A289" s="17" t="n">
        <x:v>285</x:v>
      </x:c>
      <x:c r="B289" s="17" t="str">
        <x:v>재단법인 평택시문화재단</x:v>
      </x:c>
      <x:c r="C289" s="17" t="str">
        <x:v>경기도</x:v>
      </x:c>
      <x:c r="D289" s="17" t="str">
        <x:v>2026년 제8차 평택시문화재단 직원(본부장) 채용 공고</x:v>
      </x:c>
      <x:c r="E289" s="17" t="str">
        <x:v>경력</x:v>
      </x:c>
      <x:c r="F289" s="17" t="str">
        <x:v>전문계약직</x:v>
      </x:c>
      <x:c r="G289" s="17" t="str">
        <x:v>명시 없음(원문 확인)</x:v>
      </x:c>
      <x:c r="H289" s="17" t="str">
        <x:v>2026-08-28</x:v>
      </x:c>
      <x:c r="I289" s="17" t="str">
        <x:v>2026-09-09</x:v>
      </x:c>
      <x:c r="J289" s="17" t="str">
        <x:v>모집중</x:v>
      </x:c>
      <x:c r="K289" s="17" t="str">
        <x:v>기타 채용</x:v>
      </x:c>
      <x:c r="L289" s="17" t="str">
        <x:v>세부조건 확인</x:v>
      </x:c>
      <x:c r="M289" s="17" t="str">
        <x:v>제한 문구 미탐지</x:v>
      </x:c>
      <x:c r="N289" s="17" t="str">
        <x:v>기관 공고 원문 확인</x:v>
      </x:c>
      <x:c r="O289" s="17" t="str">
        <x:v>기관 공고 원문 확인</x:v>
      </x:c>
      <x:c r="P289" s="17" t="str">
        <x:v>기관 공고 원문 확인</x:v>
      </x:c>
      <x:c r="Q289" s="17" t="str">
        <x:v>기관 공고 원문 확인</x:v>
      </x:c>
      <x:c r="R289" s="17" t="str">
        <x:v>정상</x:v>
      </x:c>
      <x:c r="S289" s="18" t="str">
        <x:v>https://job.cleaneye.go.kr/user/ypRecruitment.do</x:v>
      </x:c>
      <x:c r="T289" s="1"/>
      <x:c r="U289" s="1"/>
      <x:c r="V289" s="1"/>
      <x:c r="W289" s="1"/>
      <x:c r="X289" s="1"/>
      <x:c r="Y289" s="1"/>
      <x:c r="Z289" s="1"/>
    </x:row>
    <x:row r="290" ht="50" customHeight="1">
      <x:c r="A290" s="17" t="n">
        <x:v>286</x:v>
      </x:c>
      <x:c r="B290" s="17" t="str">
        <x:v>부산광역시기장군도시관리공단</x:v>
      </x:c>
      <x:c r="C290" s="17" t="str">
        <x:v>부산광역시</x:v>
      </x:c>
      <x:c r="D290" s="17" t="str">
        <x:v>2026년도 제1회 기장군노인복지관 노인맞춤돌봄서비스 퇴원환자 단기집중 서비스 제공 인력 모집 공고</x:v>
      </x:c>
      <x:c r="E290" s="17" t="str">
        <x:v>신입+경력</x:v>
      </x:c>
      <x:c r="F290" s="17" t="str">
        <x:v>기간제</x:v>
      </x:c>
      <x:c r="G290" s="17" t="str">
        <x:v>명시 없음(원문 확인)</x:v>
      </x:c>
      <x:c r="H290" s="17" t="str">
        <x:v>2026-08-28</x:v>
      </x:c>
      <x:c r="I290" s="17" t="str">
        <x:v>2026-09-11</x:v>
      </x:c>
      <x:c r="J290" s="17" t="str">
        <x:v>모집중</x:v>
      </x:c>
      <x:c r="K290" s="17" t="str">
        <x:v>기간제·비정규</x:v>
      </x:c>
      <x:c r="L290" s="17" t="str">
        <x:v>검토</x:v>
      </x:c>
      <x:c r="M290" s="17" t="str">
        <x:v>제한 문구 미탐지</x:v>
      </x:c>
      <x:c r="N290" s="17" t="str">
        <x:v>기관 공고 원문 확인</x:v>
      </x:c>
      <x:c r="O290" s="17" t="str">
        <x:v>기관 공고 원문 확인</x:v>
      </x:c>
      <x:c r="P290" s="17" t="str">
        <x:v>기관 공고 원문 확인</x:v>
      </x:c>
      <x:c r="Q290" s="17" t="str">
        <x:v>기관 공고 원문 확인</x:v>
      </x:c>
      <x:c r="R290" s="17" t="str">
        <x:v>정상</x:v>
      </x:c>
      <x:c r="S290" s="18" t="str">
        <x:v>https://job.cleaneye.go.kr/user/ypRecruitment.do</x:v>
      </x:c>
      <x:c r="T290" s="1"/>
      <x:c r="U290" s="1"/>
      <x:c r="V290" s="1"/>
      <x:c r="W290" s="1"/>
      <x:c r="X290" s="1"/>
      <x:c r="Y290" s="1"/>
      <x:c r="Z290" s="1"/>
    </x:row>
    <x:row r="291" ht="50" customHeight="1">
      <x:c r="A291" s="17" t="n">
        <x:v>287</x:v>
      </x:c>
      <x:c r="B291" s="17" t="str">
        <x:v>경상북도김천의료원</x:v>
      </x:c>
      <x:c r="C291" s="17" t="str">
        <x:v>경상북도</x:v>
      </x:c>
      <x:c r="D291" s="17" t="str">
        <x:v>경상북도 김천의료원 순환기내과 전문의 채용</x:v>
      </x:c>
      <x:c r="E291" s="17" t="str">
        <x:v>신입+경력</x:v>
      </x:c>
      <x:c r="F291" s="17" t="str">
        <x:v>전문계약직</x:v>
      </x:c>
      <x:c r="G291" s="17" t="str">
        <x:v>명시 없음(원문 확인)</x:v>
      </x:c>
      <x:c r="H291" s="17" t="str">
        <x:v>2026-08-28</x:v>
      </x:c>
      <x:c r="I291" s="17" t="str">
        <x:v>2026-09-13</x:v>
      </x:c>
      <x:c r="J291" s="17" t="str">
        <x:v>모집중</x:v>
      </x:c>
      <x:c r="K291" s="17" t="str">
        <x:v>경력·전문직</x:v>
      </x:c>
      <x:c r="L291" s="17" t="str">
        <x:v>경력·전문 우선</x:v>
      </x:c>
      <x:c r="M291" s="17" t="str">
        <x:v>제한 문구 미탐지</x:v>
      </x:c>
      <x:c r="N291" s="17" t="str">
        <x:v>기관 공고 원문 확인</x:v>
      </x:c>
      <x:c r="O291" s="17" t="str">
        <x:v>기관 공고 원문 확인</x:v>
      </x:c>
      <x:c r="P291" s="17" t="str">
        <x:v>기관 공고 원문 확인</x:v>
      </x:c>
      <x:c r="Q291" s="17" t="str">
        <x:v>기관 공고 원문 확인</x:v>
      </x:c>
      <x:c r="R291" s="17" t="str">
        <x:v>정상</x:v>
      </x:c>
      <x:c r="S291" s="18" t="str">
        <x:v>https://job.cleaneye.go.kr/user/ypRecruitment.do</x:v>
      </x:c>
      <x:c r="T291" s="1"/>
      <x:c r="U291" s="1"/>
      <x:c r="V291" s="1"/>
      <x:c r="W291" s="1"/>
      <x:c r="X291" s="1"/>
      <x:c r="Y291" s="1"/>
      <x:c r="Z291" s="1"/>
    </x:row>
    <x:row r="292" ht="50" customHeight="1">
      <x:c r="A292" s="17" t="n">
        <x:v>288</x:v>
      </x:c>
      <x:c r="B292" s="17" t="str">
        <x:v>경상북도김천의료원</x:v>
      </x:c>
      <x:c r="C292" s="17" t="str">
        <x:v>경상북도</x:v>
      </x:c>
      <x:c r="D292" s="17" t="str">
        <x:v>경상북도 김천의료원 산부인과 전문의 채용</x:v>
      </x:c>
      <x:c r="E292" s="17" t="str">
        <x:v>신입+경력</x:v>
      </x:c>
      <x:c r="F292" s="17" t="str">
        <x:v>전문계약직</x:v>
      </x:c>
      <x:c r="G292" s="17" t="str">
        <x:v>명시 없음(원문 확인)</x:v>
      </x:c>
      <x:c r="H292" s="17" t="str">
        <x:v>2026-08-28</x:v>
      </x:c>
      <x:c r="I292" s="17" t="str">
        <x:v>2026-09-13</x:v>
      </x:c>
      <x:c r="J292" s="17" t="str">
        <x:v>모집중</x:v>
      </x:c>
      <x:c r="K292" s="17" t="str">
        <x:v>경력·전문직</x:v>
      </x:c>
      <x:c r="L292" s="17" t="str">
        <x:v>경력·전문 우선</x:v>
      </x:c>
      <x:c r="M292" s="17" t="str">
        <x:v>제한 문구 미탐지</x:v>
      </x:c>
      <x:c r="N292" s="17" t="str">
        <x:v>기관 공고 원문 확인</x:v>
      </x:c>
      <x:c r="O292" s="17" t="str">
        <x:v>기관 공고 원문 확인</x:v>
      </x:c>
      <x:c r="P292" s="17" t="str">
        <x:v>기관 공고 원문 확인</x:v>
      </x:c>
      <x:c r="Q292" s="17" t="str">
        <x:v>기관 공고 원문 확인</x:v>
      </x:c>
      <x:c r="R292" s="17" t="str">
        <x:v>정상</x:v>
      </x:c>
      <x:c r="S292" s="18" t="str">
        <x:v>https://job.cleaneye.go.kr/user/ypRecruitment.do</x:v>
      </x:c>
      <x:c r="T292" s="1"/>
      <x:c r="U292" s="1"/>
      <x:c r="V292" s="1"/>
      <x:c r="W292" s="1"/>
      <x:c r="X292" s="1"/>
      <x:c r="Y292" s="1"/>
      <x:c r="Z292" s="1"/>
    </x:row>
    <x:row r="293" ht="50" customHeight="1">
      <x:c r="A293" s="17" t="n">
        <x:v>289</x:v>
      </x:c>
      <x:c r="B293" s="17" t="str">
        <x:v>경상북도김천의료원</x:v>
      </x:c>
      <x:c r="C293" s="17" t="str">
        <x:v>경상북도</x:v>
      </x:c>
      <x:c r="D293" s="17" t="str">
        <x:v>경상북도 김천의료원 이비인후과 전문의 채용</x:v>
      </x:c>
      <x:c r="E293" s="17" t="str">
        <x:v>신입+경력</x:v>
      </x:c>
      <x:c r="F293" s="17" t="str">
        <x:v>전문계약직</x:v>
      </x:c>
      <x:c r="G293" s="17" t="str">
        <x:v>명시 없음(원문 확인)</x:v>
      </x:c>
      <x:c r="H293" s="17" t="str">
        <x:v>2026-08-28</x:v>
      </x:c>
      <x:c r="I293" s="17" t="str">
        <x:v>2026-09-13</x:v>
      </x:c>
      <x:c r="J293" s="17" t="str">
        <x:v>모집중</x:v>
      </x:c>
      <x:c r="K293" s="17" t="str">
        <x:v>경력·전문직</x:v>
      </x:c>
      <x:c r="L293" s="17" t="str">
        <x:v>경력·전문 우선</x:v>
      </x:c>
      <x:c r="M293" s="17" t="str">
        <x:v>제한 문구 미탐지</x:v>
      </x:c>
      <x:c r="N293" s="17" t="str">
        <x:v>기관 공고 원문 확인</x:v>
      </x:c>
      <x:c r="O293" s="17" t="str">
        <x:v>기관 공고 원문 확인</x:v>
      </x:c>
      <x:c r="P293" s="17" t="str">
        <x:v>기관 공고 원문 확인</x:v>
      </x:c>
      <x:c r="Q293" s="17" t="str">
        <x:v>기관 공고 원문 확인</x:v>
      </x:c>
      <x:c r="R293" s="17" t="str">
        <x:v>정상</x:v>
      </x:c>
      <x:c r="S293" s="18" t="str">
        <x:v>https://job.cleaneye.go.kr/user/ypRecruitment.do</x:v>
      </x:c>
      <x:c r="T293" s="1"/>
      <x:c r="U293" s="1"/>
      <x:c r="V293" s="1"/>
      <x:c r="W293" s="1"/>
      <x:c r="X293" s="1"/>
      <x:c r="Y293" s="1"/>
      <x:c r="Z293" s="1"/>
    </x:row>
    <x:row r="294" ht="50" customHeight="1">
      <x:c r="A294" s="17" t="n">
        <x:v>290</x:v>
      </x:c>
      <x:c r="B294" s="17" t="str">
        <x:v>경상북도김천의료원</x:v>
      </x:c>
      <x:c r="C294" s="17" t="str">
        <x:v>경상북도</x:v>
      </x:c>
      <x:c r="D294" s="17" t="str">
        <x:v>경상북도 김천의료원 (내분비·감염)내과 전문의 채용</x:v>
      </x:c>
      <x:c r="E294" s="17" t="str">
        <x:v>신입+경력</x:v>
      </x:c>
      <x:c r="F294" s="17" t="str">
        <x:v>전문계약직</x:v>
      </x:c>
      <x:c r="G294" s="17" t="str">
        <x:v>명시 없음(원문 확인)</x:v>
      </x:c>
      <x:c r="H294" s="17" t="str">
        <x:v>2026-08-28</x:v>
      </x:c>
      <x:c r="I294" s="17" t="str">
        <x:v>2026-09-13</x:v>
      </x:c>
      <x:c r="J294" s="17" t="str">
        <x:v>모집중</x:v>
      </x:c>
      <x:c r="K294" s="17" t="str">
        <x:v>경력·전문직</x:v>
      </x:c>
      <x:c r="L294" s="17" t="str">
        <x:v>경력·전문 우선</x:v>
      </x:c>
      <x:c r="M294" s="17" t="str">
        <x:v>제한 문구 미탐지</x:v>
      </x:c>
      <x:c r="N294" s="17" t="str">
        <x:v>기관 공고 원문 확인</x:v>
      </x:c>
      <x:c r="O294" s="17" t="str">
        <x:v>기관 공고 원문 확인</x:v>
      </x:c>
      <x:c r="P294" s="17" t="str">
        <x:v>기관 공고 원문 확인</x:v>
      </x:c>
      <x:c r="Q294" s="17" t="str">
        <x:v>기관 공고 원문 확인</x:v>
      </x:c>
      <x:c r="R294" s="17" t="str">
        <x:v>정상</x:v>
      </x:c>
      <x:c r="S294" s="18" t="str">
        <x:v>https://job.cleaneye.go.kr/user/ypRecruitment.do</x:v>
      </x:c>
      <x:c r="T294" s="1"/>
      <x:c r="U294" s="1"/>
      <x:c r="V294" s="1"/>
      <x:c r="W294" s="1"/>
      <x:c r="X294" s="1"/>
      <x:c r="Y294" s="1"/>
      <x:c r="Z294" s="1"/>
    </x:row>
    <x:row r="295" ht="50" customHeight="1">
      <x:c r="A295" s="17" t="n">
        <x:v>291</x:v>
      </x:c>
      <x:c r="B295" s="17" t="str">
        <x:v>(재)진주바이오산업진흥원</x:v>
      </x:c>
      <x:c r="C295" s="17" t="str">
        <x:v>경상남도</x:v>
      </x:c>
      <x:c r="D295" s="17" t="str">
        <x:v>2026년 진주바이오산업진흥원 기간제(과제연구원) 공개채용 공고</x:v>
      </x:c>
      <x:c r="E295" s="17" t="str">
        <x:v>신입+경력</x:v>
      </x:c>
      <x:c r="F295" s="17" t="str">
        <x:v>기간제</x:v>
      </x:c>
      <x:c r="G295" s="17" t="str">
        <x:v>명시 없음(원문 확인)</x:v>
      </x:c>
      <x:c r="H295" s="17" t="str">
        <x:v>2026-08-28</x:v>
      </x:c>
      <x:c r="I295" s="17" t="str">
        <x:v>2026-09-09</x:v>
      </x:c>
      <x:c r="J295" s="17" t="str">
        <x:v>모집중</x:v>
      </x:c>
      <x:c r="K295" s="17" t="str">
        <x:v>기간제·비정규</x:v>
      </x:c>
      <x:c r="L295" s="17" t="str">
        <x:v>검토</x:v>
      </x:c>
      <x:c r="M295" s="17" t="str">
        <x:v>제한 문구 미탐지</x:v>
      </x:c>
      <x:c r="N295" s="17" t="str">
        <x:v>기관 공고 원문 확인</x:v>
      </x:c>
      <x:c r="O295" s="17" t="str">
        <x:v>기관 공고 원문 확인</x:v>
      </x:c>
      <x:c r="P295" s="17" t="str">
        <x:v>기관 공고 원문 확인</x:v>
      </x:c>
      <x:c r="Q295" s="17" t="str">
        <x:v>기관 공고 원문 확인</x:v>
      </x:c>
      <x:c r="R295" s="17" t="str">
        <x:v>정상</x:v>
      </x:c>
      <x:c r="S295" s="18" t="str">
        <x:v>https://job.cleaneye.go.kr/user/ypRecruitment.do</x:v>
      </x:c>
      <x:c r="T295" s="1"/>
      <x:c r="U295" s="1"/>
      <x:c r="V295" s="1"/>
      <x:c r="W295" s="1"/>
      <x:c r="X295" s="1"/>
      <x:c r="Y295" s="1"/>
      <x:c r="Z295" s="1"/>
    </x:row>
    <x:row r="296" ht="50" customHeight="1">
      <x:c r="A296" s="17" t="n">
        <x:v>292</x:v>
      </x:c>
      <x:c r="B296" s="17" t="str">
        <x:v>경상북도김천의료원</x:v>
      </x:c>
      <x:c r="C296" s="17" t="str">
        <x:v>경상북도</x:v>
      </x:c>
      <x:c r="D296" s="17" t="str">
        <x:v>경상북도 김천의료원 신경외과 전문의 채용</x:v>
      </x:c>
      <x:c r="E296" s="17" t="str">
        <x:v>신입+경력</x:v>
      </x:c>
      <x:c r="F296" s="17" t="str">
        <x:v>전문계약직</x:v>
      </x:c>
      <x:c r="G296" s="17" t="str">
        <x:v>명시 없음(원문 확인)</x:v>
      </x:c>
      <x:c r="H296" s="17" t="str">
        <x:v>2026-08-28</x:v>
      </x:c>
      <x:c r="I296" s="17" t="str">
        <x:v>2026-09-13</x:v>
      </x:c>
      <x:c r="J296" s="17" t="str">
        <x:v>모집중</x:v>
      </x:c>
      <x:c r="K296" s="17" t="str">
        <x:v>경력·전문직</x:v>
      </x:c>
      <x:c r="L296" s="17" t="str">
        <x:v>경력·전문 우선</x:v>
      </x:c>
      <x:c r="M296" s="17" t="str">
        <x:v>제한 문구 미탐지</x:v>
      </x:c>
      <x:c r="N296" s="17" t="str">
        <x:v>기관 공고 원문 확인</x:v>
      </x:c>
      <x:c r="O296" s="17" t="str">
        <x:v>기관 공고 원문 확인</x:v>
      </x:c>
      <x:c r="P296" s="17" t="str">
        <x:v>기관 공고 원문 확인</x:v>
      </x:c>
      <x:c r="Q296" s="17" t="str">
        <x:v>기관 공고 원문 확인</x:v>
      </x:c>
      <x:c r="R296" s="17" t="str">
        <x:v>정상</x:v>
      </x:c>
      <x:c r="S296" s="18" t="str">
        <x:v>https://job.cleaneye.go.kr/user/ypRecruitment.do</x:v>
      </x:c>
      <x:c r="T296" s="1"/>
      <x:c r="U296" s="1"/>
      <x:c r="V296" s="1"/>
      <x:c r="W296" s="1"/>
      <x:c r="X296" s="1"/>
      <x:c r="Y296" s="1"/>
      <x:c r="Z296" s="1"/>
    </x:row>
    <x:row r="297" ht="50" customHeight="1">
      <x:c r="A297" s="17" t="n">
        <x:v>293</x:v>
      </x:c>
      <x:c r="B297" s="17" t="str">
        <x:v>경상북도경제진흥원</x:v>
      </x:c>
      <x:c r="C297" s="17" t="str">
        <x:v>경상북도</x:v>
      </x:c>
      <x:c r="D297" s="17" t="str">
        <x:v>(재)경상북도경제진흥원 과제 계약직근로자 채용(블라인드)공고</x:v>
      </x:c>
      <x:c r="E297" s="17" t="str">
        <x:v>경력</x:v>
      </x:c>
      <x:c r="F297" s="17" t="str">
        <x:v>기간제</x:v>
      </x:c>
      <x:c r="G297" s="17" t="str">
        <x:v>명시 없음(원문 확인)</x:v>
      </x:c>
      <x:c r="H297" s="17" t="str">
        <x:v>2026-08-27</x:v>
      </x:c>
      <x:c r="I297" s="17" t="str">
        <x:v>2026-09-11</x:v>
      </x:c>
      <x:c r="J297" s="17" t="str">
        <x:v>모집중</x:v>
      </x:c>
      <x:c r="K297" s="17" t="str">
        <x:v>기간제·비정규</x:v>
      </x:c>
      <x:c r="L297" s="17" t="str">
        <x:v>세부조건 확인</x:v>
      </x:c>
      <x:c r="M297" s="17" t="str">
        <x:v>제한 문구 미탐지</x:v>
      </x:c>
      <x:c r="N297" s="17" t="str">
        <x:v>기관 공고 원문 확인</x:v>
      </x:c>
      <x:c r="O297" s="17" t="str">
        <x:v>기관 공고 원문 확인</x:v>
      </x:c>
      <x:c r="P297" s="17" t="str">
        <x:v>기관 공고 원문 확인</x:v>
      </x:c>
      <x:c r="Q297" s="17" t="str">
        <x:v>기관 공고 원문 확인</x:v>
      </x:c>
      <x:c r="R297" s="17" t="str">
        <x:v>정상</x:v>
      </x:c>
      <x:c r="S297" s="18" t="str">
        <x:v>https://job.cleaneye.go.kr/user/ypRecruitment.do</x:v>
      </x:c>
      <x:c r="T297" s="1"/>
      <x:c r="U297" s="1"/>
      <x:c r="V297" s="1"/>
      <x:c r="W297" s="1"/>
      <x:c r="X297" s="1"/>
      <x:c r="Y297" s="1"/>
      <x:c r="Z297" s="1"/>
    </x:row>
    <x:row r="298" ht="50" customHeight="1">
      <x:c r="A298" s="17" t="n">
        <x:v>294</x:v>
      </x:c>
      <x:c r="B298" s="17" t="str">
        <x:v>재단법인 남해군관광문화재단</x:v>
      </x:c>
      <x:c r="C298" s="17" t="str">
        <x:v>경상남도</x:v>
      </x:c>
      <x:c r="D298" s="17" t="str">
        <x:v>(재)남해군 관광문화재단 대표이사 공개모집 공고</x:v>
      </x:c>
      <x:c r="E298" s="17" t="str">
        <x:v>경력</x:v>
      </x:c>
      <x:c r="F298" s="17" t="str">
        <x:v>전문계약직</x:v>
      </x:c>
      <x:c r="G298" s="17" t="str">
        <x:v>명시 없음(원문 확인)</x:v>
      </x:c>
      <x:c r="H298" s="17" t="str">
        <x:v>2026-08-27</x:v>
      </x:c>
      <x:c r="I298" s="17" t="str">
        <x:v>2026-09-11</x:v>
      </x:c>
      <x:c r="J298" s="17" t="str">
        <x:v>모집중</x:v>
      </x:c>
      <x:c r="K298" s="17" t="str">
        <x:v>기타 채용</x:v>
      </x:c>
      <x:c r="L298" s="17" t="str">
        <x:v>세부조건 확인</x:v>
      </x:c>
      <x:c r="M298" s="17" t="str">
        <x:v>제한 문구 미탐지</x:v>
      </x:c>
      <x:c r="N298" s="17" t="str">
        <x:v>기관 공고 원문 확인</x:v>
      </x:c>
      <x:c r="O298" s="17" t="str">
        <x:v>기관 공고 원문 확인</x:v>
      </x:c>
      <x:c r="P298" s="17" t="str">
        <x:v>기관 공고 원문 확인</x:v>
      </x:c>
      <x:c r="Q298" s="17" t="str">
        <x:v>기관 공고 원문 확인</x:v>
      </x:c>
      <x:c r="R298" s="17" t="str">
        <x:v>정상</x:v>
      </x:c>
      <x:c r="S298" s="18" t="str">
        <x:v>https://job.cleaneye.go.kr/user/ypRecruitment.do</x:v>
      </x:c>
      <x:c r="T298" s="1"/>
      <x:c r="U298" s="1"/>
      <x:c r="V298" s="1"/>
      <x:c r="W298" s="1"/>
      <x:c r="X298" s="1"/>
      <x:c r="Y298" s="1"/>
      <x:c r="Z298" s="1"/>
    </x:row>
    <x:row r="299" ht="50" customHeight="1">
      <x:c r="A299" s="17" t="n">
        <x:v>295</x:v>
      </x:c>
      <x:c r="B299" s="17" t="str">
        <x:v>포항시시설관리공단</x:v>
      </x:c>
      <x:c r="C299" s="17" t="str">
        <x:v>경상북도</x:v>
      </x:c>
      <x:c r="D299" s="17" t="str">
        <x:v>포항시시설관리공단 임원 후보자 공개모집 공고</x:v>
      </x:c>
      <x:c r="E299" s="17" t="str">
        <x:v>신입+경력</x:v>
      </x:c>
      <x:c r="F299" s="17" t="str">
        <x:v>일반계약직</x:v>
      </x:c>
      <x:c r="G299" s="17" t="str">
        <x:v>명시 없음(원문 확인)</x:v>
      </x:c>
      <x:c r="H299" s="17" t="str">
        <x:v>2026-08-27</x:v>
      </x:c>
      <x:c r="I299" s="17" t="str">
        <x:v>2026-09-11</x:v>
      </x:c>
      <x:c r="J299" s="17" t="str">
        <x:v>모집중</x:v>
      </x:c>
      <x:c r="K299" s="17" t="str">
        <x:v>경력·전문직</x:v>
      </x:c>
      <x:c r="L299" s="17" t="str">
        <x:v>경력·전문 우선</x:v>
      </x:c>
      <x:c r="M299" s="17" t="str">
        <x:v>제한 문구 미탐지</x:v>
      </x:c>
      <x:c r="N299" s="17" t="str">
        <x:v>기관 공고 원문 확인</x:v>
      </x:c>
      <x:c r="O299" s="17" t="str">
        <x:v>기관 공고 원문 확인</x:v>
      </x:c>
      <x:c r="P299" s="17" t="str">
        <x:v>기관 공고 원문 확인</x:v>
      </x:c>
      <x:c r="Q299" s="17" t="str">
        <x:v>기관 공고 원문 확인</x:v>
      </x:c>
      <x:c r="R299" s="17" t="str">
        <x:v>정상</x:v>
      </x:c>
      <x:c r="S299" s="18" t="str">
        <x:v>https://job.cleaneye.go.kr/user/ypRecruitment.do</x:v>
      </x:c>
      <x:c r="T299" s="1"/>
      <x:c r="U299" s="1"/>
      <x:c r="V299" s="1"/>
      <x:c r="W299" s="1"/>
      <x:c r="X299" s="1"/>
      <x:c r="Y299" s="1"/>
      <x:c r="Z299" s="1"/>
    </x:row>
    <x:row r="300" ht="50" customHeight="1">
      <x:c r="A300" s="17" t="n">
        <x:v>296</x:v>
      </x:c>
      <x:c r="B300" s="17" t="str">
        <x:v>목포시의료원</x:v>
      </x:c>
      <x:c r="C300" s="17" t="str">
        <x:v>전남광주통합특별시</x:v>
      </x:c>
      <x:c r="D300" s="17" t="str">
        <x:v>제2026-83호직원(의사직_내과, 안과, 소아청소년과, 응급실 전담의) 채용 공고</x:v>
      </x:c>
      <x:c r="E300" s="17" t="str">
        <x:v>신입+경력</x:v>
      </x:c>
      <x:c r="F300" s="17" t="str">
        <x:v>전문계약직</x:v>
      </x:c>
      <x:c r="G300" s="17" t="str">
        <x:v>명시 없음(원문 확인)</x:v>
      </x:c>
      <x:c r="H300" s="17" t="str">
        <x:v>2026-08-27</x:v>
      </x:c>
      <x:c r="I300" s="17" t="str">
        <x:v>2026-09-09</x:v>
      </x:c>
      <x:c r="J300" s="17" t="str">
        <x:v>모집중</x:v>
      </x:c>
      <x:c r="K300" s="17" t="str">
        <x:v>기타 채용</x:v>
      </x:c>
      <x:c r="L300" s="17" t="str">
        <x:v>검토</x:v>
      </x:c>
      <x:c r="M300" s="17" t="str">
        <x:v>제한 문구 미탐지</x:v>
      </x:c>
      <x:c r="N300" s="17" t="str">
        <x:v>기관 공고 원문 확인</x:v>
      </x:c>
      <x:c r="O300" s="17" t="str">
        <x:v>기관 공고 원문 확인</x:v>
      </x:c>
      <x:c r="P300" s="17" t="str">
        <x:v>기관 공고 원문 확인</x:v>
      </x:c>
      <x:c r="Q300" s="17" t="str">
        <x:v>기관 공고 원문 확인</x:v>
      </x:c>
      <x:c r="R300" s="17" t="str">
        <x:v>정상</x:v>
      </x:c>
      <x:c r="S300" s="18" t="str">
        <x:v>https://job.cleaneye.go.kr/user/ypRecruitment.do</x:v>
      </x:c>
      <x:c r="T300" s="1"/>
      <x:c r="U300" s="1"/>
      <x:c r="V300" s="1"/>
      <x:c r="W300" s="1"/>
      <x:c r="X300" s="1"/>
      <x:c r="Y300" s="1"/>
      <x:c r="Z300" s="1"/>
    </x:row>
    <x:row r="301" ht="50" customHeight="1">
      <x:c r="A301" s="17" t="n">
        <x:v>297</x:v>
      </x:c>
      <x:c r="B301" s="17" t="str">
        <x:v>재단법인 경상남도 여성가족재단</x:v>
      </x:c>
      <x:c r="C301" s="17" t="str">
        <x:v>경상남도</x:v>
      </x:c>
      <x:c r="D301" s="17" t="str">
        <x:v>(재)경상남도 여성가족재단 대표이사 공개모집 공고</x:v>
      </x:c>
      <x:c r="E301" s="17" t="str">
        <x:v>신입+경력</x:v>
      </x:c>
      <x:c r="F301" s="17" t="str">
        <x:v>일반계약직</x:v>
      </x:c>
      <x:c r="G301" s="17" t="str">
        <x:v>명시 없음(원문 확인)</x:v>
      </x:c>
      <x:c r="H301" s="17" t="str">
        <x:v>2026-08-27</x:v>
      </x:c>
      <x:c r="I301" s="17" t="str">
        <x:v>2026-09-11</x:v>
      </x:c>
      <x:c r="J301" s="17" t="str">
        <x:v>모집중</x:v>
      </x:c>
      <x:c r="K301" s="17" t="str">
        <x:v>기타 채용</x:v>
      </x:c>
      <x:c r="L301" s="17" t="str">
        <x:v>검토</x:v>
      </x:c>
      <x:c r="M301" s="17" t="str">
        <x:v>제한 문구 미탐지</x:v>
      </x:c>
      <x:c r="N301" s="17" t="str">
        <x:v>기관 공고 원문 확인</x:v>
      </x:c>
      <x:c r="O301" s="17" t="str">
        <x:v>기관 공고 원문 확인</x:v>
      </x:c>
      <x:c r="P301" s="17" t="str">
        <x:v>기관 공고 원문 확인</x:v>
      </x:c>
      <x:c r="Q301" s="17" t="str">
        <x:v>기관 공고 원문 확인</x:v>
      </x:c>
      <x:c r="R301" s="17" t="str">
        <x:v>정상</x:v>
      </x:c>
      <x:c r="S301" s="18" t="str">
        <x:v>https://job.cleaneye.go.kr/user/ypRecruitment.do</x:v>
      </x:c>
      <x:c r="T301" s="1"/>
      <x:c r="U301" s="1"/>
      <x:c r="V301" s="1"/>
      <x:c r="W301" s="1"/>
      <x:c r="X301" s="1"/>
      <x:c r="Y301" s="1"/>
      <x:c r="Z301" s="1"/>
    </x:row>
    <x:row r="302" ht="50" customHeight="1">
      <x:c r="A302" s="17" t="n">
        <x:v>298</x:v>
      </x:c>
      <x:c r="B302" s="17" t="str">
        <x:v>경기대진테크노파크</x:v>
      </x:c>
      <x:c r="C302" s="17" t="str">
        <x:v>경기도</x:v>
      </x:c>
      <x:c r="D302" s="17" t="str">
        <x:v>(재)경기대진테크노파크 유기계약직 채용 재공고(6차) (전기안전관리자)</x:v>
      </x:c>
      <x:c r="E302" s="17" t="str">
        <x:v>경력</x:v>
      </x:c>
      <x:c r="F302" s="17" t="str">
        <x:v>일반계약직</x:v>
      </x:c>
      <x:c r="G302" s="17" t="str">
        <x:v>명시 없음(원문 확인)</x:v>
      </x:c>
      <x:c r="H302" s="17" t="str">
        <x:v>2026-08-27</x:v>
      </x:c>
      <x:c r="I302" s="17" t="str">
        <x:v>2026-09-10</x:v>
      </x:c>
      <x:c r="J302" s="17" t="str">
        <x:v>모집중</x:v>
      </x:c>
      <x:c r="K302" s="17" t="str">
        <x:v>기타 채용</x:v>
      </x:c>
      <x:c r="L302" s="17" t="str">
        <x:v>세부조건 확인</x:v>
      </x:c>
      <x:c r="M302" s="17" t="str">
        <x:v>제한 문구 미탐지</x:v>
      </x:c>
      <x:c r="N302" s="17" t="str">
        <x:v>기관 공고 원문 확인</x:v>
      </x:c>
      <x:c r="O302" s="17" t="str">
        <x:v>기관 공고 원문 확인</x:v>
      </x:c>
      <x:c r="P302" s="17" t="str">
        <x:v>기관 공고 원문 확인</x:v>
      </x:c>
      <x:c r="Q302" s="17" t="str">
        <x:v>기관 공고 원문 확인</x:v>
      </x:c>
      <x:c r="R302" s="17" t="str">
        <x:v>정상</x:v>
      </x:c>
      <x:c r="S302" s="18" t="str">
        <x:v>https://job.cleaneye.go.kr/user/ypRecruitment.do</x:v>
      </x:c>
      <x:c r="T302" s="1"/>
      <x:c r="U302" s="1"/>
      <x:c r="V302" s="1"/>
      <x:c r="W302" s="1"/>
      <x:c r="X302" s="1"/>
      <x:c r="Y302" s="1"/>
      <x:c r="Z302" s="1"/>
    </x:row>
    <x:row r="303" ht="50" customHeight="1">
      <x:c r="A303" s="17" t="n">
        <x:v>299</x:v>
      </x:c>
      <x:c r="B303" s="17" t="str">
        <x:v>대한민국동작주식회사</x:v>
      </x:c>
      <x:c r="C303" s="17" t="str">
        <x:v>서울특별시</x:v>
      </x:c>
      <x:c r="D303" s="17" t="str">
        <x:v>대한민국동작주식회사 대표이사 공개모집 공고</x:v>
      </x:c>
      <x:c r="E303" s="17" t="str">
        <x:v>경력</x:v>
      </x:c>
      <x:c r="F303" s="17" t="str">
        <x:v>전문계약직</x:v>
      </x:c>
      <x:c r="G303" s="17" t="str">
        <x:v>명시 없음(원문 확인)</x:v>
      </x:c>
      <x:c r="H303" s="17" t="str">
        <x:v>2026-08-27</x:v>
      </x:c>
      <x:c r="I303" s="17" t="str">
        <x:v>2026-09-11</x:v>
      </x:c>
      <x:c r="J303" s="17" t="str">
        <x:v>모집중</x:v>
      </x:c>
      <x:c r="K303" s="17" t="str">
        <x:v>기타 채용</x:v>
      </x:c>
      <x:c r="L303" s="17" t="str">
        <x:v>세부조건 확인</x:v>
      </x:c>
      <x:c r="M303" s="17" t="str">
        <x:v>제한 문구 미탐지</x:v>
      </x:c>
      <x:c r="N303" s="17" t="str">
        <x:v>기관 공고 원문 확인</x:v>
      </x:c>
      <x:c r="O303" s="17" t="str">
        <x:v>기관 공고 원문 확인</x:v>
      </x:c>
      <x:c r="P303" s="17" t="str">
        <x:v>기관 공고 원문 확인</x:v>
      </x:c>
      <x:c r="Q303" s="17" t="str">
        <x:v>기관 공고 원문 확인</x:v>
      </x:c>
      <x:c r="R303" s="17" t="str">
        <x:v>정상</x:v>
      </x:c>
      <x:c r="S303" s="18" t="str">
        <x:v>https://job.cleaneye.go.kr/user/ypRecruitment.do</x:v>
      </x:c>
      <x:c r="T303" s="1"/>
      <x:c r="U303" s="1"/>
      <x:c r="V303" s="1"/>
      <x:c r="W303" s="1"/>
      <x:c r="X303" s="1"/>
      <x:c r="Y303" s="1"/>
      <x:c r="Z303" s="1"/>
    </x:row>
    <x:row r="304" ht="50" customHeight="1">
      <x:c r="A304" s="17" t="n">
        <x:v>300</x:v>
      </x:c>
      <x:c r="B304" s="17" t="str">
        <x:v>재단법인 경상남도 여성가족재단</x:v>
      </x:c>
      <x:c r="C304" s="17" t="str">
        <x:v>경상남도</x:v>
      </x:c>
      <x:c r="D304" s="17" t="str">
        <x:v>(재)경상남도 여성가족재단 선임직 이사 및 감사 공개모집 공고</x:v>
      </x:c>
      <x:c r="E304" s="17" t="str">
        <x:v>신입+경력</x:v>
      </x:c>
      <x:c r="F304" s="17" t="str">
        <x:v>비상임</x:v>
      </x:c>
      <x:c r="G304" s="17" t="str">
        <x:v>명시 없음(원문 확인)</x:v>
      </x:c>
      <x:c r="H304" s="17" t="str">
        <x:v>2026-08-27</x:v>
      </x:c>
      <x:c r="I304" s="17" t="str">
        <x:v>2026-09-11</x:v>
      </x:c>
      <x:c r="J304" s="17" t="str">
        <x:v>모집중</x:v>
      </x:c>
      <x:c r="K304" s="17" t="str">
        <x:v>경력·전문직</x:v>
      </x:c>
      <x:c r="L304" s="17" t="str">
        <x:v>경력·전문 우선</x:v>
      </x:c>
      <x:c r="M304" s="17" t="str">
        <x:v>제한 문구 미탐지</x:v>
      </x:c>
      <x:c r="N304" s="17" t="str">
        <x:v>기관 공고 원문 확인</x:v>
      </x:c>
      <x:c r="O304" s="17" t="str">
        <x:v>기관 공고 원문 확인</x:v>
      </x:c>
      <x:c r="P304" s="17" t="str">
        <x:v>기관 공고 원문 확인</x:v>
      </x:c>
      <x:c r="Q304" s="17" t="str">
        <x:v>기관 공고 원문 확인</x:v>
      </x:c>
      <x:c r="R304" s="17" t="str">
        <x:v>정상</x:v>
      </x:c>
      <x:c r="S304" s="18" t="str">
        <x:v>https://job.cleaneye.go.kr/user/ypRecruitment.do</x:v>
      </x:c>
      <x:c r="T304" s="1"/>
      <x:c r="U304" s="1"/>
      <x:c r="V304" s="1"/>
      <x:c r="W304" s="1"/>
      <x:c r="X304" s="1"/>
      <x:c r="Y304" s="1"/>
      <x:c r="Z304" s="1"/>
    </x:row>
    <x:row r="305" ht="50" customHeight="1">
      <x:c r="A305" s="17" t="n">
        <x:v>301</x:v>
      </x:c>
      <x:c r="B305" s="17" t="str">
        <x:v>이천시시설관리공단</x:v>
      </x:c>
      <x:c r="C305" s="17" t="str">
        <x:v>경기도</x:v>
      </x:c>
      <x:c r="D305" s="17" t="str">
        <x:v>이천시시설관리공단 2026년 제5회 블라인드 직원(기간제근로자) 공개채용 공고(청년인턴)</x:v>
      </x:c>
      <x:c r="E305" s="17" t="str">
        <x:v>신입+경력</x:v>
      </x:c>
      <x:c r="F305" s="17" t="str">
        <x:v>기간제</x:v>
      </x:c>
      <x:c r="G305" s="17" t="str">
        <x:v>명시 없음(원문 확인)</x:v>
      </x:c>
      <x:c r="H305" s="17" t="str">
        <x:v>2026-08-26</x:v>
      </x:c>
      <x:c r="I305" s="17" t="str">
        <x:v>2026-09-14</x:v>
      </x:c>
      <x:c r="J305" s="17" t="str">
        <x:v>모집중</x:v>
      </x:c>
      <x:c r="K305" s="17" t="str">
        <x:v>체험형·청년인턴</x:v>
      </x:c>
      <x:c r="L305" s="17" t="str">
        <x:v>우선검토</x:v>
      </x:c>
      <x:c r="M305" s="17" t="str">
        <x:v>제한 문구 미탐지</x:v>
      </x:c>
      <x:c r="N305" s="17" t="str">
        <x:v>기관 공고 원문 확인</x:v>
      </x:c>
      <x:c r="O305" s="17" t="str">
        <x:v>기관 공고 원문 확인</x:v>
      </x:c>
      <x:c r="P305" s="17" t="str">
        <x:v>기관 공고 원문 확인</x:v>
      </x:c>
      <x:c r="Q305" s="17" t="str">
        <x:v>기관 공고 원문 확인</x:v>
      </x:c>
      <x:c r="R305" s="17" t="str">
        <x:v>정상</x:v>
      </x:c>
      <x:c r="S305" s="18" t="str">
        <x:v>https://job.cleaneye.go.kr/user/ypRecruitment.do</x:v>
      </x:c>
      <x:c r="T305" s="1"/>
      <x:c r="U305" s="1"/>
      <x:c r="V305" s="1"/>
      <x:c r="W305" s="1"/>
      <x:c r="X305" s="1"/>
      <x:c r="Y305" s="1"/>
      <x:c r="Z305" s="1"/>
    </x:row>
    <x:row r="306" ht="50" customHeight="1">
      <x:c r="A306" s="17" t="n">
        <x:v>302</x:v>
      </x:c>
      <x:c r="B306" s="17" t="str">
        <x:v>이천시시설관리공단</x:v>
      </x:c>
      <x:c r="C306" s="17" t="str">
        <x:v>경기도</x:v>
      </x:c>
      <x:c r="D306" s="17" t="str">
        <x:v>이천시시설관리공단 2026년 제5회 블라인드 직원(기간제근로자) 공개채용 공고(환경미화, 여)</x:v>
      </x:c>
      <x:c r="E306" s="17" t="str">
        <x:v>신입+경력</x:v>
      </x:c>
      <x:c r="F306" s="17" t="str">
        <x:v>기간제</x:v>
      </x:c>
      <x:c r="G306" s="17" t="str">
        <x:v>명시 없음(원문 확인)</x:v>
      </x:c>
      <x:c r="H306" s="17" t="str">
        <x:v>2026-08-26</x:v>
      </x:c>
      <x:c r="I306" s="17" t="str">
        <x:v>2026-09-14</x:v>
      </x:c>
      <x:c r="J306" s="17" t="str">
        <x:v>모집중</x:v>
      </x:c>
      <x:c r="K306" s="17" t="str">
        <x:v>기간제·비정규</x:v>
      </x:c>
      <x:c r="L306" s="17" t="str">
        <x:v>검토</x:v>
      </x:c>
      <x:c r="M306" s="17" t="str">
        <x:v>제한 문구 미탐지</x:v>
      </x:c>
      <x:c r="N306" s="17" t="str">
        <x:v>기관 공고 원문 확인</x:v>
      </x:c>
      <x:c r="O306" s="17" t="str">
        <x:v>기관 공고 원문 확인</x:v>
      </x:c>
      <x:c r="P306" s="17" t="str">
        <x:v>기관 공고 원문 확인</x:v>
      </x:c>
      <x:c r="Q306" s="17" t="str">
        <x:v>기관 공고 원문 확인</x:v>
      </x:c>
      <x:c r="R306" s="17" t="str">
        <x:v>정상</x:v>
      </x:c>
      <x:c r="S306" s="18" t="str">
        <x:v>https://job.cleaneye.go.kr/user/ypRecruitment.do</x:v>
      </x:c>
      <x:c r="T306" s="1"/>
      <x:c r="U306" s="1"/>
      <x:c r="V306" s="1"/>
      <x:c r="W306" s="1"/>
      <x:c r="X306" s="1"/>
      <x:c r="Y306" s="1"/>
      <x:c r="Z306" s="1"/>
    </x:row>
    <x:row r="307" ht="50" customHeight="1">
      <x:c r="A307" s="17" t="n">
        <x:v>303</x:v>
      </x:c>
      <x:c r="B307" s="17" t="str">
        <x:v>이천시시설관리공단</x:v>
      </x:c>
      <x:c r="C307" s="17" t="str">
        <x:v>경기도</x:v>
      </x:c>
      <x:c r="D307" s="17" t="str">
        <x:v>이천시시설관리공단 2026년 제5회 블라인드 직원(기간제근로자) 공개채용 공고(휴직대체자)</x:v>
      </x:c>
      <x:c r="E307" s="17" t="str">
        <x:v>신입+경력</x:v>
      </x:c>
      <x:c r="F307" s="17" t="str">
        <x:v>기간제</x:v>
      </x:c>
      <x:c r="G307" s="17" t="str">
        <x:v>명시 없음(원문 확인)</x:v>
      </x:c>
      <x:c r="H307" s="17" t="str">
        <x:v>2026-08-26</x:v>
      </x:c>
      <x:c r="I307" s="17" t="str">
        <x:v>2026-09-14</x:v>
      </x:c>
      <x:c r="J307" s="17" t="str">
        <x:v>모집중</x:v>
      </x:c>
      <x:c r="K307" s="17" t="str">
        <x:v>기간제·비정규</x:v>
      </x:c>
      <x:c r="L307" s="17" t="str">
        <x:v>검토</x:v>
      </x:c>
      <x:c r="M307" s="17" t="str">
        <x:v>제한 문구 미탐지</x:v>
      </x:c>
      <x:c r="N307" s="17" t="str">
        <x:v>기관 공고 원문 확인</x:v>
      </x:c>
      <x:c r="O307" s="17" t="str">
        <x:v>기관 공고 원문 확인</x:v>
      </x:c>
      <x:c r="P307" s="17" t="str">
        <x:v>기관 공고 원문 확인</x:v>
      </x:c>
      <x:c r="Q307" s="17" t="str">
        <x:v>기관 공고 원문 확인</x:v>
      </x:c>
      <x:c r="R307" s="17" t="str">
        <x:v>정상</x:v>
      </x:c>
      <x:c r="S307" s="18" t="str">
        <x:v>https://job.cleaneye.go.kr/user/ypRecruitment.do</x:v>
      </x:c>
      <x:c r="T307" s="1"/>
      <x:c r="U307" s="1"/>
      <x:c r="V307" s="1"/>
      <x:c r="W307" s="1"/>
      <x:c r="X307" s="1"/>
      <x:c r="Y307" s="1"/>
      <x:c r="Z307" s="1"/>
    </x:row>
    <x:row r="308" ht="50" customHeight="1">
      <x:c r="A308" s="17" t="n">
        <x:v>304</x:v>
      </x:c>
      <x:c r="B308" s="17" t="str">
        <x:v>울진군의료원</x:v>
      </x:c>
      <x:c r="C308" s="17" t="str">
        <x:v>경상북도</x:v>
      </x:c>
      <x:c r="D308" s="17" t="str">
        <x:v>울진군의료원 의사채용 공고(이비인후과)</x:v>
      </x:c>
      <x:c r="E308" s="17" t="str">
        <x:v>신입+경력</x:v>
      </x:c>
      <x:c r="F308" s="17" t="str">
        <x:v>전문계약직</x:v>
      </x:c>
      <x:c r="G308" s="17" t="str">
        <x:v>명시 없음(원문 확인)</x:v>
      </x:c>
      <x:c r="H308" s="17" t="str">
        <x:v>2026-08-26</x:v>
      </x:c>
      <x:c r="I308" s="17" t="str">
        <x:v>2026-12-31</x:v>
      </x:c>
      <x:c r="J308" s="17" t="str">
        <x:v>모집중</x:v>
      </x:c>
      <x:c r="K308" s="17" t="str">
        <x:v>기타 채용</x:v>
      </x:c>
      <x:c r="L308" s="17" t="str">
        <x:v>검토</x:v>
      </x:c>
      <x:c r="M308" s="17" t="str">
        <x:v>제한 문구 미탐지</x:v>
      </x:c>
      <x:c r="N308" s="17" t="str">
        <x:v>기관 공고 원문 확인</x:v>
      </x:c>
      <x:c r="O308" s="17" t="str">
        <x:v>기관 공고 원문 확인</x:v>
      </x:c>
      <x:c r="P308" s="17" t="str">
        <x:v>기관 공고 원문 확인</x:v>
      </x:c>
      <x:c r="Q308" s="17" t="str">
        <x:v>기관 공고 원문 확인</x:v>
      </x:c>
      <x:c r="R308" s="17" t="str">
        <x:v>정상</x:v>
      </x:c>
      <x:c r="S308" s="18" t="str">
        <x:v>https://job.cleaneye.go.kr/user/ypRecruitment.do</x:v>
      </x:c>
      <x:c r="T308" s="1"/>
      <x:c r="U308" s="1"/>
      <x:c r="V308" s="1"/>
      <x:c r="W308" s="1"/>
      <x:c r="X308" s="1"/>
      <x:c r="Y308" s="1"/>
      <x:c r="Z308" s="1"/>
    </x:row>
    <x:row r="309" ht="50" customHeight="1">
      <x:c r="A309" s="17" t="n">
        <x:v>305</x:v>
      </x:c>
      <x:c r="B309" s="17" t="str">
        <x:v>전남광주통합특별시서구시설관리공단</x:v>
      </x:c>
      <x:c r="C309" s="17" t="str"/>
      <x:c r="D309" s="17" t="str">
        <x:v>2026년 제3회 직원(일반직, 공무직, 환경직) 공개채용 공고</x:v>
      </x:c>
      <x:c r="E309" s="17" t="str">
        <x:v>신입+경력</x:v>
      </x:c>
      <x:c r="F309" s="17" t="str">
        <x:v>일반정규직</x:v>
      </x:c>
      <x:c r="G309" s="17" t="str">
        <x:v>전남광주통합특별시</x:v>
      </x:c>
      <x:c r="H309" s="17" t="str">
        <x:v>2026-08-26</x:v>
      </x:c>
      <x:c r="I309" s="17" t="str">
        <x:v>2026-09-09</x:v>
      </x:c>
      <x:c r="J309" s="17" t="str">
        <x:v>모집중</x:v>
      </x:c>
      <x:c r="K309" s="17" t="str">
        <x:v>신입·정규직</x:v>
      </x:c>
      <x:c r="L309" s="17" t="str">
        <x:v>우선검토</x:v>
      </x:c>
      <x:c r="M309" s="17" t="str">
        <x:v>제한 문구 미탐지</x:v>
      </x:c>
      <x:c r="N309" s="17" t="str">
        <x:v>기관 공고 원문 확인</x:v>
      </x:c>
      <x:c r="O309" s="17" t="str">
        <x:v>기관 공고 원문 확인</x:v>
      </x:c>
      <x:c r="P309" s="17" t="str">
        <x:v>기관 공고 원문 확인</x:v>
      </x:c>
      <x:c r="Q309" s="17" t="str">
        <x:v>기관 공고 원문 확인</x:v>
      </x:c>
      <x:c r="R309" s="17" t="str">
        <x:v>정상</x:v>
      </x:c>
      <x:c r="S309" s="18" t="str">
        <x:v>https://job.cleaneye.go.kr/user/ypRecruitment.do</x:v>
      </x:c>
      <x:c r="T309" s="1"/>
      <x:c r="U309" s="1"/>
      <x:c r="V309" s="1"/>
      <x:c r="W309" s="1"/>
      <x:c r="X309" s="1"/>
      <x:c r="Y309" s="1"/>
      <x:c r="Z309" s="1"/>
    </x:row>
    <x:row r="310" ht="50" customHeight="1">
      <x:c r="A310" s="17" t="n">
        <x:v>306</x:v>
      </x:c>
      <x:c r="B310" s="17" t="str">
        <x:v>경북행복재단</x:v>
      </x:c>
      <x:c r="C310" s="17" t="str">
        <x:v>경상북도</x:v>
      </x:c>
      <x:c r="D310" s="17" t="str">
        <x:v>경상북도청소년상담복지센터 기간제 직용 채용계획 공고(팀원,임상심리사)</x:v>
      </x:c>
      <x:c r="E310" s="17" t="str">
        <x:v>신입+경력</x:v>
      </x:c>
      <x:c r="F310" s="17" t="str">
        <x:v>기간제</x:v>
      </x:c>
      <x:c r="G310" s="17" t="str">
        <x:v>명시 없음(원문 확인)</x:v>
      </x:c>
      <x:c r="H310" s="17" t="str">
        <x:v>2026-08-26</x:v>
      </x:c>
      <x:c r="I310" s="17" t="str">
        <x:v>2026-09-09</x:v>
      </x:c>
      <x:c r="J310" s="17" t="str">
        <x:v>모집중</x:v>
      </x:c>
      <x:c r="K310" s="17" t="str">
        <x:v>기간제·비정규</x:v>
      </x:c>
      <x:c r="L310" s="17" t="str">
        <x:v>검토</x:v>
      </x:c>
      <x:c r="M310" s="17" t="str">
        <x:v>제한 문구 미탐지</x:v>
      </x:c>
      <x:c r="N310" s="17" t="str">
        <x:v>기관 공고 원문 확인</x:v>
      </x:c>
      <x:c r="O310" s="17" t="str">
        <x:v>기관 공고 원문 확인</x:v>
      </x:c>
      <x:c r="P310" s="17" t="str">
        <x:v>기관 공고 원문 확인</x:v>
      </x:c>
      <x:c r="Q310" s="17" t="str">
        <x:v>기관 공고 원문 확인</x:v>
      </x:c>
      <x:c r="R310" s="17" t="str">
        <x:v>정상</x:v>
      </x:c>
      <x:c r="S310" s="18" t="str">
        <x:v>https://job.cleaneye.go.kr/user/ypRecruitment.do</x:v>
      </x:c>
      <x:c r="T310" s="1"/>
      <x:c r="U310" s="1"/>
      <x:c r="V310" s="1"/>
      <x:c r="W310" s="1"/>
      <x:c r="X310" s="1"/>
      <x:c r="Y310" s="1"/>
      <x:c r="Z310" s="1"/>
    </x:row>
    <x:row r="311" ht="50" customHeight="1">
      <x:c r="A311" s="17" t="n">
        <x:v>307</x:v>
      </x:c>
      <x:c r="B311" s="17" t="str">
        <x:v>재단법인 노원문화재단</x:v>
      </x:c>
      <x:c r="C311" s="17" t="str">
        <x:v>서울특별시</x:v>
      </x:c>
      <x:c r="D311" s="17" t="str">
        <x:v>2026년 8차 노원문화재단 노원구립도서관 채용 공고 [기간제-장애인전형]</x:v>
      </x:c>
      <x:c r="E311" s="17" t="str">
        <x:v>신입+경력</x:v>
      </x:c>
      <x:c r="F311" s="17" t="str">
        <x:v>기간제</x:v>
      </x:c>
      <x:c r="G311" s="17" t="str">
        <x:v>명시 없음(원문 확인)</x:v>
      </x:c>
      <x:c r="H311" s="17" t="str">
        <x:v>2026-08-26</x:v>
      </x:c>
      <x:c r="I311" s="17" t="str">
        <x:v>2026-09-09</x:v>
      </x:c>
      <x:c r="J311" s="17" t="str">
        <x:v>모집중</x:v>
      </x:c>
      <x:c r="K311" s="17" t="str">
        <x:v>제한경쟁·조건부</x:v>
      </x:c>
      <x:c r="L311" s="17" t="str">
        <x:v>조건 충족자만</x:v>
      </x:c>
      <x:c r="M311" s="17" t="str">
        <x:v>장애 관련 제한경쟁</x:v>
      </x:c>
      <x:c r="N311" s="17" t="str">
        <x:v>기관 공고 원문 확인</x:v>
      </x:c>
      <x:c r="O311" s="17" t="str">
        <x:v>기관 공고 원문 확인</x:v>
      </x:c>
      <x:c r="P311" s="17" t="str">
        <x:v>기관 공고 원문 확인</x:v>
      </x:c>
      <x:c r="Q311" s="17" t="str">
        <x:v>기관 공고 원문 확인</x:v>
      </x:c>
      <x:c r="R311" s="17" t="str">
        <x:v>정상</x:v>
      </x:c>
      <x:c r="S311" s="18" t="str">
        <x:v>https://job.cleaneye.go.kr/user/ypRecruitment.do</x:v>
      </x:c>
      <x:c r="T311" s="1"/>
      <x:c r="U311" s="1"/>
      <x:c r="V311" s="1"/>
      <x:c r="W311" s="1"/>
      <x:c r="X311" s="1"/>
      <x:c r="Y311" s="1"/>
      <x:c r="Z311" s="1"/>
    </x:row>
    <x:row r="312" ht="50" customHeight="1">
      <x:c r="A312" s="17" t="n">
        <x:v>308</x:v>
      </x:c>
      <x:c r="B312" s="17" t="str">
        <x:v>재단법인 강원특별자치도 사회서비스원</x:v>
      </x:c>
      <x:c r="C312" s="17" t="str">
        <x:v>강원특별자치도</x:v>
      </x:c>
      <x:c r="D312" s="17" t="str">
        <x:v>2026년 강원특별자치도 사회서비스원 임원(이사 및 감사) 공개모집 공고</x:v>
      </x:c>
      <x:c r="E312" s="17" t="str">
        <x:v>경력</x:v>
      </x:c>
      <x:c r="F312" s="17" t="str">
        <x:v>전문계약직</x:v>
      </x:c>
      <x:c r="G312" s="17" t="str">
        <x:v>명시 없음(원문 확인)</x:v>
      </x:c>
      <x:c r="H312" s="17" t="str">
        <x:v>2026-08-26</x:v>
      </x:c>
      <x:c r="I312" s="17" t="str">
        <x:v>2026-09-10</x:v>
      </x:c>
      <x:c r="J312" s="17" t="str">
        <x:v>모집중</x:v>
      </x:c>
      <x:c r="K312" s="17" t="str">
        <x:v>경력·전문직</x:v>
      </x:c>
      <x:c r="L312" s="17" t="str">
        <x:v>경력·전문 우선</x:v>
      </x:c>
      <x:c r="M312" s="17" t="str">
        <x:v>제한 문구 미탐지</x:v>
      </x:c>
      <x:c r="N312" s="17" t="str">
        <x:v>기관 공고 원문 확인</x:v>
      </x:c>
      <x:c r="O312" s="17" t="str">
        <x:v>기관 공고 원문 확인</x:v>
      </x:c>
      <x:c r="P312" s="17" t="str">
        <x:v>기관 공고 원문 확인</x:v>
      </x:c>
      <x:c r="Q312" s="17" t="str">
        <x:v>기관 공고 원문 확인</x:v>
      </x:c>
      <x:c r="R312" s="17" t="str">
        <x:v>정상</x:v>
      </x:c>
      <x:c r="S312" s="18" t="str">
        <x:v>https://job.cleaneye.go.kr/user/ypRecruitment.do</x:v>
      </x:c>
      <x:c r="T312" s="1"/>
      <x:c r="U312" s="1"/>
      <x:c r="V312" s="1"/>
      <x:c r="W312" s="1"/>
      <x:c r="X312" s="1"/>
      <x:c r="Y312" s="1"/>
      <x:c r="Z312" s="1"/>
    </x:row>
    <x:row r="313" ht="50" customHeight="1">
      <x:c r="A313" s="17" t="n">
        <x:v>309</x:v>
      </x:c>
      <x:c r="B313" s="17" t="str">
        <x:v>강원특별자치도삼척의료원</x:v>
      </x:c>
      <x:c r="C313" s="17" t="str">
        <x:v>강원특별자치도</x:v>
      </x:c>
      <x:c r="D313" s="17" t="str">
        <x:v>공고2026-57 조리사 채용(재)공고</x:v>
      </x:c>
      <x:c r="E313" s="17" t="str">
        <x:v>신입+경력</x:v>
      </x:c>
      <x:c r="F313" s="17" t="str">
        <x:v>무기계약직</x:v>
      </x:c>
      <x:c r="G313" s="17" t="str">
        <x:v>명시 없음(원문 확인)</x:v>
      </x:c>
      <x:c r="H313" s="17" t="str">
        <x:v>2026-08-26</x:v>
      </x:c>
      <x:c r="I313" s="17" t="str">
        <x:v>2026-09-10</x:v>
      </x:c>
      <x:c r="J313" s="17" t="str">
        <x:v>모집중</x:v>
      </x:c>
      <x:c r="K313" s="17" t="str">
        <x:v>무기계약·공무직</x:v>
      </x:c>
      <x:c r="L313" s="17" t="str">
        <x:v>검토</x:v>
      </x:c>
      <x:c r="M313" s="17" t="str">
        <x:v>제한 문구 미탐지</x:v>
      </x:c>
      <x:c r="N313" s="17" t="str">
        <x:v>기관 공고 원문 확인</x:v>
      </x:c>
      <x:c r="O313" s="17" t="str">
        <x:v>기관 공고 원문 확인</x:v>
      </x:c>
      <x:c r="P313" s="17" t="str">
        <x:v>기관 공고 원문 확인</x:v>
      </x:c>
      <x:c r="Q313" s="17" t="str">
        <x:v>기관 공고 원문 확인</x:v>
      </x:c>
      <x:c r="R313" s="17" t="str">
        <x:v>정상</x:v>
      </x:c>
      <x:c r="S313" s="18" t="str">
        <x:v>https://job.cleaneye.go.kr/user/ypRecruitment.do</x:v>
      </x:c>
      <x:c r="T313" s="1"/>
      <x:c r="U313" s="1"/>
      <x:c r="V313" s="1"/>
      <x:c r="W313" s="1"/>
      <x:c r="X313" s="1"/>
      <x:c r="Y313" s="1"/>
      <x:c r="Z313" s="1"/>
    </x:row>
    <x:row r="314" ht="50" customHeight="1">
      <x:c r="A314" s="17" t="n">
        <x:v>310</x:v>
      </x:c>
      <x:c r="B314" s="17" t="str">
        <x:v>이천시시설관리공단</x:v>
      </x:c>
      <x:c r="C314" s="17" t="str">
        <x:v>경기도</x:v>
      </x:c>
      <x:c r="D314" s="17" t="str">
        <x:v>이천시시설관리공단 2026년 제5회 블라인드 직원(기간제근로자) 공개채용 공고(수상안전요원)</x:v>
      </x:c>
      <x:c r="E314" s="17" t="str">
        <x:v>신입+경력</x:v>
      </x:c>
      <x:c r="F314" s="17" t="str">
        <x:v>기간제</x:v>
      </x:c>
      <x:c r="G314" s="17" t="str">
        <x:v>명시 없음(원문 확인)</x:v>
      </x:c>
      <x:c r="H314" s="17" t="str">
        <x:v>2026-08-26</x:v>
      </x:c>
      <x:c r="I314" s="17" t="str">
        <x:v>2026-09-14</x:v>
      </x:c>
      <x:c r="J314" s="17" t="str">
        <x:v>모집중</x:v>
      </x:c>
      <x:c r="K314" s="17" t="str">
        <x:v>기간제·비정규</x:v>
      </x:c>
      <x:c r="L314" s="17" t="str">
        <x:v>검토</x:v>
      </x:c>
      <x:c r="M314" s="17" t="str">
        <x:v>제한 문구 미탐지</x:v>
      </x:c>
      <x:c r="N314" s="17" t="str">
        <x:v>기관 공고 원문 확인</x:v>
      </x:c>
      <x:c r="O314" s="17" t="str">
        <x:v>기관 공고 원문 확인</x:v>
      </x:c>
      <x:c r="P314" s="17" t="str">
        <x:v>기관 공고 원문 확인</x:v>
      </x:c>
      <x:c r="Q314" s="17" t="str">
        <x:v>기관 공고 원문 확인</x:v>
      </x:c>
      <x:c r="R314" s="17" t="str">
        <x:v>정상</x:v>
      </x:c>
      <x:c r="S314" s="18" t="str">
        <x:v>https://job.cleaneye.go.kr/user/ypRecruitment.do</x:v>
      </x:c>
      <x:c r="T314" s="1"/>
      <x:c r="U314" s="1"/>
      <x:c r="V314" s="1"/>
      <x:c r="W314" s="1"/>
      <x:c r="X314" s="1"/>
      <x:c r="Y314" s="1"/>
      <x:c r="Z314" s="1"/>
    </x:row>
    <x:row r="315" ht="50" customHeight="1">
      <x:c r="A315" s="17" t="n">
        <x:v>311</x:v>
      </x:c>
      <x:c r="B315" s="17" t="str">
        <x:v>천안도시공사</x:v>
      </x:c>
      <x:c r="C315" s="17" t="str">
        <x:v>충청남도</x:v>
      </x:c>
      <x:c r="D315" s="17" t="str">
        <x:v>천안도시공사 임원 후보자 공개모집 공고</x:v>
      </x:c>
      <x:c r="E315" s="17" t="str">
        <x:v>신입+경력</x:v>
      </x:c>
      <x:c r="F315" s="17" t="str">
        <x:v>일반계약직</x:v>
      </x:c>
      <x:c r="G315" s="17" t="str">
        <x:v>명시 없음(원문 확인)</x:v>
      </x:c>
      <x:c r="H315" s="17" t="str">
        <x:v>2026-08-26</x:v>
      </x:c>
      <x:c r="I315" s="17" t="str">
        <x:v>2026-09-11</x:v>
      </x:c>
      <x:c r="J315" s="17" t="str">
        <x:v>모집중</x:v>
      </x:c>
      <x:c r="K315" s="17" t="str">
        <x:v>경력·전문직</x:v>
      </x:c>
      <x:c r="L315" s="17" t="str">
        <x:v>경력·전문 우선</x:v>
      </x:c>
      <x:c r="M315" s="17" t="str">
        <x:v>제한 문구 미탐지</x:v>
      </x:c>
      <x:c r="N315" s="17" t="str">
        <x:v>기관 공고 원문 확인</x:v>
      </x:c>
      <x:c r="O315" s="17" t="str">
        <x:v>기관 공고 원문 확인</x:v>
      </x:c>
      <x:c r="P315" s="17" t="str">
        <x:v>기관 공고 원문 확인</x:v>
      </x:c>
      <x:c r="Q315" s="17" t="str">
        <x:v>기관 공고 원문 확인</x:v>
      </x:c>
      <x:c r="R315" s="17" t="str">
        <x:v>정상</x:v>
      </x:c>
      <x:c r="S315" s="18" t="str">
        <x:v>https://job.cleaneye.go.kr/user/ypRecruitment.do</x:v>
      </x:c>
      <x:c r="T315" s="1"/>
      <x:c r="U315" s="1"/>
      <x:c r="V315" s="1"/>
      <x:c r="W315" s="1"/>
      <x:c r="X315" s="1"/>
      <x:c r="Y315" s="1"/>
      <x:c r="Z315" s="1"/>
    </x:row>
    <x:row r="316" ht="50" customHeight="1">
      <x:c r="A316" s="17" t="n">
        <x:v>312</x:v>
      </x:c>
      <x:c r="B316" s="17" t="str">
        <x:v>이천시시설관리공단</x:v>
      </x:c>
      <x:c r="C316" s="17" t="str">
        <x:v>경기도</x:v>
      </x:c>
      <x:c r="D316" s="17" t="str">
        <x:v>이천시시설관리공단 2026년 제5회 블라인드 직원(기간제근로자) 공개채용 공고(주차관리원)</x:v>
      </x:c>
      <x:c r="E316" s="17" t="str">
        <x:v>신입+경력</x:v>
      </x:c>
      <x:c r="F316" s="17" t="str">
        <x:v>기간제</x:v>
      </x:c>
      <x:c r="G316" s="17" t="str">
        <x:v>명시 없음(원문 확인)</x:v>
      </x:c>
      <x:c r="H316" s="17" t="str">
        <x:v>2026-08-26</x:v>
      </x:c>
      <x:c r="I316" s="17" t="str">
        <x:v>2026-09-14</x:v>
      </x:c>
      <x:c r="J316" s="17" t="str">
        <x:v>모집중</x:v>
      </x:c>
      <x:c r="K316" s="17" t="str">
        <x:v>기간제·비정규</x:v>
      </x:c>
      <x:c r="L316" s="17" t="str">
        <x:v>검토</x:v>
      </x:c>
      <x:c r="M316" s="17" t="str">
        <x:v>제한 문구 미탐지</x:v>
      </x:c>
      <x:c r="N316" s="17" t="str">
        <x:v>기관 공고 원문 확인</x:v>
      </x:c>
      <x:c r="O316" s="17" t="str">
        <x:v>기관 공고 원문 확인</x:v>
      </x:c>
      <x:c r="P316" s="17" t="str">
        <x:v>기관 공고 원문 확인</x:v>
      </x:c>
      <x:c r="Q316" s="17" t="str">
        <x:v>기관 공고 원문 확인</x:v>
      </x:c>
      <x:c r="R316" s="17" t="str">
        <x:v>정상</x:v>
      </x:c>
      <x:c r="S316" s="18" t="str">
        <x:v>https://job.cleaneye.go.kr/user/ypRecruitment.do</x:v>
      </x:c>
      <x:c r="T316" s="1"/>
      <x:c r="U316" s="1"/>
      <x:c r="V316" s="1"/>
      <x:c r="W316" s="1"/>
      <x:c r="X316" s="1"/>
      <x:c r="Y316" s="1"/>
      <x:c r="Z316" s="1"/>
    </x:row>
    <x:row r="317" ht="50" customHeight="1">
      <x:c r="A317" s="17" t="n">
        <x:v>313</x:v>
      </x:c>
      <x:c r="B317" s="17" t="str">
        <x:v>강원특별자치도삼척의료원</x:v>
      </x:c>
      <x:c r="C317" s="17" t="str">
        <x:v>강원특별자치도</x:v>
      </x:c>
      <x:c r="D317" s="17" t="str">
        <x:v>공고2026-57 기간제 간호사(육아휴직 대체) 채용(재)공고</x:v>
      </x:c>
      <x:c r="E317" s="17" t="str">
        <x:v>신입+경력</x:v>
      </x:c>
      <x:c r="F317" s="17" t="str">
        <x:v>기간제</x:v>
      </x:c>
      <x:c r="G317" s="17" t="str">
        <x:v>명시 없음(원문 확인)</x:v>
      </x:c>
      <x:c r="H317" s="17" t="str">
        <x:v>2026-08-26</x:v>
      </x:c>
      <x:c r="I317" s="17" t="str">
        <x:v>2026-09-10</x:v>
      </x:c>
      <x:c r="J317" s="17" t="str">
        <x:v>모집중</x:v>
      </x:c>
      <x:c r="K317" s="17" t="str">
        <x:v>경력·전문직</x:v>
      </x:c>
      <x:c r="L317" s="17" t="str">
        <x:v>경력·전문 우선</x:v>
      </x:c>
      <x:c r="M317" s="17" t="str">
        <x:v>제한 문구 미탐지</x:v>
      </x:c>
      <x:c r="N317" s="17" t="str">
        <x:v>기관 공고 원문 확인</x:v>
      </x:c>
      <x:c r="O317" s="17" t="str">
        <x:v>기관 공고 원문 확인</x:v>
      </x:c>
      <x:c r="P317" s="17" t="str">
        <x:v>기관 공고 원문 확인</x:v>
      </x:c>
      <x:c r="Q317" s="17" t="str">
        <x:v>기관 공고 원문 확인</x:v>
      </x:c>
      <x:c r="R317" s="17" t="str">
        <x:v>정상</x:v>
      </x:c>
      <x:c r="S317" s="18" t="str">
        <x:v>https://job.cleaneye.go.kr/user/ypRecruitment.do</x:v>
      </x:c>
      <x:c r="T317" s="1"/>
      <x:c r="U317" s="1"/>
      <x:c r="V317" s="1"/>
      <x:c r="W317" s="1"/>
      <x:c r="X317" s="1"/>
      <x:c r="Y317" s="1"/>
      <x:c r="Z317" s="1"/>
    </x:row>
    <x:row r="318" ht="50" customHeight="1">
      <x:c r="A318" s="17" t="n">
        <x:v>314</x:v>
      </x:c>
      <x:c r="B318" s="17" t="str">
        <x:v>이천시시설관리공단</x:v>
      </x:c>
      <x:c r="C318" s="17" t="str">
        <x:v>경기도</x:v>
      </x:c>
      <x:c r="D318" s="17" t="str">
        <x:v>이천시시설관리공단 2026년 제5회 블라인드 직원(기간제근로자) 공개채용 공고(특별교통수단 운전원)</x:v>
      </x:c>
      <x:c r="E318" s="17" t="str">
        <x:v>신입+경력</x:v>
      </x:c>
      <x:c r="F318" s="17" t="str">
        <x:v>기간제</x:v>
      </x:c>
      <x:c r="G318" s="17" t="str">
        <x:v>명시 없음(원문 확인)</x:v>
      </x:c>
      <x:c r="H318" s="17" t="str">
        <x:v>2026-08-26</x:v>
      </x:c>
      <x:c r="I318" s="17" t="str">
        <x:v>2026-09-14</x:v>
      </x:c>
      <x:c r="J318" s="17" t="str">
        <x:v>모집중</x:v>
      </x:c>
      <x:c r="K318" s="17" t="str">
        <x:v>기간제·비정규</x:v>
      </x:c>
      <x:c r="L318" s="17" t="str">
        <x:v>검토</x:v>
      </x:c>
      <x:c r="M318" s="17" t="str">
        <x:v>제한 문구 미탐지</x:v>
      </x:c>
      <x:c r="N318" s="17" t="str">
        <x:v>기관 공고 원문 확인</x:v>
      </x:c>
      <x:c r="O318" s="17" t="str">
        <x:v>기관 공고 원문 확인</x:v>
      </x:c>
      <x:c r="P318" s="17" t="str">
        <x:v>기관 공고 원문 확인</x:v>
      </x:c>
      <x:c r="Q318" s="17" t="str">
        <x:v>기관 공고 원문 확인</x:v>
      </x:c>
      <x:c r="R318" s="17" t="str">
        <x:v>정상</x:v>
      </x:c>
      <x:c r="S318" s="18" t="str">
        <x:v>https://job.cleaneye.go.kr/user/ypRecruitment.do</x:v>
      </x:c>
      <x:c r="T318" s="1"/>
      <x:c r="U318" s="1"/>
      <x:c r="V318" s="1"/>
      <x:c r="W318" s="1"/>
      <x:c r="X318" s="1"/>
      <x:c r="Y318" s="1"/>
      <x:c r="Z318" s="1"/>
    </x:row>
    <x:row r="319" ht="50" customHeight="1">
      <x:c r="A319" s="17" t="n">
        <x:v>315</x:v>
      </x:c>
      <x:c r="B319" s="17" t="str">
        <x:v>인천광역시서해구시설관리공단</x:v>
      </x:c>
      <x:c r="C319" s="17" t="str">
        <x:v>인천광역시</x:v>
      </x:c>
      <x:c r="D319" s="17" t="str">
        <x:v>2026년 제6회 서해구노인복지관 기간제 근로자(사회복지사) 채용 공고</x:v>
      </x:c>
      <x:c r="E319" s="17" t="str">
        <x:v>신입+경력</x:v>
      </x:c>
      <x:c r="F319" s="17" t="str">
        <x:v>기간제</x:v>
      </x:c>
      <x:c r="G319" s="17" t="str">
        <x:v>명시 없음(원문 확인)</x:v>
      </x:c>
      <x:c r="H319" s="17" t="str">
        <x:v>2026-08-25</x:v>
      </x:c>
      <x:c r="I319" s="17" t="str">
        <x:v>2026-09-09</x:v>
      </x:c>
      <x:c r="J319" s="17" t="str">
        <x:v>모집중</x:v>
      </x:c>
      <x:c r="K319" s="17" t="str">
        <x:v>기간제·비정규</x:v>
      </x:c>
      <x:c r="L319" s="17" t="str">
        <x:v>검토</x:v>
      </x:c>
      <x:c r="M319" s="17" t="str">
        <x:v>제한 문구 미탐지</x:v>
      </x:c>
      <x:c r="N319" s="17" t="str">
        <x:v>기관 공고 원문 확인</x:v>
      </x:c>
      <x:c r="O319" s="17" t="str">
        <x:v>기관 공고 원문 확인</x:v>
      </x:c>
      <x:c r="P319" s="17" t="str">
        <x:v>기관 공고 원문 확인</x:v>
      </x:c>
      <x:c r="Q319" s="17" t="str">
        <x:v>기관 공고 원문 확인</x:v>
      </x:c>
      <x:c r="R319" s="17" t="str">
        <x:v>정상</x:v>
      </x:c>
      <x:c r="S319" s="18" t="str">
        <x:v>https://job.cleaneye.go.kr/user/ypRecruitment.do</x:v>
      </x:c>
      <x:c r="T319" s="1"/>
      <x:c r="U319" s="1"/>
      <x:c r="V319" s="1"/>
      <x:c r="W319" s="1"/>
      <x:c r="X319" s="1"/>
      <x:c r="Y319" s="1"/>
      <x:c r="Z319" s="1"/>
    </x:row>
    <x:row r="320" ht="50" customHeight="1">
      <x:c r="A320" s="17" t="n">
        <x:v>316</x:v>
      </x:c>
      <x:c r="B320" s="17" t="str">
        <x:v>대구공공시설관리공단</x:v>
      </x:c>
      <x:c r="C320" s="17" t="str">
        <x:v>대구광역시</x:v>
      </x:c>
      <x:c r="D320" s="17" t="str">
        <x:v>대구공공시설관리공단 비상임이사·감사 모집공고</x:v>
      </x:c>
      <x:c r="E320" s="17" t="str">
        <x:v>신입</x:v>
      </x:c>
      <x:c r="F320" s="17" t="str">
        <x:v>비상임</x:v>
      </x:c>
      <x:c r="G320" s="17" t="str">
        <x:v>명시 없음(원문 확인)</x:v>
      </x:c>
      <x:c r="H320" s="17" t="str">
        <x:v>2026-08-25</x:v>
      </x:c>
      <x:c r="I320" s="17" t="str">
        <x:v>2026-09-09</x:v>
      </x:c>
      <x:c r="J320" s="17" t="str">
        <x:v>모집중</x:v>
      </x:c>
      <x:c r="K320" s="17" t="str">
        <x:v>기타 채용</x:v>
      </x:c>
      <x:c r="L320" s="17" t="str">
        <x:v>세부조건 확인</x:v>
      </x:c>
      <x:c r="M320" s="17" t="str">
        <x:v>제한 문구 미탐지</x:v>
      </x:c>
      <x:c r="N320" s="17" t="str">
        <x:v>기관 공고 원문 확인</x:v>
      </x:c>
      <x:c r="O320" s="17" t="str">
        <x:v>기관 공고 원문 확인</x:v>
      </x:c>
      <x:c r="P320" s="17" t="str">
        <x:v>기관 공고 원문 확인</x:v>
      </x:c>
      <x:c r="Q320" s="17" t="str">
        <x:v>기관 공고 원문 확인</x:v>
      </x:c>
      <x:c r="R320" s="17" t="str">
        <x:v>정상</x:v>
      </x:c>
      <x:c r="S320" s="18" t="str">
        <x:v>https://job.cleaneye.go.kr/user/ypRecruitment.do</x:v>
      </x:c>
      <x:c r="T320" s="1"/>
      <x:c r="U320" s="1"/>
      <x:c r="V320" s="1"/>
      <x:c r="W320" s="1"/>
      <x:c r="X320" s="1"/>
      <x:c r="Y320" s="1"/>
      <x:c r="Z320" s="1"/>
    </x:row>
    <x:row r="321" ht="50" customHeight="1">
      <x:c r="A321" s="17" t="n">
        <x:v>317</x:v>
      </x:c>
      <x:c r="B321" s="17" t="str">
        <x:v>서울교통공사</x:v>
      </x:c>
      <x:c r="C321" s="17" t="str">
        <x:v>서울특별시</x:v>
      </x:c>
      <x:c r="D321" s="17" t="str">
        <x:v>㈜서울메트로환경 임원(사장) 후보 초빙 공고</x:v>
      </x:c>
      <x:c r="E321" s="17" t="str">
        <x:v>경력</x:v>
      </x:c>
      <x:c r="F321" s="17" t="str">
        <x:v>전문계약직</x:v>
      </x:c>
      <x:c r="G321" s="17" t="str">
        <x:v>명시 없음(원문 확인)</x:v>
      </x:c>
      <x:c r="H321" s="17" t="str">
        <x:v>2026-08-25</x:v>
      </x:c>
      <x:c r="I321" s="17" t="str">
        <x:v>2026-09-09</x:v>
      </x:c>
      <x:c r="J321" s="17" t="str">
        <x:v>모집중</x:v>
      </x:c>
      <x:c r="K321" s="17" t="str">
        <x:v>경력·전문직</x:v>
      </x:c>
      <x:c r="L321" s="17" t="str">
        <x:v>경력·전문 우선</x:v>
      </x:c>
      <x:c r="M321" s="17" t="str">
        <x:v>제한 문구 미탐지</x:v>
      </x:c>
      <x:c r="N321" s="17" t="str">
        <x:v>기관 공고 원문 확인</x:v>
      </x:c>
      <x:c r="O321" s="17" t="str">
        <x:v>기관 공고 원문 확인</x:v>
      </x:c>
      <x:c r="P321" s="17" t="str">
        <x:v>기관 공고 원문 확인</x:v>
      </x:c>
      <x:c r="Q321" s="17" t="str">
        <x:v>기관 공고 원문 확인</x:v>
      </x:c>
      <x:c r="R321" s="17" t="str">
        <x:v>정상</x:v>
      </x:c>
      <x:c r="S321" s="18" t="str">
        <x:v>https://job.cleaneye.go.kr/user/ypRecruitment.do</x:v>
      </x:c>
      <x:c r="T321" s="1"/>
      <x:c r="U321" s="1"/>
      <x:c r="V321" s="1"/>
      <x:c r="W321" s="1"/>
      <x:c r="X321" s="1"/>
      <x:c r="Y321" s="1"/>
      <x:c r="Z321" s="1"/>
    </x:row>
    <x:row r="322" ht="50" customHeight="1">
      <x:c r="A322" s="17" t="n">
        <x:v>318</x:v>
      </x:c>
      <x:c r="B322" s="17" t="str">
        <x:v>노원구시설관리공단</x:v>
      </x:c>
      <x:c r="C322" s="17" t="str">
        <x:v>서울특별시</x:v>
      </x:c>
      <x:c r="D322" s="17" t="str">
        <x:v>[노원구시설관리공단]기간제근로자 공개경쟁 채용 공고</x:v>
      </x:c>
      <x:c r="E322" s="17" t="str">
        <x:v>신입</x:v>
      </x:c>
      <x:c r="F322" s="17" t="str">
        <x:v>기간제</x:v>
      </x:c>
      <x:c r="G322" s="17" t="str">
        <x:v>명시 없음(원문 확인)</x:v>
      </x:c>
      <x:c r="H322" s="17" t="str">
        <x:v>2026-08-25</x:v>
      </x:c>
      <x:c r="I322" s="17" t="str">
        <x:v>2026-09-14</x:v>
      </x:c>
      <x:c r="J322" s="17" t="str">
        <x:v>모집중</x:v>
      </x:c>
      <x:c r="K322" s="17" t="str">
        <x:v>기간제·비정규</x:v>
      </x:c>
      <x:c r="L322" s="17" t="str">
        <x:v>검토</x:v>
      </x:c>
      <x:c r="M322" s="17" t="str">
        <x:v>제한 문구 미탐지</x:v>
      </x:c>
      <x:c r="N322" s="17" t="str">
        <x:v>기관 공고 원문 확인</x:v>
      </x:c>
      <x:c r="O322" s="17" t="str">
        <x:v>기관 공고 원문 확인</x:v>
      </x:c>
      <x:c r="P322" s="17" t="str">
        <x:v>기관 공고 원문 확인</x:v>
      </x:c>
      <x:c r="Q322" s="17" t="str">
        <x:v>기관 공고 원문 확인</x:v>
      </x:c>
      <x:c r="R322" s="17" t="str">
        <x:v>정상</x:v>
      </x:c>
      <x:c r="S322" s="18" t="str">
        <x:v>https://job.cleaneye.go.kr/user/ypRecruitment.do</x:v>
      </x:c>
      <x:c r="T322" s="1"/>
      <x:c r="U322" s="1"/>
      <x:c r="V322" s="1"/>
      <x:c r="W322" s="1"/>
      <x:c r="X322" s="1"/>
      <x:c r="Y322" s="1"/>
      <x:c r="Z322" s="1"/>
    </x:row>
    <x:row r="323" ht="50" customHeight="1">
      <x:c r="A323" s="17" t="n">
        <x:v>319</x:v>
      </x:c>
      <x:c r="B323" s="17" t="str">
        <x:v>인천광역시서해구시설관리공단</x:v>
      </x:c>
      <x:c r="C323" s="17" t="str">
        <x:v>인천광역시</x:v>
      </x:c>
      <x:c r="D323" s="17" t="str">
        <x:v>가좌노인문화센터 정규직(운전원) 채용 공고</x:v>
      </x:c>
      <x:c r="E323" s="17" t="str">
        <x:v>신입+경력</x:v>
      </x:c>
      <x:c r="F323" s="17" t="str">
        <x:v>일반정규직</x:v>
      </x:c>
      <x:c r="G323" s="17" t="str">
        <x:v>명시 없음(원문 확인)</x:v>
      </x:c>
      <x:c r="H323" s="17" t="str">
        <x:v>2026-08-25</x:v>
      </x:c>
      <x:c r="I323" s="17" t="str">
        <x:v>2026-09-09</x:v>
      </x:c>
      <x:c r="J323" s="17" t="str">
        <x:v>모집중</x:v>
      </x:c>
      <x:c r="K323" s="17" t="str">
        <x:v>정규직(세부 확인)</x:v>
      </x:c>
      <x:c r="L323" s="17" t="str">
        <x:v>검토</x:v>
      </x:c>
      <x:c r="M323" s="17" t="str">
        <x:v>제한 문구 미탐지</x:v>
      </x:c>
      <x:c r="N323" s="17" t="str">
        <x:v>기관 공고 원문 확인</x:v>
      </x:c>
      <x:c r="O323" s="17" t="str">
        <x:v>기관 공고 원문 확인</x:v>
      </x:c>
      <x:c r="P323" s="17" t="str">
        <x:v>기관 공고 원문 확인</x:v>
      </x:c>
      <x:c r="Q323" s="17" t="str">
        <x:v>기관 공고 원문 확인</x:v>
      </x:c>
      <x:c r="R323" s="17" t="str">
        <x:v>정상</x:v>
      </x:c>
      <x:c r="S323" s="18" t="str">
        <x:v>https://job.cleaneye.go.kr/user/ypRecruitment.do</x:v>
      </x:c>
      <x:c r="T323" s="1"/>
      <x:c r="U323" s="1"/>
      <x:c r="V323" s="1"/>
      <x:c r="W323" s="1"/>
      <x:c r="X323" s="1"/>
      <x:c r="Y323" s="1"/>
      <x:c r="Z323" s="1"/>
    </x:row>
    <x:row r="324" ht="50" customHeight="1">
      <x:c r="A324" s="17" t="n">
        <x:v>320</x:v>
      </x:c>
      <x:c r="B324" s="17" t="str">
        <x:v>한국도자재단</x:v>
      </x:c>
      <x:c r="C324" s="17" t="str">
        <x:v>경기도</x:v>
      </x:c>
      <x:c r="D324" s="17" t="str">
        <x:v>한국도자재단 2026년 제9차 기간제근로자 채용공고</x:v>
      </x:c>
      <x:c r="E324" s="17" t="str">
        <x:v>신입+경력</x:v>
      </x:c>
      <x:c r="F324" s="17" t="str">
        <x:v>기간제</x:v>
      </x:c>
      <x:c r="G324" s="17" t="str">
        <x:v>명시 없음(원문 확인)</x:v>
      </x:c>
      <x:c r="H324" s="17" t="str">
        <x:v>2026-08-25</x:v>
      </x:c>
      <x:c r="I324" s="17" t="str">
        <x:v>2026-09-09</x:v>
      </x:c>
      <x:c r="J324" s="17" t="str">
        <x:v>모집중</x:v>
      </x:c>
      <x:c r="K324" s="17" t="str">
        <x:v>기간제·비정규</x:v>
      </x:c>
      <x:c r="L324" s="17" t="str">
        <x:v>검토</x:v>
      </x:c>
      <x:c r="M324" s="17" t="str">
        <x:v>제한 문구 미탐지</x:v>
      </x:c>
      <x:c r="N324" s="17" t="str">
        <x:v>기관 공고 원문 확인</x:v>
      </x:c>
      <x:c r="O324" s="17" t="str">
        <x:v>기관 공고 원문 확인</x:v>
      </x:c>
      <x:c r="P324" s="17" t="str">
        <x:v>기관 공고 원문 확인</x:v>
      </x:c>
      <x:c r="Q324" s="17" t="str">
        <x:v>기관 공고 원문 확인</x:v>
      </x:c>
      <x:c r="R324" s="17" t="str">
        <x:v>정상</x:v>
      </x:c>
      <x:c r="S324" s="18" t="str">
        <x:v>https://job.cleaneye.go.kr/user/ypRecruitment.do</x:v>
      </x:c>
      <x:c r="T324" s="1"/>
      <x:c r="U324" s="1"/>
      <x:c r="V324" s="1"/>
      <x:c r="W324" s="1"/>
      <x:c r="X324" s="1"/>
      <x:c r="Y324" s="1"/>
      <x:c r="Z324" s="1"/>
    </x:row>
    <x:row r="325" ht="50" customHeight="1">
      <x:c r="A325" s="17" t="n">
        <x:v>321</x:v>
      </x:c>
      <x:c r="B325" s="17" t="str">
        <x:v>울산시설공단</x:v>
      </x:c>
      <x:c r="C325" s="17" t="str">
        <x:v>울산광역시</x:v>
      </x:c>
      <x:c r="D325" s="17" t="str">
        <x:v>울산시설공단 임원(이사장·비상임이사) 공개모집 공고</x:v>
      </x:c>
      <x:c r="E325" s="17" t="str">
        <x:v>신입+경력</x:v>
      </x:c>
      <x:c r="F325" s="17" t="str">
        <x:v>일반계약직</x:v>
      </x:c>
      <x:c r="G325" s="17" t="str">
        <x:v>울산광역시</x:v>
      </x:c>
      <x:c r="H325" s="17" t="str">
        <x:v>2026-08-25</x:v>
      </x:c>
      <x:c r="I325" s="17" t="str">
        <x:v>2026-09-09</x:v>
      </x:c>
      <x:c r="J325" s="17" t="str">
        <x:v>모집중</x:v>
      </x:c>
      <x:c r="K325" s="17" t="str">
        <x:v>경력·전문직</x:v>
      </x:c>
      <x:c r="L325" s="17" t="str">
        <x:v>경력·전문 우선</x:v>
      </x:c>
      <x:c r="M325" s="17" t="str">
        <x:v>제한 문구 미탐지</x:v>
      </x:c>
      <x:c r="N325" s="17" t="str">
        <x:v>기관 공고 원문 확인</x:v>
      </x:c>
      <x:c r="O325" s="17" t="str">
        <x:v>기관 공고 원문 확인</x:v>
      </x:c>
      <x:c r="P325" s="17" t="str">
        <x:v>기관 공고 원문 확인</x:v>
      </x:c>
      <x:c r="Q325" s="17" t="str">
        <x:v>기관 공고 원문 확인</x:v>
      </x:c>
      <x:c r="R325" s="17" t="str">
        <x:v>정상</x:v>
      </x:c>
      <x:c r="S325" s="18" t="str">
        <x:v>https://job.cleaneye.go.kr/user/ypRecruitment.do</x:v>
      </x:c>
      <x:c r="T325" s="1"/>
      <x:c r="U325" s="1"/>
      <x:c r="V325" s="1"/>
      <x:c r="W325" s="1"/>
      <x:c r="X325" s="1"/>
      <x:c r="Y325" s="1"/>
      <x:c r="Z325" s="1"/>
    </x:row>
    <x:row r="326" ht="50" customHeight="1">
      <x:c r="A326" s="17" t="n">
        <x:v>322</x:v>
      </x:c>
      <x:c r="B326" s="17" t="str">
        <x:v>창원시설공단</x:v>
      </x:c>
      <x:c r="C326" s="17" t="str">
        <x:v>경상남도</x:v>
      </x:c>
      <x:c r="D326" s="17" t="str">
        <x:v>창원시설공단 이사장 공개모집 공고</x:v>
      </x:c>
      <x:c r="E326" s="17" t="str">
        <x:v>경력</x:v>
      </x:c>
      <x:c r="F326" s="17" t="str">
        <x:v>전문계약직</x:v>
      </x:c>
      <x:c r="G326" s="17" t="str">
        <x:v>명시 없음(원문 확인)</x:v>
      </x:c>
      <x:c r="H326" s="17" t="str">
        <x:v>2026-08-25</x:v>
      </x:c>
      <x:c r="I326" s="17" t="str">
        <x:v>2026-09-09</x:v>
      </x:c>
      <x:c r="J326" s="17" t="str">
        <x:v>모집중</x:v>
      </x:c>
      <x:c r="K326" s="17" t="str">
        <x:v>기타 채용</x:v>
      </x:c>
      <x:c r="L326" s="17" t="str">
        <x:v>세부조건 확인</x:v>
      </x:c>
      <x:c r="M326" s="17" t="str">
        <x:v>제한 문구 미탐지</x:v>
      </x:c>
      <x:c r="N326" s="17" t="str">
        <x:v>기관 공고 원문 확인</x:v>
      </x:c>
      <x:c r="O326" s="17" t="str">
        <x:v>기관 공고 원문 확인</x:v>
      </x:c>
      <x:c r="P326" s="17" t="str">
        <x:v>기관 공고 원문 확인</x:v>
      </x:c>
      <x:c r="Q326" s="17" t="str">
        <x:v>기관 공고 원문 확인</x:v>
      </x:c>
      <x:c r="R326" s="17" t="str">
        <x:v>정상</x:v>
      </x:c>
      <x:c r="S326" s="18" t="str">
        <x:v>https://job.cleaneye.go.kr/user/ypRecruitment.do</x:v>
      </x:c>
      <x:c r="T326" s="1"/>
      <x:c r="U326" s="1"/>
      <x:c r="V326" s="1"/>
      <x:c r="W326" s="1"/>
      <x:c r="X326" s="1"/>
      <x:c r="Y326" s="1"/>
      <x:c r="Z326" s="1"/>
    </x:row>
    <x:row r="327" ht="50" customHeight="1">
      <x:c r="A327" s="17" t="n">
        <x:v>323</x:v>
      </x:c>
      <x:c r="B327" s="17" t="str">
        <x:v>화성도시공사</x:v>
      </x:c>
      <x:c r="C327" s="17" t="str">
        <x:v>경기도</x:v>
      </x:c>
      <x:c r="D327" s="17" t="str">
        <x:v>2026년 제2회 업무직 공개채용 시행계획 공고</x:v>
      </x:c>
      <x:c r="E327" s="17" t="str">
        <x:v>신입</x:v>
      </x:c>
      <x:c r="F327" s="17" t="str">
        <x:v>무기계약직</x:v>
      </x:c>
      <x:c r="G327" s="17" t="str">
        <x:v>명시 없음(원문 확인)</x:v>
      </x:c>
      <x:c r="H327" s="17" t="str">
        <x:v>2026-08-25</x:v>
      </x:c>
      <x:c r="I327" s="17" t="str">
        <x:v>2026-09-14</x:v>
      </x:c>
      <x:c r="J327" s="17" t="str">
        <x:v>모집중</x:v>
      </x:c>
      <x:c r="K327" s="17" t="str">
        <x:v>무기계약·공무직</x:v>
      </x:c>
      <x:c r="L327" s="17" t="str">
        <x:v>검토</x:v>
      </x:c>
      <x:c r="M327" s="17" t="str">
        <x:v>제한 문구 미탐지</x:v>
      </x:c>
      <x:c r="N327" s="17" t="str">
        <x:v>기관 공고 원문 확인</x:v>
      </x:c>
      <x:c r="O327" s="17" t="str">
        <x:v>기관 공고 원문 확인</x:v>
      </x:c>
      <x:c r="P327" s="17" t="str">
        <x:v>기관 공고 원문 확인</x:v>
      </x:c>
      <x:c r="Q327" s="17" t="str">
        <x:v>기관 공고 원문 확인</x:v>
      </x:c>
      <x:c r="R327" s="17" t="str">
        <x:v>정상</x:v>
      </x:c>
      <x:c r="S327" s="18" t="str">
        <x:v>https://job.cleaneye.go.kr/user/ypRecruitment.do</x:v>
      </x:c>
      <x:c r="T327" s="1"/>
      <x:c r="U327" s="1"/>
      <x:c r="V327" s="1"/>
      <x:c r="W327" s="1"/>
      <x:c r="X327" s="1"/>
      <x:c r="Y327" s="1"/>
      <x:c r="Z327" s="1"/>
    </x:row>
    <x:row r="328" ht="50" customHeight="1">
      <x:c r="A328" s="17" t="n">
        <x:v>324</x:v>
      </x:c>
      <x:c r="B328" s="17" t="str">
        <x:v>화성도시공사</x:v>
      </x:c>
      <x:c r="C328" s="17" t="str">
        <x:v>경기도</x:v>
      </x:c>
      <x:c r="D328" s="17" t="str">
        <x:v>2026년 제2회 운수직 공개채용 시행계획 공고</x:v>
      </x:c>
      <x:c r="E328" s="17" t="str">
        <x:v>신입</x:v>
      </x:c>
      <x:c r="F328" s="17" t="str">
        <x:v>무기계약직</x:v>
      </x:c>
      <x:c r="G328" s="17" t="str">
        <x:v>명시 없음(원문 확인)</x:v>
      </x:c>
      <x:c r="H328" s="17" t="str">
        <x:v>2026-08-25</x:v>
      </x:c>
      <x:c r="I328" s="17" t="str">
        <x:v>2026-09-14</x:v>
      </x:c>
      <x:c r="J328" s="17" t="str">
        <x:v>모집중</x:v>
      </x:c>
      <x:c r="K328" s="17" t="str">
        <x:v>무기계약·공무직</x:v>
      </x:c>
      <x:c r="L328" s="17" t="str">
        <x:v>검토</x:v>
      </x:c>
      <x:c r="M328" s="17" t="str">
        <x:v>제한 문구 미탐지</x:v>
      </x:c>
      <x:c r="N328" s="17" t="str">
        <x:v>기관 공고 원문 확인</x:v>
      </x:c>
      <x:c r="O328" s="17" t="str">
        <x:v>기관 공고 원문 확인</x:v>
      </x:c>
      <x:c r="P328" s="17" t="str">
        <x:v>기관 공고 원문 확인</x:v>
      </x:c>
      <x:c r="Q328" s="17" t="str">
        <x:v>기관 공고 원문 확인</x:v>
      </x:c>
      <x:c r="R328" s="17" t="str">
        <x:v>정상</x:v>
      </x:c>
      <x:c r="S328" s="18" t="str">
        <x:v>https://job.cleaneye.go.kr/user/ypRecruitment.do</x:v>
      </x:c>
      <x:c r="T328" s="1"/>
      <x:c r="U328" s="1"/>
      <x:c r="V328" s="1"/>
      <x:c r="W328" s="1"/>
      <x:c r="X328" s="1"/>
      <x:c r="Y328" s="1"/>
      <x:c r="Z328" s="1"/>
    </x:row>
    <x:row r="329" ht="50" customHeight="1">
      <x:c r="A329" s="17" t="n">
        <x:v>325</x:v>
      </x:c>
      <x:c r="B329" s="17" t="str">
        <x:v>강원특별자치도원주의료원</x:v>
      </x:c>
      <x:c r="C329" s="17" t="str">
        <x:v>강원특별자치도</x:v>
      </x:c>
      <x:c r="D329" s="17" t="str">
        <x:v>원주의료원 신규직원(약무직_약사) 채용공고</x:v>
      </x:c>
      <x:c r="E329" s="17" t="str">
        <x:v>신입+경력</x:v>
      </x:c>
      <x:c r="F329" s="17" t="str">
        <x:v>일반정규직</x:v>
      </x:c>
      <x:c r="G329" s="17" t="str">
        <x:v>명시 없음(원문 확인)</x:v>
      </x:c>
      <x:c r="H329" s="17" t="str">
        <x:v>2026-08-24</x:v>
      </x:c>
      <x:c r="I329" s="17" t="str">
        <x:v>2026-09-11</x:v>
      </x:c>
      <x:c r="J329" s="17" t="str">
        <x:v>모집중</x:v>
      </x:c>
      <x:c r="K329" s="17" t="str">
        <x:v>경력·전문직</x:v>
      </x:c>
      <x:c r="L329" s="17" t="str">
        <x:v>경력·전문 우선</x:v>
      </x:c>
      <x:c r="M329" s="17" t="str">
        <x:v>제한 문구 미탐지</x:v>
      </x:c>
      <x:c r="N329" s="17" t="str">
        <x:v>기관 공고 원문 확인</x:v>
      </x:c>
      <x:c r="O329" s="17" t="str">
        <x:v>기관 공고 원문 확인</x:v>
      </x:c>
      <x:c r="P329" s="17" t="str">
        <x:v>기관 공고 원문 확인</x:v>
      </x:c>
      <x:c r="Q329" s="17" t="str">
        <x:v>기관 공고 원문 확인</x:v>
      </x:c>
      <x:c r="R329" s="17" t="str">
        <x:v>정상</x:v>
      </x:c>
      <x:c r="S329" s="18" t="str">
        <x:v>https://job.cleaneye.go.kr/user/ypRecruitment.do</x:v>
      </x:c>
      <x:c r="T329" s="1"/>
      <x:c r="U329" s="1"/>
      <x:c r="V329" s="1"/>
      <x:c r="W329" s="1"/>
      <x:c r="X329" s="1"/>
      <x:c r="Y329" s="1"/>
      <x:c r="Z329" s="1"/>
    </x:row>
    <x:row r="330" ht="50" customHeight="1">
      <x:c r="A330" s="17" t="n">
        <x:v>326</x:v>
      </x:c>
      <x:c r="B330" s="17" t="str">
        <x:v>송파구시설관리공단</x:v>
      </x:c>
      <x:c r="C330" s="17" t="str">
        <x:v>서울특별시</x:v>
      </x:c>
      <x:c r="D330" s="17" t="str">
        <x:v>&lt;송파구시설관리공단 공고 제2026-41호&gt; 기간제근로자 모집 공고 (26년도 4분기)</x:v>
      </x:c>
      <x:c r="E330" s="17" t="str">
        <x:v>신입</x:v>
      </x:c>
      <x:c r="F330" s="17" t="str">
        <x:v>기간제</x:v>
      </x:c>
      <x:c r="G330" s="17" t="str">
        <x:v>명시 없음(원문 확인)</x:v>
      </x:c>
      <x:c r="H330" s="17" t="str">
        <x:v>2026-08-21</x:v>
      </x:c>
      <x:c r="I330" s="17" t="str">
        <x:v>2026-09-12</x:v>
      </x:c>
      <x:c r="J330" s="17" t="str">
        <x:v>모집중</x:v>
      </x:c>
      <x:c r="K330" s="17" t="str">
        <x:v>기간제·비정규</x:v>
      </x:c>
      <x:c r="L330" s="17" t="str">
        <x:v>검토</x:v>
      </x:c>
      <x:c r="M330" s="17" t="str">
        <x:v>제한 문구 미탐지</x:v>
      </x:c>
      <x:c r="N330" s="17" t="str">
        <x:v>기관 공고 원문 확인</x:v>
      </x:c>
      <x:c r="O330" s="17" t="str">
        <x:v>기관 공고 원문 확인</x:v>
      </x:c>
      <x:c r="P330" s="17" t="str">
        <x:v>기관 공고 원문 확인</x:v>
      </x:c>
      <x:c r="Q330" s="17" t="str">
        <x:v>기관 공고 원문 확인</x:v>
      </x:c>
      <x:c r="R330" s="17" t="str">
        <x:v>정상</x:v>
      </x:c>
      <x:c r="S330" s="18" t="str">
        <x:v>https://job.cleaneye.go.kr/user/ypRecruitment.do</x:v>
      </x:c>
      <x:c r="T330" s="1"/>
      <x:c r="U330" s="1"/>
      <x:c r="V330" s="1"/>
      <x:c r="W330" s="1"/>
      <x:c r="X330" s="1"/>
      <x:c r="Y330" s="1"/>
      <x:c r="Z330" s="1"/>
    </x:row>
    <x:row r="331" ht="50" customHeight="1">
      <x:c r="A331" s="17" t="n">
        <x:v>327</x:v>
      </x:c>
      <x:c r="B331" s="17" t="str">
        <x:v>구로문화재단</x:v>
      </x:c>
      <x:c r="C331" s="17" t="str">
        <x:v>서울특별시</x:v>
      </x:c>
      <x:c r="D331" s="17" t="str">
        <x:v>구로문화재단 대표이사 공개채용 모집(변경)공고</x:v>
      </x:c>
      <x:c r="E331" s="17" t="str">
        <x:v>신입+경력</x:v>
      </x:c>
      <x:c r="F331" s="17" t="str">
        <x:v>기간제</x:v>
      </x:c>
      <x:c r="G331" s="17" t="str">
        <x:v>명시 없음(원문 확인)</x:v>
      </x:c>
      <x:c r="H331" s="17" t="str">
        <x:v>2026-08-21</x:v>
      </x:c>
      <x:c r="I331" s="17" t="str">
        <x:v>2026-09-14</x:v>
      </x:c>
      <x:c r="J331" s="17" t="str">
        <x:v>모집중</x:v>
      </x:c>
      <x:c r="K331" s="17" t="str">
        <x:v>기간제·비정규</x:v>
      </x:c>
      <x:c r="L331" s="17" t="str">
        <x:v>검토</x:v>
      </x:c>
      <x:c r="M331" s="17" t="str">
        <x:v>제한 문구 미탐지</x:v>
      </x:c>
      <x:c r="N331" s="17" t="str">
        <x:v>기관 공고 원문 확인</x:v>
      </x:c>
      <x:c r="O331" s="17" t="str">
        <x:v>기관 공고 원문 확인</x:v>
      </x:c>
      <x:c r="P331" s="17" t="str">
        <x:v>기관 공고 원문 확인</x:v>
      </x:c>
      <x:c r="Q331" s="17" t="str">
        <x:v>기관 공고 원문 확인</x:v>
      </x:c>
      <x:c r="R331" s="17" t="str">
        <x:v>정상</x:v>
      </x:c>
      <x:c r="S331" s="18" t="str">
        <x:v>https://job.cleaneye.go.kr/user/ypRecruitment.do</x:v>
      </x:c>
      <x:c r="T331" s="1"/>
      <x:c r="U331" s="1"/>
      <x:c r="V331" s="1"/>
      <x:c r="W331" s="1"/>
      <x:c r="X331" s="1"/>
      <x:c r="Y331" s="1"/>
      <x:c r="Z331" s="1"/>
    </x:row>
    <x:row r="332" ht="50" customHeight="1">
      <x:c r="A332" s="17" t="n">
        <x:v>328</x:v>
      </x:c>
      <x:c r="B332" s="17" t="str">
        <x:v>경기주택도시공사</x:v>
      </x:c>
      <x:c r="C332" s="17" t="str">
        <x:v>경기도</x:v>
      </x:c>
      <x:c r="D332" s="17" t="str">
        <x:v>2026년 하반기 경기주택도시공사 체험형 인턴사원 공개채용 공고</x:v>
      </x:c>
      <x:c r="E332" s="17" t="str">
        <x:v>신입</x:v>
      </x:c>
      <x:c r="F332" s="17" t="str">
        <x:v>인턴</x:v>
      </x:c>
      <x:c r="G332" s="17" t="str">
        <x:v>명시 없음(원문 확인)</x:v>
      </x:c>
      <x:c r="H332" s="17" t="str">
        <x:v>2026-08-21</x:v>
      </x:c>
      <x:c r="I332" s="17" t="str">
        <x:v>2026-09-10</x:v>
      </x:c>
      <x:c r="J332" s="17" t="str">
        <x:v>모집중</x:v>
      </x:c>
      <x:c r="K332" s="17" t="str">
        <x:v>체험형·청년인턴</x:v>
      </x:c>
      <x:c r="L332" s="17" t="str">
        <x:v>우선검토</x:v>
      </x:c>
      <x:c r="M332" s="17" t="str">
        <x:v>제한 문구 미탐지</x:v>
      </x:c>
      <x:c r="N332" s="17" t="str">
        <x:v>기관 공고 원문 확인</x:v>
      </x:c>
      <x:c r="O332" s="17" t="str">
        <x:v>기관 공고 원문 확인</x:v>
      </x:c>
      <x:c r="P332" s="17" t="str">
        <x:v>기관 공고 원문 확인</x:v>
      </x:c>
      <x:c r="Q332" s="17" t="str">
        <x:v>기관 공고 원문 확인</x:v>
      </x:c>
      <x:c r="R332" s="17" t="str">
        <x:v>정상</x:v>
      </x:c>
      <x:c r="S332" s="18" t="str">
        <x:v>https://job.cleaneye.go.kr/user/ypRecruitment.do</x:v>
      </x:c>
      <x:c r="T332" s="1"/>
      <x:c r="U332" s="1"/>
      <x:c r="V332" s="1"/>
      <x:c r="W332" s="1"/>
      <x:c r="X332" s="1"/>
      <x:c r="Y332" s="1"/>
      <x:c r="Z332" s="1"/>
    </x:row>
    <x:row r="333" ht="50" customHeight="1">
      <x:c r="A333" s="17" t="n">
        <x:v>329</x:v>
      </x:c>
      <x:c r="B333" s="17" t="str">
        <x:v>부산광역시기장군도시관리공단</x:v>
      </x:c>
      <x:c r="C333" s="17" t="str">
        <x:v>부산광역시</x:v>
      </x:c>
      <x:c r="D333" s="17" t="str">
        <x:v>정관청소년센터 2026년 강사풀 강사 모집 공고</x:v>
      </x:c>
      <x:c r="E333" s="17" t="str">
        <x:v>신입+경력</x:v>
      </x:c>
      <x:c r="F333" s="17" t="str">
        <x:v>기간제</x:v>
      </x:c>
      <x:c r="G333" s="17" t="str">
        <x:v>명시 없음(원문 확인)</x:v>
      </x:c>
      <x:c r="H333" s="17" t="str">
        <x:v>2026-08-14</x:v>
      </x:c>
      <x:c r="I333" s="17" t="str">
        <x:v>2026-12-18</x:v>
      </x:c>
      <x:c r="J333" s="17" t="str">
        <x:v>모집중</x:v>
      </x:c>
      <x:c r="K333" s="17" t="str">
        <x:v>기간제·비정규</x:v>
      </x:c>
      <x:c r="L333" s="17" t="str">
        <x:v>검토</x:v>
      </x:c>
      <x:c r="M333" s="17" t="str">
        <x:v>제한 문구 미탐지</x:v>
      </x:c>
      <x:c r="N333" s="17" t="str">
        <x:v>기관 공고 원문 확인</x:v>
      </x:c>
      <x:c r="O333" s="17" t="str">
        <x:v>기관 공고 원문 확인</x:v>
      </x:c>
      <x:c r="P333" s="17" t="str">
        <x:v>기관 공고 원문 확인</x:v>
      </x:c>
      <x:c r="Q333" s="17" t="str">
        <x:v>기관 공고 원문 확인</x:v>
      </x:c>
      <x:c r="R333" s="17" t="str">
        <x:v>정상</x:v>
      </x:c>
      <x:c r="S333" s="18" t="str">
        <x:v>https://job.cleaneye.go.kr/user/ypRecruitment.do</x:v>
      </x:c>
      <x:c r="T333" s="1"/>
      <x:c r="U333" s="1"/>
      <x:c r="V333" s="1"/>
      <x:c r="W333" s="1"/>
      <x:c r="X333" s="1"/>
      <x:c r="Y333" s="1"/>
      <x:c r="Z333" s="1"/>
    </x:row>
    <x:row r="334" ht="50" customHeight="1">
      <x:c r="A334" s="17" t="n">
        <x:v>330</x:v>
      </x:c>
      <x:c r="B334" s="17" t="str">
        <x:v>전북특별자치도 군산의료원</x:v>
      </x:c>
      <x:c r="C334" s="17" t="str">
        <x:v>전북특별자치도</x:v>
      </x:c>
      <x:c r="D334" s="17" t="str">
        <x:v>군산의료원 의사직(심장혈관흉부외과) 채용 공고</x:v>
      </x:c>
      <x:c r="E334" s="17" t="str">
        <x:v>신입+경력</x:v>
      </x:c>
      <x:c r="F334" s="17" t="str">
        <x:v>일반정규직</x:v>
      </x:c>
      <x:c r="G334" s="17" t="str">
        <x:v>명시 없음(원문 확인)</x:v>
      </x:c>
      <x:c r="H334" s="17" t="str">
        <x:v>2026-08-05</x:v>
      </x:c>
      <x:c r="I334" s="17" t="str">
        <x:v>2026-12-31</x:v>
      </x:c>
      <x:c r="J334" s="17" t="str">
        <x:v>모집중</x:v>
      </x:c>
      <x:c r="K334" s="17" t="str">
        <x:v>정규직(세부 확인)</x:v>
      </x:c>
      <x:c r="L334" s="17" t="str">
        <x:v>검토</x:v>
      </x:c>
      <x:c r="M334" s="17" t="str">
        <x:v>제한 문구 미탐지</x:v>
      </x:c>
      <x:c r="N334" s="17" t="str">
        <x:v>기관 공고 원문 확인</x:v>
      </x:c>
      <x:c r="O334" s="17" t="str">
        <x:v>기관 공고 원문 확인</x:v>
      </x:c>
      <x:c r="P334" s="17" t="str">
        <x:v>기관 공고 원문 확인</x:v>
      </x:c>
      <x:c r="Q334" s="17" t="str">
        <x:v>기관 공고 원문 확인</x:v>
      </x:c>
      <x:c r="R334" s="17" t="str">
        <x:v>정상</x:v>
      </x:c>
      <x:c r="S334" s="18" t="str">
        <x:v>https://job.cleaneye.go.kr/user/ypRecruitment.do</x:v>
      </x:c>
      <x:c r="T334" s="1"/>
      <x:c r="U334" s="1"/>
      <x:c r="V334" s="1"/>
      <x:c r="W334" s="1"/>
      <x:c r="X334" s="1"/>
      <x:c r="Y334" s="1"/>
      <x:c r="Z334" s="1"/>
    </x:row>
    <x:row r="335" ht="50" customHeight="1">
      <x:c r="A335" s="17" t="n">
        <x:v>331</x:v>
      </x:c>
      <x:c r="B335" s="17" t="str">
        <x:v>전북특별자치도 군산의료원</x:v>
      </x:c>
      <x:c r="C335" s="17" t="str">
        <x:v>전북특별자치도</x:v>
      </x:c>
      <x:c r="D335" s="17" t="str">
        <x:v>군산의료원 의사직(가정의학과) 채용 공고</x:v>
      </x:c>
      <x:c r="E335" s="17" t="str">
        <x:v>신입+경력</x:v>
      </x:c>
      <x:c r="F335" s="17" t="str">
        <x:v>일반정규직</x:v>
      </x:c>
      <x:c r="G335" s="17" t="str">
        <x:v>명시 없음(원문 확인)</x:v>
      </x:c>
      <x:c r="H335" s="17" t="str">
        <x:v>2026-08-05</x:v>
      </x:c>
      <x:c r="I335" s="17" t="str">
        <x:v>2026-12-31</x:v>
      </x:c>
      <x:c r="J335" s="17" t="str">
        <x:v>모집중</x:v>
      </x:c>
      <x:c r="K335" s="17" t="str">
        <x:v>정규직(세부 확인)</x:v>
      </x:c>
      <x:c r="L335" s="17" t="str">
        <x:v>검토</x:v>
      </x:c>
      <x:c r="M335" s="17" t="str">
        <x:v>제한 문구 미탐지</x:v>
      </x:c>
      <x:c r="N335" s="17" t="str">
        <x:v>기관 공고 원문 확인</x:v>
      </x:c>
      <x:c r="O335" s="17" t="str">
        <x:v>기관 공고 원문 확인</x:v>
      </x:c>
      <x:c r="P335" s="17" t="str">
        <x:v>기관 공고 원문 확인</x:v>
      </x:c>
      <x:c r="Q335" s="17" t="str">
        <x:v>기관 공고 원문 확인</x:v>
      </x:c>
      <x:c r="R335" s="17" t="str">
        <x:v>정상</x:v>
      </x:c>
      <x:c r="S335" s="18" t="str">
        <x:v>https://job.cleaneye.go.kr/user/ypRecruitment.do</x:v>
      </x:c>
      <x:c r="T335" s="1"/>
      <x:c r="U335" s="1"/>
      <x:c r="V335" s="1"/>
      <x:c r="W335" s="1"/>
      <x:c r="X335" s="1"/>
      <x:c r="Y335" s="1"/>
      <x:c r="Z335" s="1"/>
    </x:row>
    <x:row r="336" ht="50" customHeight="1">
      <x:c r="A336" s="17" t="n">
        <x:v>332</x:v>
      </x:c>
      <x:c r="B336" s="17" t="str">
        <x:v>공주의료원</x:v>
      </x:c>
      <x:c r="C336" s="17" t="str">
        <x:v>충청남도</x:v>
      </x:c>
      <x:c r="D336" s="17" t="str">
        <x:v>약사 채용 공고(26.7.29~채용시까지)</x:v>
      </x:c>
      <x:c r="E336" s="17" t="str">
        <x:v>신입+경력</x:v>
      </x:c>
      <x:c r="F336" s="17" t="str">
        <x:v>전문계약직</x:v>
      </x:c>
      <x:c r="G336" s="17" t="str">
        <x:v>명시 없음(원문 확인)</x:v>
      </x:c>
      <x:c r="H336" s="17" t="str">
        <x:v>2026-07-29</x:v>
      </x:c>
      <x:c r="I336" s="17" t="str">
        <x:v>2027-07-28</x:v>
      </x:c>
      <x:c r="J336" s="17" t="str">
        <x:v>모집중</x:v>
      </x:c>
      <x:c r="K336" s="17" t="str">
        <x:v>경력·전문직</x:v>
      </x:c>
      <x:c r="L336" s="17" t="str">
        <x:v>경력·전문 우선</x:v>
      </x:c>
      <x:c r="M336" s="17" t="str">
        <x:v>제한 문구 미탐지</x:v>
      </x:c>
      <x:c r="N336" s="17" t="str">
        <x:v>기관 공고 원문 확인</x:v>
      </x:c>
      <x:c r="O336" s="17" t="str">
        <x:v>기관 공고 원문 확인</x:v>
      </x:c>
      <x:c r="P336" s="17" t="str">
        <x:v>기관 공고 원문 확인</x:v>
      </x:c>
      <x:c r="Q336" s="17" t="str">
        <x:v>기관 공고 원문 확인</x:v>
      </x:c>
      <x:c r="R336" s="17" t="str">
        <x:v>정상</x:v>
      </x:c>
      <x:c r="S336" s="18" t="str">
        <x:v>https://job.cleaneye.go.kr/user/ypRecruitment.do</x:v>
      </x:c>
      <x:c r="T336" s="1"/>
      <x:c r="U336" s="1"/>
      <x:c r="V336" s="1"/>
      <x:c r="W336" s="1"/>
      <x:c r="X336" s="1"/>
      <x:c r="Y336" s="1"/>
      <x:c r="Z336" s="1"/>
    </x:row>
    <x:row r="337" ht="50" customHeight="1">
      <x:c r="A337" s="17" t="n">
        <x:v>333</x:v>
      </x:c>
      <x:c r="B337" s="17" t="str">
        <x:v>서울의료원</x:v>
      </x:c>
      <x:c r="C337" s="17" t="str">
        <x:v>서울특별시</x:v>
      </x:c>
      <x:c r="D337" s="17" t="str">
        <x:v>2026년 제20회 기간제근로자 전문의( 중환자실 당직 전문의) 상시모집 공고</x:v>
      </x:c>
      <x:c r="E337" s="17" t="str">
        <x:v>신입+경력</x:v>
      </x:c>
      <x:c r="F337" s="17" t="str">
        <x:v>기간제</x:v>
      </x:c>
      <x:c r="G337" s="17" t="str">
        <x:v>명시 없음(원문 확인)</x:v>
      </x:c>
      <x:c r="H337" s="17" t="str">
        <x:v>2026-07-28</x:v>
      </x:c>
      <x:c r="I337" s="17" t="str">
        <x:v>2026-12-31</x:v>
      </x:c>
      <x:c r="J337" s="17" t="str">
        <x:v>모집중</x:v>
      </x:c>
      <x:c r="K337" s="17" t="str">
        <x:v>경력·전문직</x:v>
      </x:c>
      <x:c r="L337" s="17" t="str">
        <x:v>경력·전문 우선</x:v>
      </x:c>
      <x:c r="M337" s="17" t="str">
        <x:v>제한 문구 미탐지</x:v>
      </x:c>
      <x:c r="N337" s="17" t="str">
        <x:v>기관 공고 원문 확인</x:v>
      </x:c>
      <x:c r="O337" s="17" t="str">
        <x:v>기관 공고 원문 확인</x:v>
      </x:c>
      <x:c r="P337" s="17" t="str">
        <x:v>기관 공고 원문 확인</x:v>
      </x:c>
      <x:c r="Q337" s="17" t="str">
        <x:v>기관 공고 원문 확인</x:v>
      </x:c>
      <x:c r="R337" s="17" t="str">
        <x:v>정상</x:v>
      </x:c>
      <x:c r="S337" s="18" t="str">
        <x:v>https://job.cleaneye.go.kr/user/ypRecruitment.do</x:v>
      </x:c>
      <x:c r="T337" s="1"/>
      <x:c r="U337" s="1"/>
      <x:c r="V337" s="1"/>
      <x:c r="W337" s="1"/>
      <x:c r="X337" s="1"/>
      <x:c r="Y337" s="1"/>
      <x:c r="Z337" s="1"/>
    </x:row>
    <x:row r="338" ht="50" customHeight="1">
      <x:c r="A338" s="17" t="n">
        <x:v>334</x:v>
      </x:c>
      <x:c r="B338" s="17" t="str">
        <x:v>울진군의료원</x:v>
      </x:c>
      <x:c r="C338" s="17" t="str">
        <x:v>경상북도</x:v>
      </x:c>
      <x:c r="D338" s="17" t="str">
        <x:v>울진군의료원 의사채용 공고(가정의학과, 내과, 요양병원)</x:v>
      </x:c>
      <x:c r="E338" s="17" t="str">
        <x:v>신입+경력</x:v>
      </x:c>
      <x:c r="F338" s="17" t="str">
        <x:v>전문계약직</x:v>
      </x:c>
      <x:c r="G338" s="17" t="str">
        <x:v>명시 없음(원문 확인)</x:v>
      </x:c>
      <x:c r="H338" s="17" t="str">
        <x:v>2026-07-27</x:v>
      </x:c>
      <x:c r="I338" s="17" t="str">
        <x:v>2026-12-31</x:v>
      </x:c>
      <x:c r="J338" s="17" t="str">
        <x:v>모집중</x:v>
      </x:c>
      <x:c r="K338" s="17" t="str">
        <x:v>기타 채용</x:v>
      </x:c>
      <x:c r="L338" s="17" t="str">
        <x:v>검토</x:v>
      </x:c>
      <x:c r="M338" s="17" t="str">
        <x:v>제한 문구 미탐지</x:v>
      </x:c>
      <x:c r="N338" s="17" t="str">
        <x:v>기관 공고 원문 확인</x:v>
      </x:c>
      <x:c r="O338" s="17" t="str">
        <x:v>기관 공고 원문 확인</x:v>
      </x:c>
      <x:c r="P338" s="17" t="str">
        <x:v>기관 공고 원문 확인</x:v>
      </x:c>
      <x:c r="Q338" s="17" t="str">
        <x:v>기관 공고 원문 확인</x:v>
      </x:c>
      <x:c r="R338" s="17" t="str">
        <x:v>정상</x:v>
      </x:c>
      <x:c r="S338" s="18" t="str">
        <x:v>https://job.cleaneye.go.kr/user/ypRecruitment.do</x:v>
      </x:c>
      <x:c r="T338" s="1"/>
      <x:c r="U338" s="1"/>
      <x:c r="V338" s="1"/>
      <x:c r="W338" s="1"/>
      <x:c r="X338" s="1"/>
      <x:c r="Y338" s="1"/>
      <x:c r="Z338" s="1"/>
    </x:row>
    <x:row r="339" ht="50" customHeight="1">
      <x:c r="A339" s="17" t="n">
        <x:v>335</x:v>
      </x:c>
      <x:c r="B339" s="17" t="str">
        <x:v>서귀포의료원</x:v>
      </x:c>
      <x:c r="C339" s="17" t="str">
        <x:v>제주특별자치도</x:v>
      </x:c>
      <x:c r="D339" s="17" t="str">
        <x:v>직원 수시 모집 공고 - 기간제(의료보조원)</x:v>
      </x:c>
      <x:c r="E339" s="17" t="str">
        <x:v>신입+경력</x:v>
      </x:c>
      <x:c r="F339" s="17" t="str">
        <x:v>기간제</x:v>
      </x:c>
      <x:c r="G339" s="17" t="str">
        <x:v>명시 없음(원문 확인)</x:v>
      </x:c>
      <x:c r="H339" s="17" t="str">
        <x:v>2026-07-10</x:v>
      </x:c>
      <x:c r="I339" s="17" t="str">
        <x:v>2026-12-31</x:v>
      </x:c>
      <x:c r="J339" s="17" t="str">
        <x:v>모집중</x:v>
      </x:c>
      <x:c r="K339" s="17" t="str">
        <x:v>기간제·비정규</x:v>
      </x:c>
      <x:c r="L339" s="17" t="str">
        <x:v>검토</x:v>
      </x:c>
      <x:c r="M339" s="17" t="str">
        <x:v>제한 문구 미탐지</x:v>
      </x:c>
      <x:c r="N339" s="17" t="str">
        <x:v>기관 공고 원문 확인</x:v>
      </x:c>
      <x:c r="O339" s="17" t="str">
        <x:v>기관 공고 원문 확인</x:v>
      </x:c>
      <x:c r="P339" s="17" t="str">
        <x:v>기관 공고 원문 확인</x:v>
      </x:c>
      <x:c r="Q339" s="17" t="str">
        <x:v>기관 공고 원문 확인</x:v>
      </x:c>
      <x:c r="R339" s="17" t="str">
        <x:v>정상</x:v>
      </x:c>
      <x:c r="S339" s="18" t="str">
        <x:v>https://job.cleaneye.go.kr/user/ypRecruitment.do</x:v>
      </x:c>
      <x:c r="T339" s="1"/>
      <x:c r="U339" s="1"/>
      <x:c r="V339" s="1"/>
      <x:c r="W339" s="1"/>
      <x:c r="X339" s="1"/>
      <x:c r="Y339" s="1"/>
      <x:c r="Z339" s="1"/>
    </x:row>
    <x:row r="340" ht="50" customHeight="1">
      <x:c r="A340" s="17" t="n">
        <x:v>336</x:v>
      </x:c>
      <x:c r="B340" s="17" t="str">
        <x:v>세종도시교통공사</x:v>
      </x:c>
      <x:c r="C340" s="17" t="str">
        <x:v>세종특별자치시</x:v>
      </x:c>
      <x:c r="D340" s="17" t="str">
        <x:v>[모집공고] 세종도시교통공사 2026년 제6회 기간제근로자(휴직대체) 채용 공고</x:v>
      </x:c>
      <x:c r="E340" s="17" t="str">
        <x:v>신입+경력</x:v>
      </x:c>
      <x:c r="F340" s="17" t="str">
        <x:v>기간제</x:v>
      </x:c>
      <x:c r="G340" s="17" t="str">
        <x:v>명시 없음(원문 확인)</x:v>
      </x:c>
      <x:c r="H340" s="17" t="str">
        <x:v>2026-07-08</x:v>
      </x:c>
      <x:c r="I340" s="17" t="str">
        <x:v>2027-07-18</x:v>
      </x:c>
      <x:c r="J340" s="17" t="str">
        <x:v>모집중</x:v>
      </x:c>
      <x:c r="K340" s="17" t="str">
        <x:v>기간제·비정규</x:v>
      </x:c>
      <x:c r="L340" s="17" t="str">
        <x:v>검토</x:v>
      </x:c>
      <x:c r="M340" s="17" t="str">
        <x:v>제한 문구 미탐지</x:v>
      </x:c>
      <x:c r="N340" s="17" t="str">
        <x:v>기관 공고 원문 확인</x:v>
      </x:c>
      <x:c r="O340" s="17" t="str">
        <x:v>기관 공고 원문 확인</x:v>
      </x:c>
      <x:c r="P340" s="17" t="str">
        <x:v>기관 공고 원문 확인</x:v>
      </x:c>
      <x:c r="Q340" s="17" t="str">
        <x:v>기관 공고 원문 확인</x:v>
      </x:c>
      <x:c r="R340" s="17" t="str">
        <x:v>정상</x:v>
      </x:c>
      <x:c r="S340" s="18" t="str">
        <x:v>https://job.cleaneye.go.kr/user/ypRecruitment.do</x:v>
      </x:c>
      <x:c r="T340" s="1"/>
      <x:c r="U340" s="1"/>
      <x:c r="V340" s="1"/>
      <x:c r="W340" s="1"/>
      <x:c r="X340" s="1"/>
      <x:c r="Y340" s="1"/>
      <x:c r="Z340" s="1"/>
    </x:row>
    <x:row r="341" ht="50" customHeight="1">
      <x:c r="A341" s="17" t="n">
        <x:v>337</x:v>
      </x:c>
      <x:c r="B341" s="17" t="str">
        <x:v>성남시의료원</x:v>
      </x:c>
      <x:c r="C341" s="17" t="str">
        <x:v>경기도</x:v>
      </x:c>
      <x:c r="D341" s="17" t="str">
        <x:v>2026년 제9회 성남시의료원 직원채용 모집 공고(상시)</x:v>
      </x:c>
      <x:c r="E341" s="17" t="str">
        <x:v>신입+경력</x:v>
      </x:c>
      <x:c r="F341" s="17" t="str">
        <x:v>일반계약직</x:v>
      </x:c>
      <x:c r="G341" s="17" t="str">
        <x:v>명시 없음(원문 확인)</x:v>
      </x:c>
      <x:c r="H341" s="17" t="str">
        <x:v>2026-06-15</x:v>
      </x:c>
      <x:c r="I341" s="17" t="str">
        <x:v>2026-12-31</x:v>
      </x:c>
      <x:c r="J341" s="17" t="str">
        <x:v>모집중</x:v>
      </x:c>
      <x:c r="K341" s="17" t="str">
        <x:v>기타 채용</x:v>
      </x:c>
      <x:c r="L341" s="17" t="str">
        <x:v>검토</x:v>
      </x:c>
      <x:c r="M341" s="17" t="str">
        <x:v>제한 문구 미탐지</x:v>
      </x:c>
      <x:c r="N341" s="17" t="str">
        <x:v>기관 공고 원문 확인</x:v>
      </x:c>
      <x:c r="O341" s="17" t="str">
        <x:v>기관 공고 원문 확인</x:v>
      </x:c>
      <x:c r="P341" s="17" t="str">
        <x:v>기관 공고 원문 확인</x:v>
      </x:c>
      <x:c r="Q341" s="17" t="str">
        <x:v>기관 공고 원문 확인</x:v>
      </x:c>
      <x:c r="R341" s="17" t="str">
        <x:v>정상</x:v>
      </x:c>
      <x:c r="S341" s="18" t="str">
        <x:v>https://job.cleaneye.go.kr/user/ypRecruitment.do</x:v>
      </x:c>
      <x:c r="T341" s="1"/>
      <x:c r="U341" s="1"/>
      <x:c r="V341" s="1"/>
      <x:c r="W341" s="1"/>
      <x:c r="X341" s="1"/>
      <x:c r="Y341" s="1"/>
      <x:c r="Z341" s="1"/>
    </x:row>
    <x:row r="342" ht="50" customHeight="1">
      <x:c r="A342" s="17" t="n">
        <x:v>338</x:v>
      </x:c>
      <x:c r="B342" s="17" t="str">
        <x:v>울진군의료원</x:v>
      </x:c>
      <x:c r="C342" s="17" t="str">
        <x:v>경상북도</x:v>
      </x:c>
      <x:c r="D342" s="17" t="str">
        <x:v>울진군의료원 의사채용공고(응급실)</x:v>
      </x:c>
      <x:c r="E342" s="17" t="str">
        <x:v>신입+경력</x:v>
      </x:c>
      <x:c r="F342" s="17" t="str">
        <x:v>전문계약직</x:v>
      </x:c>
      <x:c r="G342" s="17" t="str">
        <x:v>명시 없음(원문 확인)</x:v>
      </x:c>
      <x:c r="H342" s="17" t="str">
        <x:v>2026-06-04</x:v>
      </x:c>
      <x:c r="I342" s="17" t="str">
        <x:v>2026-12-31</x:v>
      </x:c>
      <x:c r="J342" s="17" t="str">
        <x:v>모집중</x:v>
      </x:c>
      <x:c r="K342" s="17" t="str">
        <x:v>기타 채용</x:v>
      </x:c>
      <x:c r="L342" s="17" t="str">
        <x:v>검토</x:v>
      </x:c>
      <x:c r="M342" s="17" t="str">
        <x:v>제한 문구 미탐지</x:v>
      </x:c>
      <x:c r="N342" s="17" t="str">
        <x:v>기관 공고 원문 확인</x:v>
      </x:c>
      <x:c r="O342" s="17" t="str">
        <x:v>기관 공고 원문 확인</x:v>
      </x:c>
      <x:c r="P342" s="17" t="str">
        <x:v>기관 공고 원문 확인</x:v>
      </x:c>
      <x:c r="Q342" s="17" t="str">
        <x:v>기관 공고 원문 확인</x:v>
      </x:c>
      <x:c r="R342" s="17" t="str">
        <x:v>정상</x:v>
      </x:c>
      <x:c r="S342" s="18" t="str">
        <x:v>https://job.cleaneye.go.kr/user/ypRecruitment.do</x:v>
      </x:c>
      <x:c r="T342" s="1"/>
      <x:c r="U342" s="1"/>
      <x:c r="V342" s="1"/>
      <x:c r="W342" s="1"/>
      <x:c r="X342" s="1"/>
      <x:c r="Y342" s="1"/>
      <x:c r="Z342" s="1"/>
    </x:row>
    <x:row r="343" ht="50" customHeight="1">
      <x:c r="A343" s="17" t="n">
        <x:v>339</x:v>
      </x:c>
      <x:c r="B343" s="17" t="str">
        <x:v>울진군의료원</x:v>
      </x:c>
      <x:c r="C343" s="17" t="str">
        <x:v>경상북도</x:v>
      </x:c>
      <x:c r="D343" s="17" t="str">
        <x:v>울진군의료원 약사 채용 공고</x:v>
      </x:c>
      <x:c r="E343" s="17" t="str">
        <x:v>신입+경력</x:v>
      </x:c>
      <x:c r="F343" s="17" t="str">
        <x:v>전문계약직</x:v>
      </x:c>
      <x:c r="G343" s="17" t="str">
        <x:v>명시 없음(원문 확인)</x:v>
      </x:c>
      <x:c r="H343" s="17" t="str">
        <x:v>2026-05-21</x:v>
      </x:c>
      <x:c r="I343" s="17" t="str">
        <x:v>2026-12-31</x:v>
      </x:c>
      <x:c r="J343" s="17" t="str">
        <x:v>모집중</x:v>
      </x:c>
      <x:c r="K343" s="17" t="str">
        <x:v>경력·전문직</x:v>
      </x:c>
      <x:c r="L343" s="17" t="str">
        <x:v>경력·전문 우선</x:v>
      </x:c>
      <x:c r="M343" s="17" t="str">
        <x:v>제한 문구 미탐지</x:v>
      </x:c>
      <x:c r="N343" s="17" t="str">
        <x:v>기관 공고 원문 확인</x:v>
      </x:c>
      <x:c r="O343" s="17" t="str">
        <x:v>기관 공고 원문 확인</x:v>
      </x:c>
      <x:c r="P343" s="17" t="str">
        <x:v>기관 공고 원문 확인</x:v>
      </x:c>
      <x:c r="Q343" s="17" t="str">
        <x:v>기관 공고 원문 확인</x:v>
      </x:c>
      <x:c r="R343" s="17" t="str">
        <x:v>정상</x:v>
      </x:c>
      <x:c r="S343" s="18" t="str">
        <x:v>https://job.cleaneye.go.kr/user/ypRecruitment.do</x:v>
      </x:c>
      <x:c r="T343" s="1"/>
      <x:c r="U343" s="1"/>
      <x:c r="V343" s="1"/>
      <x:c r="W343" s="1"/>
      <x:c r="X343" s="1"/>
      <x:c r="Y343" s="1"/>
      <x:c r="Z343" s="1"/>
    </x:row>
    <x:row r="344" ht="50" customHeight="1">
      <x:c r="A344" s="17" t="n">
        <x:v>340</x:v>
      </x:c>
      <x:c r="B344" s="17" t="str">
        <x:v>성남시의료원</x:v>
      </x:c>
      <x:c r="C344" s="17" t="str">
        <x:v>경기도</x:v>
      </x:c>
      <x:c r="D344" s="17" t="str">
        <x:v>2026년도 제6회 성남시의료원 직원채용 모집 공고</x:v>
      </x:c>
      <x:c r="E344" s="17" t="str">
        <x:v>신입+경력</x:v>
      </x:c>
      <x:c r="F344" s="17" t="str">
        <x:v>일반계약직</x:v>
      </x:c>
      <x:c r="G344" s="17" t="str">
        <x:v>명시 없음(원문 확인)</x:v>
      </x:c>
      <x:c r="H344" s="17" t="str">
        <x:v>2026-04-17</x:v>
      </x:c>
      <x:c r="I344" s="17" t="str">
        <x:v>2026-12-31</x:v>
      </x:c>
      <x:c r="J344" s="17" t="str">
        <x:v>모집중</x:v>
      </x:c>
      <x:c r="K344" s="17" t="str">
        <x:v>기타 채용</x:v>
      </x:c>
      <x:c r="L344" s="17" t="str">
        <x:v>검토</x:v>
      </x:c>
      <x:c r="M344" s="17" t="str">
        <x:v>제한 문구 미탐지</x:v>
      </x:c>
      <x:c r="N344" s="17" t="str">
        <x:v>기관 공고 원문 확인</x:v>
      </x:c>
      <x:c r="O344" s="17" t="str">
        <x:v>기관 공고 원문 확인</x:v>
      </x:c>
      <x:c r="P344" s="17" t="str">
        <x:v>기관 공고 원문 확인</x:v>
      </x:c>
      <x:c r="Q344" s="17" t="str">
        <x:v>기관 공고 원문 확인</x:v>
      </x:c>
      <x:c r="R344" s="17" t="str">
        <x:v>정상</x:v>
      </x:c>
      <x:c r="S344" s="18" t="str">
        <x:v>https://job.cleaneye.go.kr/user/ypRecruitment.do</x:v>
      </x:c>
      <x:c r="T344" s="1"/>
      <x:c r="U344" s="1"/>
      <x:c r="V344" s="1"/>
      <x:c r="W344" s="1"/>
      <x:c r="X344" s="1"/>
      <x:c r="Y344" s="1"/>
      <x:c r="Z344" s="1"/>
    </x:row>
    <x:row r="345" ht="50" customHeight="1">
      <x:c r="A345" s="17" t="n">
        <x:v>341</x:v>
      </x:c>
      <x:c r="B345" s="17" t="str">
        <x:v>울진군의료원</x:v>
      </x:c>
      <x:c r="C345" s="17" t="str">
        <x:v>경상북도</x:v>
      </x:c>
      <x:c r="D345" s="17" t="str">
        <x:v>울진군의료원 의사채용공고(산부인과)</x:v>
      </x:c>
      <x:c r="E345" s="17" t="str">
        <x:v>신입+경력</x:v>
      </x:c>
      <x:c r="F345" s="17" t="str">
        <x:v>전문계약직</x:v>
      </x:c>
      <x:c r="G345" s="17" t="str">
        <x:v>명시 없음(원문 확인)</x:v>
      </x:c>
      <x:c r="H345" s="17" t="str">
        <x:v>2026-04-16</x:v>
      </x:c>
      <x:c r="I345" s="17" t="str">
        <x:v>2026-12-31</x:v>
      </x:c>
      <x:c r="J345" s="17" t="str">
        <x:v>모집중</x:v>
      </x:c>
      <x:c r="K345" s="17" t="str">
        <x:v>기타 채용</x:v>
      </x:c>
      <x:c r="L345" s="17" t="str">
        <x:v>검토</x:v>
      </x:c>
      <x:c r="M345" s="17" t="str">
        <x:v>제한 문구 미탐지</x:v>
      </x:c>
      <x:c r="N345" s="17" t="str">
        <x:v>기관 공고 원문 확인</x:v>
      </x:c>
      <x:c r="O345" s="17" t="str">
        <x:v>기관 공고 원문 확인</x:v>
      </x:c>
      <x:c r="P345" s="17" t="str">
        <x:v>기관 공고 원문 확인</x:v>
      </x:c>
      <x:c r="Q345" s="17" t="str">
        <x:v>기관 공고 원문 확인</x:v>
      </x:c>
      <x:c r="R345" s="17" t="str">
        <x:v>정상</x:v>
      </x:c>
      <x:c r="S345" s="18" t="str">
        <x:v>https://job.cleaneye.go.kr/user/ypRecruitment.do</x:v>
      </x:c>
      <x:c r="T345" s="1"/>
      <x:c r="U345" s="1"/>
      <x:c r="V345" s="1"/>
      <x:c r="W345" s="1"/>
      <x:c r="X345" s="1"/>
      <x:c r="Y345" s="1"/>
      <x:c r="Z345" s="1"/>
    </x:row>
    <x:row r="346" ht="50" customHeight="1">
      <x:c r="A346" s="17" t="n">
        <x:v>342</x:v>
      </x:c>
      <x:c r="B346" s="17" t="str">
        <x:v>서귀포의료원</x:v>
      </x:c>
      <x:c r="C346" s="17" t="str">
        <x:v>제주특별자치도</x:v>
      </x:c>
      <x:c r="D346" s="17" t="str">
        <x:v>직원 수시모집 공고 - 기간제(정신건강사회복지사)</x:v>
      </x:c>
      <x:c r="E346" s="17" t="str">
        <x:v>신입+경력</x:v>
      </x:c>
      <x:c r="F346" s="17" t="str">
        <x:v>기간제</x:v>
      </x:c>
      <x:c r="G346" s="17" t="str">
        <x:v>명시 없음(원문 확인)</x:v>
      </x:c>
      <x:c r="H346" s="17" t="str">
        <x:v>2026-03-13</x:v>
      </x:c>
      <x:c r="I346" s="17" t="str">
        <x:v>2026-12-31</x:v>
      </x:c>
      <x:c r="J346" s="17" t="str">
        <x:v>모집중</x:v>
      </x:c>
      <x:c r="K346" s="17" t="str">
        <x:v>기간제·비정규</x:v>
      </x:c>
      <x:c r="L346" s="17" t="str">
        <x:v>검토</x:v>
      </x:c>
      <x:c r="M346" s="17" t="str">
        <x:v>제한 문구 미탐지</x:v>
      </x:c>
      <x:c r="N346" s="17" t="str">
        <x:v>기관 공고 원문 확인</x:v>
      </x:c>
      <x:c r="O346" s="17" t="str">
        <x:v>기관 공고 원문 확인</x:v>
      </x:c>
      <x:c r="P346" s="17" t="str">
        <x:v>기관 공고 원문 확인</x:v>
      </x:c>
      <x:c r="Q346" s="17" t="str">
        <x:v>기관 공고 원문 확인</x:v>
      </x:c>
      <x:c r="R346" s="17" t="str">
        <x:v>정상</x:v>
      </x:c>
      <x:c r="S346" s="18" t="str">
        <x:v>https://job.cleaneye.go.kr/user/ypRecruitment.do</x:v>
      </x:c>
      <x:c r="T346" s="1"/>
      <x:c r="U346" s="1"/>
      <x:c r="V346" s="1"/>
      <x:c r="W346" s="1"/>
      <x:c r="X346" s="1"/>
      <x:c r="Y346" s="1"/>
      <x:c r="Z346" s="1"/>
    </x:row>
    <x:row r="347" ht="50" customHeight="1">
      <x:c r="A347" s="17" t="n">
        <x:v>343</x:v>
      </x:c>
      <x:c r="B347" s="17" t="str">
        <x:v>서귀포의료원</x:v>
      </x:c>
      <x:c r="C347" s="17" t="str">
        <x:v>제주특별자치도</x:v>
      </x:c>
      <x:c r="D347" s="17" t="str">
        <x:v>직원 수시모집 공고-의사직(안과, 산부인과, 내과)</x:v>
      </x:c>
      <x:c r="E347" s="17" t="str">
        <x:v>신입+경력</x:v>
      </x:c>
      <x:c r="F347" s="17" t="str">
        <x:v>일반정규직</x:v>
      </x:c>
      <x:c r="G347" s="17" t="str">
        <x:v>명시 없음(원문 확인)</x:v>
      </x:c>
      <x:c r="H347" s="17" t="str">
        <x:v>2026-03-13</x:v>
      </x:c>
      <x:c r="I347" s="17" t="str">
        <x:v>2026-12-31</x:v>
      </x:c>
      <x:c r="J347" s="17" t="str">
        <x:v>모집중</x:v>
      </x:c>
      <x:c r="K347" s="17" t="str">
        <x:v>정규직(세부 확인)</x:v>
      </x:c>
      <x:c r="L347" s="17" t="str">
        <x:v>검토</x:v>
      </x:c>
      <x:c r="M347" s="17" t="str">
        <x:v>제한 문구 미탐지</x:v>
      </x:c>
      <x:c r="N347" s="17" t="str">
        <x:v>기관 공고 원문 확인</x:v>
      </x:c>
      <x:c r="O347" s="17" t="str">
        <x:v>기관 공고 원문 확인</x:v>
      </x:c>
      <x:c r="P347" s="17" t="str">
        <x:v>기관 공고 원문 확인</x:v>
      </x:c>
      <x:c r="Q347" s="17" t="str">
        <x:v>기관 공고 원문 확인</x:v>
      </x:c>
      <x:c r="R347" s="17" t="str">
        <x:v>정상</x:v>
      </x:c>
      <x:c r="S347" s="18" t="str">
        <x:v>https://job.cleaneye.go.kr/user/ypRecruitment.do</x:v>
      </x:c>
      <x:c r="T347" s="1"/>
      <x:c r="U347" s="1"/>
      <x:c r="V347" s="1"/>
      <x:c r="W347" s="1"/>
      <x:c r="X347" s="1"/>
      <x:c r="Y347" s="1"/>
      <x:c r="Z347" s="1"/>
    </x:row>
    <x:row r="348" ht="50" customHeight="1">
      <x:c r="A348" s="17" t="n">
        <x:v>344</x:v>
      </x:c>
      <x:c r="B348" s="17" t="str">
        <x:v>재단법인 대전광역시 사회서비스원</x:v>
      </x:c>
      <x:c r="C348" s="17" t="str">
        <x:v>대전광역시</x:v>
      </x:c>
      <x:c r="D348" s="17" t="str">
        <x:v>「대전광역시사회서비스원」 2026년 대전광역시노인복지관 인력풀 모집</x:v>
      </x:c>
      <x:c r="E348" s="17" t="str">
        <x:v>신입+경력</x:v>
      </x:c>
      <x:c r="F348" s="17" t="str">
        <x:v>기간제</x:v>
      </x:c>
      <x:c r="G348" s="17" t="str">
        <x:v>명시 없음(원문 확인)</x:v>
      </x:c>
      <x:c r="H348" s="17" t="str">
        <x:v>2026-02-26</x:v>
      </x:c>
      <x:c r="I348" s="17" t="str">
        <x:v>2026-11-26</x:v>
      </x:c>
      <x:c r="J348" s="17" t="str">
        <x:v>모집중</x:v>
      </x:c>
      <x:c r="K348" s="17" t="str">
        <x:v>기간제·비정규</x:v>
      </x:c>
      <x:c r="L348" s="17" t="str">
        <x:v>검토</x:v>
      </x:c>
      <x:c r="M348" s="17" t="str">
        <x:v>제한 문구 미탐지</x:v>
      </x:c>
      <x:c r="N348" s="17" t="str">
        <x:v>기관 공고 원문 확인</x:v>
      </x:c>
      <x:c r="O348" s="17" t="str">
        <x:v>기관 공고 원문 확인</x:v>
      </x:c>
      <x:c r="P348" s="17" t="str">
        <x:v>기관 공고 원문 확인</x:v>
      </x:c>
      <x:c r="Q348" s="17" t="str">
        <x:v>기관 공고 원문 확인</x:v>
      </x:c>
      <x:c r="R348" s="17" t="str">
        <x:v>정상</x:v>
      </x:c>
      <x:c r="S348" s="18" t="str">
        <x:v>https://job.cleaneye.go.kr/user/ypRecruitment.do</x:v>
      </x:c>
      <x:c r="T348" s="1"/>
      <x:c r="U348" s="1"/>
      <x:c r="V348" s="1"/>
      <x:c r="W348" s="1"/>
      <x:c r="X348" s="1"/>
      <x:c r="Y348" s="1"/>
      <x:c r="Z348" s="1"/>
    </x:row>
    <x:row r="349" ht="50" customHeight="1">
      <x:c r="A349" s="17" t="n">
        <x:v>345</x:v>
      </x:c>
      <x:c r="B349" s="17" t="str">
        <x:v>울진군의료원</x:v>
      </x:c>
      <x:c r="C349" s="17" t="str">
        <x:v>경상북도</x:v>
      </x:c>
      <x:c r="D349" s="17" t="str">
        <x:v>울진군의료원 의사 채용공고(마취통증의학과, 영상의학과)</x:v>
      </x:c>
      <x:c r="E349" s="17" t="str">
        <x:v>신입+경력</x:v>
      </x:c>
      <x:c r="F349" s="17" t="str">
        <x:v>전문계약직</x:v>
      </x:c>
      <x:c r="G349" s="17" t="str">
        <x:v>명시 없음(원문 확인)</x:v>
      </x:c>
      <x:c r="H349" s="17" t="str">
        <x:v>2026-02-10</x:v>
      </x:c>
      <x:c r="I349" s="17" t="str">
        <x:v>2026-12-31</x:v>
      </x:c>
      <x:c r="J349" s="17" t="str">
        <x:v>모집중</x:v>
      </x:c>
      <x:c r="K349" s="17" t="str">
        <x:v>기타 채용</x:v>
      </x:c>
      <x:c r="L349" s="17" t="str">
        <x:v>검토</x:v>
      </x:c>
      <x:c r="M349" s="17" t="str">
        <x:v>제한 문구 미탐지</x:v>
      </x:c>
      <x:c r="N349" s="17" t="str">
        <x:v>기관 공고 원문 확인</x:v>
      </x:c>
      <x:c r="O349" s="17" t="str">
        <x:v>기관 공고 원문 확인</x:v>
      </x:c>
      <x:c r="P349" s="17" t="str">
        <x:v>기관 공고 원문 확인</x:v>
      </x:c>
      <x:c r="Q349" s="17" t="str">
        <x:v>기관 공고 원문 확인</x:v>
      </x:c>
      <x:c r="R349" s="17" t="str">
        <x:v>정상</x:v>
      </x:c>
      <x:c r="S349" s="18" t="str">
        <x:v>https://job.cleaneye.go.kr/user/ypRecruitment.do</x:v>
      </x:c>
      <x:c r="T349" s="1"/>
      <x:c r="U349" s="1"/>
      <x:c r="V349" s="1"/>
      <x:c r="W349" s="1"/>
      <x:c r="X349" s="1"/>
      <x:c r="Y349" s="1"/>
      <x:c r="Z349" s="1"/>
    </x:row>
    <x:row r="350" ht="50" customHeight="1">
      <x:c r="A350" s="17" t="n">
        <x:v>346</x:v>
      </x:c>
      <x:c r="B350" s="17" t="str">
        <x:v>전북특별자치도 군산의료원</x:v>
      </x:c>
      <x:c r="C350" s="17" t="str">
        <x:v>전북특별자치도</x:v>
      </x:c>
      <x:c r="D350" s="17" t="str">
        <x:v>군산의료원 의사직(일반의) 채용 공고</x:v>
      </x:c>
      <x:c r="E350" s="17" t="str">
        <x:v>신입+경력</x:v>
      </x:c>
      <x:c r="F350" s="17" t="str">
        <x:v>일반계약직</x:v>
      </x:c>
      <x:c r="G350" s="17" t="str">
        <x:v>명시 없음(원문 확인)</x:v>
      </x:c>
      <x:c r="H350" s="17" t="str">
        <x:v>2026-02-06</x:v>
      </x:c>
      <x:c r="I350" s="17" t="str">
        <x:v>2026-12-31</x:v>
      </x:c>
      <x:c r="J350" s="17" t="str">
        <x:v>모집중</x:v>
      </x:c>
      <x:c r="K350" s="17" t="str">
        <x:v>기타 채용</x:v>
      </x:c>
      <x:c r="L350" s="17" t="str">
        <x:v>검토</x:v>
      </x:c>
      <x:c r="M350" s="17" t="str">
        <x:v>제한 문구 미탐지</x:v>
      </x:c>
      <x:c r="N350" s="17" t="str">
        <x:v>기관 공고 원문 확인</x:v>
      </x:c>
      <x:c r="O350" s="17" t="str">
        <x:v>기관 공고 원문 확인</x:v>
      </x:c>
      <x:c r="P350" s="17" t="str">
        <x:v>기관 공고 원문 확인</x:v>
      </x:c>
      <x:c r="Q350" s="17" t="str">
        <x:v>기관 공고 원문 확인</x:v>
      </x:c>
      <x:c r="R350" s="17" t="str">
        <x:v>정상</x:v>
      </x:c>
      <x:c r="S350" s="18" t="str">
        <x:v>https://job.cleaneye.go.kr/user/ypRecruitment.do</x:v>
      </x:c>
      <x:c r="T350" s="1"/>
      <x:c r="U350" s="1"/>
      <x:c r="V350" s="1"/>
      <x:c r="W350" s="1"/>
      <x:c r="X350" s="1"/>
      <x:c r="Y350" s="1"/>
      <x:c r="Z350" s="1"/>
    </x:row>
    <x:row r="351" ht="50" customHeight="1">
      <x:c r="A351" s="17" t="n">
        <x:v>347</x:v>
      </x:c>
      <x:c r="B351" s="17" t="str">
        <x:v>포항시시설관리공단</x:v>
      </x:c>
      <x:c r="C351" s="17" t="str">
        <x:v>경상북도</x:v>
      </x:c>
      <x:c r="D351" s="17" t="str">
        <x:v>양학국민체육센터 헬스장 체육지도자 모집 공고 (변경)</x:v>
      </x:c>
      <x:c r="E351" s="17" t="str">
        <x:v>신입</x:v>
      </x:c>
      <x:c r="F351" s="17" t="str">
        <x:v>기간제</x:v>
      </x:c>
      <x:c r="G351" s="17" t="str">
        <x:v>경상북도 포항시</x:v>
      </x:c>
      <x:c r="H351" s="17" t="str">
        <x:v>2026-01-30</x:v>
      </x:c>
      <x:c r="I351" s="17" t="str">
        <x:v>2026-12-31</x:v>
      </x:c>
      <x:c r="J351" s="17" t="str">
        <x:v>모집중</x:v>
      </x:c>
      <x:c r="K351" s="17" t="str">
        <x:v>기간제·비정규</x:v>
      </x:c>
      <x:c r="L351" s="17" t="str">
        <x:v>검토</x:v>
      </x:c>
      <x:c r="M351" s="17" t="str">
        <x:v>제한 문구 미탐지</x:v>
      </x:c>
      <x:c r="N351" s="17" t="str">
        <x:v>기관 공고 원문 확인</x:v>
      </x:c>
      <x:c r="O351" s="17" t="str">
        <x:v>기관 공고 원문 확인</x:v>
      </x:c>
      <x:c r="P351" s="17" t="str">
        <x:v>기관 공고 원문 확인</x:v>
      </x:c>
      <x:c r="Q351" s="17" t="str">
        <x:v>기관 공고 원문 확인</x:v>
      </x:c>
      <x:c r="R351" s="17" t="str">
        <x:v>정상</x:v>
      </x:c>
      <x:c r="S351" s="18" t="str">
        <x:v>https://job.cleaneye.go.kr/user/ypRecruitment.do</x:v>
      </x:c>
      <x:c r="T351" s="1"/>
      <x:c r="U351" s="1"/>
      <x:c r="V351" s="1"/>
      <x:c r="W351" s="1"/>
      <x:c r="X351" s="1"/>
      <x:c r="Y351" s="1"/>
      <x:c r="Z351" s="1"/>
    </x:row>
    <x:row r="352" ht="50" customHeight="1">
      <x:c r="A352" s="17" t="n">
        <x:v>348</x:v>
      </x:c>
      <x:c r="B352" s="17" t="str">
        <x:v>울진군의료원</x:v>
      </x:c>
      <x:c r="C352" s="17" t="str">
        <x:v>경상북도</x:v>
      </x:c>
      <x:c r="D352" s="17" t="str">
        <x:v>울진군의료원 의사채용 공고(응급의학과, 산부인과)</x:v>
      </x:c>
      <x:c r="E352" s="17" t="str">
        <x:v>신입+경력</x:v>
      </x:c>
      <x:c r="F352" s="17" t="str">
        <x:v>전문계약직</x:v>
      </x:c>
      <x:c r="G352" s="17" t="str">
        <x:v>명시 없음(원문 확인)</x:v>
      </x:c>
      <x:c r="H352" s="17" t="str">
        <x:v>2026-01-26</x:v>
      </x:c>
      <x:c r="I352" s="17" t="str">
        <x:v>2026-12-31</x:v>
      </x:c>
      <x:c r="J352" s="17" t="str">
        <x:v>모집중</x:v>
      </x:c>
      <x:c r="K352" s="17" t="str">
        <x:v>기타 채용</x:v>
      </x:c>
      <x:c r="L352" s="17" t="str">
        <x:v>검토</x:v>
      </x:c>
      <x:c r="M352" s="17" t="str">
        <x:v>제한 문구 미탐지</x:v>
      </x:c>
      <x:c r="N352" s="17" t="str">
        <x:v>기관 공고 원문 확인</x:v>
      </x:c>
      <x:c r="O352" s="17" t="str">
        <x:v>기관 공고 원문 확인</x:v>
      </x:c>
      <x:c r="P352" s="17" t="str">
        <x:v>기관 공고 원문 확인</x:v>
      </x:c>
      <x:c r="Q352" s="17" t="str">
        <x:v>기관 공고 원문 확인</x:v>
      </x:c>
      <x:c r="R352" s="17" t="str">
        <x:v>정상</x:v>
      </x:c>
      <x:c r="S352" s="18" t="str">
        <x:v>https://job.cleaneye.go.kr/user/ypRecruitment.do</x:v>
      </x:c>
      <x:c r="T352" s="1"/>
      <x:c r="U352" s="1"/>
      <x:c r="V352" s="1"/>
      <x:c r="W352" s="1"/>
      <x:c r="X352" s="1"/>
      <x:c r="Y352" s="1"/>
      <x:c r="Z352" s="1"/>
    </x:row>
    <x:row r="353" ht="50" customHeight="1">
      <x:c r="A353" s="17" t="n">
        <x:v>349</x:v>
      </x:c>
      <x:c r="B353" s="17" t="str">
        <x:v>강원특별자치도삼척의료원</x:v>
      </x:c>
      <x:c r="C353" s="17" t="str">
        <x:v>강원특별자치도</x:v>
      </x:c>
      <x:c r="D353" s="17" t="str">
        <x:v>재공고-6 영상의학과, 외과 전문의 초빙 공고</x:v>
      </x:c>
      <x:c r="E353" s="17" t="str">
        <x:v>신입+경력</x:v>
      </x:c>
      <x:c r="F353" s="17" t="str">
        <x:v>전문계약직</x:v>
      </x:c>
      <x:c r="G353" s="17" t="str">
        <x:v>명시 없음(원문 확인)</x:v>
      </x:c>
      <x:c r="H353" s="17" t="str">
        <x:v>2026-01-26</x:v>
      </x:c>
      <x:c r="I353" s="17" t="str">
        <x:v>2026-12-31</x:v>
      </x:c>
      <x:c r="J353" s="17" t="str">
        <x:v>모집중</x:v>
      </x:c>
      <x:c r="K353" s="17" t="str">
        <x:v>경력·전문직</x:v>
      </x:c>
      <x:c r="L353" s="17" t="str">
        <x:v>경력·전문 우선</x:v>
      </x:c>
      <x:c r="M353" s="17" t="str">
        <x:v>제한 문구 미탐지</x:v>
      </x:c>
      <x:c r="N353" s="17" t="str">
        <x:v>기관 공고 원문 확인</x:v>
      </x:c>
      <x:c r="O353" s="17" t="str">
        <x:v>기관 공고 원문 확인</x:v>
      </x:c>
      <x:c r="P353" s="17" t="str">
        <x:v>기관 공고 원문 확인</x:v>
      </x:c>
      <x:c r="Q353" s="17" t="str">
        <x:v>기관 공고 원문 확인</x:v>
      </x:c>
      <x:c r="R353" s="17" t="str">
        <x:v>정상</x:v>
      </x:c>
      <x:c r="S353" s="18" t="str">
        <x:v>https://job.cleaneye.go.kr/user/ypRecruitment.do</x:v>
      </x:c>
      <x:c r="T353" s="1"/>
      <x:c r="U353" s="1"/>
      <x:c r="V353" s="1"/>
      <x:c r="W353" s="1"/>
      <x:c r="X353" s="1"/>
      <x:c r="Y353" s="1"/>
      <x:c r="Z353" s="1"/>
    </x:row>
    <x:row r="354" ht="50" customHeight="1">
      <x:c r="A354" s="17" t="n">
        <x:v>350</x:v>
      </x:c>
      <x:c r="B354" s="17" t="str">
        <x:v>서귀포의료원</x:v>
      </x:c>
      <x:c r="C354" s="17" t="str">
        <x:v>제주특별자치도</x:v>
      </x:c>
      <x:c r="D354" s="17" t="str">
        <x:v>직원수시모집 공고-의사직(영상의학과, 응급의학과, 소화기내과, 신경과, 호흡기내과, 가정의학과)</x:v>
      </x:c>
      <x:c r="E354" s="17" t="str">
        <x:v>신입+경력</x:v>
      </x:c>
      <x:c r="F354" s="17" t="str">
        <x:v>일반정규직</x:v>
      </x:c>
      <x:c r="G354" s="17" t="str">
        <x:v>명시 없음(원문 확인)</x:v>
      </x:c>
      <x:c r="H354" s="17" t="str">
        <x:v>2026-01-20</x:v>
      </x:c>
      <x:c r="I354" s="17" t="str">
        <x:v>2026-12-31</x:v>
      </x:c>
      <x:c r="J354" s="17" t="str">
        <x:v>모집중</x:v>
      </x:c>
      <x:c r="K354" s="17" t="str">
        <x:v>정규직(세부 확인)</x:v>
      </x:c>
      <x:c r="L354" s="17" t="str">
        <x:v>검토</x:v>
      </x:c>
      <x:c r="M354" s="17" t="str">
        <x:v>제한 문구 미탐지</x:v>
      </x:c>
      <x:c r="N354" s="17" t="str">
        <x:v>기관 공고 원문 확인</x:v>
      </x:c>
      <x:c r="O354" s="17" t="str">
        <x:v>기관 공고 원문 확인</x:v>
      </x:c>
      <x:c r="P354" s="17" t="str">
        <x:v>기관 공고 원문 확인</x:v>
      </x:c>
      <x:c r="Q354" s="17" t="str">
        <x:v>기관 공고 원문 확인</x:v>
      </x:c>
      <x:c r="R354" s="17" t="str">
        <x:v>정상</x:v>
      </x:c>
      <x:c r="S354" s="18" t="str">
        <x:v>https://job.cleaneye.go.kr/user/ypRecruitment.do</x:v>
      </x:c>
      <x:c r="T354" s="1"/>
      <x:c r="U354" s="1"/>
      <x:c r="V354" s="1"/>
      <x:c r="W354" s="1"/>
      <x:c r="X354" s="1"/>
      <x:c r="Y354" s="1"/>
      <x:c r="Z354" s="1"/>
    </x:row>
    <x:row r="355" ht="50" customHeight="1">
      <x:c r="A355" s="17" t="n">
        <x:v>351</x:v>
      </x:c>
      <x:c r="B355" s="17" t="str">
        <x:v>전북특별자치도 군산의료원</x:v>
      </x:c>
      <x:c r="C355" s="17" t="str">
        <x:v>전북특별자치도</x:v>
      </x:c>
      <x:c r="D355" s="17" t="str">
        <x:v>군산의료원 의사직(마취통증의학과) 채용 공고</x:v>
      </x:c>
      <x:c r="E355" s="17" t="str">
        <x:v>신입+경력</x:v>
      </x:c>
      <x:c r="F355" s="17" t="str">
        <x:v>일반정규직</x:v>
      </x:c>
      <x:c r="G355" s="17" t="str">
        <x:v>명시 없음(원문 확인)</x:v>
      </x:c>
      <x:c r="H355" s="17" t="str">
        <x:v>2026-01-13</x:v>
      </x:c>
      <x:c r="I355" s="17" t="str">
        <x:v>2026-12-31</x:v>
      </x:c>
      <x:c r="J355" s="17" t="str">
        <x:v>모집중</x:v>
      </x:c>
      <x:c r="K355" s="17" t="str">
        <x:v>정규직(세부 확인)</x:v>
      </x:c>
      <x:c r="L355" s="17" t="str">
        <x:v>검토</x:v>
      </x:c>
      <x:c r="M355" s="17" t="str">
        <x:v>제한 문구 미탐지</x:v>
      </x:c>
      <x:c r="N355" s="17" t="str">
        <x:v>기관 공고 원문 확인</x:v>
      </x:c>
      <x:c r="O355" s="17" t="str">
        <x:v>기관 공고 원문 확인</x:v>
      </x:c>
      <x:c r="P355" s="17" t="str">
        <x:v>기관 공고 원문 확인</x:v>
      </x:c>
      <x:c r="Q355" s="17" t="str">
        <x:v>기관 공고 원문 확인</x:v>
      </x:c>
      <x:c r="R355" s="17" t="str">
        <x:v>정상</x:v>
      </x:c>
      <x:c r="S355" s="18" t="str">
        <x:v>https://job.cleaneye.go.kr/user/ypRecruitment.do</x:v>
      </x:c>
      <x:c r="T355" s="1"/>
      <x:c r="U355" s="1"/>
      <x:c r="V355" s="1"/>
      <x:c r="W355" s="1"/>
      <x:c r="X355" s="1"/>
      <x:c r="Y355" s="1"/>
      <x:c r="Z355" s="1"/>
    </x:row>
    <x:row r="356" ht="50" customHeight="1">
      <x:c r="A356" s="17" t="n">
        <x:v>352</x:v>
      </x:c>
      <x:c r="B356" s="17" t="str">
        <x:v>전북특별자치도 군산의료원</x:v>
      </x:c>
      <x:c r="C356" s="17" t="str">
        <x:v>전북특별자치도</x:v>
      </x:c>
      <x:c r="D356" s="17" t="str">
        <x:v>군산의료원 의사직(내과) 채용 공고</x:v>
      </x:c>
      <x:c r="E356" s="17" t="str">
        <x:v>신입+경력</x:v>
      </x:c>
      <x:c r="F356" s="17" t="str">
        <x:v>일반정규직</x:v>
      </x:c>
      <x:c r="G356" s="17" t="str">
        <x:v>명시 없음(원문 확인)</x:v>
      </x:c>
      <x:c r="H356" s="17" t="str">
        <x:v>2026-01-13</x:v>
      </x:c>
      <x:c r="I356" s="17" t="str">
        <x:v>2026-12-31</x:v>
      </x:c>
      <x:c r="J356" s="17" t="str">
        <x:v>모집중</x:v>
      </x:c>
      <x:c r="K356" s="17" t="str">
        <x:v>정규직(세부 확인)</x:v>
      </x:c>
      <x:c r="L356" s="17" t="str">
        <x:v>검토</x:v>
      </x:c>
      <x:c r="M356" s="17" t="str">
        <x:v>제한 문구 미탐지</x:v>
      </x:c>
      <x:c r="N356" s="17" t="str">
        <x:v>기관 공고 원문 확인</x:v>
      </x:c>
      <x:c r="O356" s="17" t="str">
        <x:v>기관 공고 원문 확인</x:v>
      </x:c>
      <x:c r="P356" s="17" t="str">
        <x:v>기관 공고 원문 확인</x:v>
      </x:c>
      <x:c r="Q356" s="17" t="str">
        <x:v>기관 공고 원문 확인</x:v>
      </x:c>
      <x:c r="R356" s="17" t="str">
        <x:v>정상</x:v>
      </x:c>
      <x:c r="S356" s="18" t="str">
        <x:v>https://job.cleaneye.go.kr/user/ypRecruitment.do</x:v>
      </x:c>
      <x:c r="T356" s="1"/>
      <x:c r="U356" s="1"/>
      <x:c r="V356" s="1"/>
      <x:c r="W356" s="1"/>
      <x:c r="X356" s="1"/>
      <x:c r="Y356" s="1"/>
      <x:c r="Z356" s="1"/>
    </x:row>
    <x:row r="357" ht="50" customHeight="1">
      <x:c r="A357" s="17" t="n">
        <x:v>353</x:v>
      </x:c>
      <x:c r="B357" s="17" t="str">
        <x:v>강원특별자치도삼척의료원</x:v>
      </x:c>
      <x:c r="C357" s="17" t="str">
        <x:v>강원특별자치도</x:v>
      </x:c>
      <x:c r="D357" s="17" t="str">
        <x:v>재공고-1 (내과, 가정의학과, 마취통증의학과, 이비인후과) 전문의 초빙 공고</x:v>
      </x:c>
      <x:c r="E357" s="17" t="str">
        <x:v>신입+경력</x:v>
      </x:c>
      <x:c r="F357" s="17" t="str">
        <x:v>전문계약직</x:v>
      </x:c>
      <x:c r="G357" s="17" t="str">
        <x:v>명시 없음(원문 확인)</x:v>
      </x:c>
      <x:c r="H357" s="17" t="str">
        <x:v>2026-01-05</x:v>
      </x:c>
      <x:c r="I357" s="17" t="str">
        <x:v>2026-12-31</x:v>
      </x:c>
      <x:c r="J357" s="17" t="str">
        <x:v>모집중</x:v>
      </x:c>
      <x:c r="K357" s="17" t="str">
        <x:v>경력·전문직</x:v>
      </x:c>
      <x:c r="L357" s="17" t="str">
        <x:v>경력·전문 우선</x:v>
      </x:c>
      <x:c r="M357" s="17" t="str">
        <x:v>제한 문구 미탐지</x:v>
      </x:c>
      <x:c r="N357" s="17" t="str">
        <x:v>기관 공고 원문 확인</x:v>
      </x:c>
      <x:c r="O357" s="17" t="str">
        <x:v>기관 공고 원문 확인</x:v>
      </x:c>
      <x:c r="P357" s="17" t="str">
        <x:v>기관 공고 원문 확인</x:v>
      </x:c>
      <x:c r="Q357" s="17" t="str">
        <x:v>기관 공고 원문 확인</x:v>
      </x:c>
      <x:c r="R357" s="17" t="str">
        <x:v>정상</x:v>
      </x:c>
      <x:c r="S357" s="18" t="str">
        <x:v>https://job.cleaneye.go.kr/user/ypRecruitment.do</x:v>
      </x:c>
      <x:c r="T357" s="1"/>
      <x:c r="U357" s="1"/>
      <x:c r="V357" s="1"/>
      <x:c r="W357" s="1"/>
      <x:c r="X357" s="1"/>
      <x:c r="Y357" s="1"/>
      <x:c r="Z357" s="1"/>
    </x:row>
    <x:row r="358" ht="50" customHeight="1">
      <x:c r="A358" s="17" t="n">
        <x:v>354</x:v>
      </x:c>
      <x:c r="B358" s="17" t="str">
        <x:v>울진군의료원</x:v>
      </x:c>
      <x:c r="C358" s="17" t="str">
        <x:v>경상북도</x:v>
      </x:c>
      <x:c r="D358" s="17" t="str">
        <x:v>2026년 울진군의료원 간호사 상시 채용공고</x:v>
      </x:c>
      <x:c r="E358" s="17" t="str">
        <x:v>신입+경력</x:v>
      </x:c>
      <x:c r="F358" s="17" t="str">
        <x:v>일반정규직</x:v>
      </x:c>
      <x:c r="G358" s="17" t="str">
        <x:v>명시 없음(원문 확인)</x:v>
      </x:c>
      <x:c r="H358" s="17" t="str">
        <x:v>2026-01-02</x:v>
      </x:c>
      <x:c r="I358" s="17" t="str">
        <x:v>2026-12-31</x:v>
      </x:c>
      <x:c r="J358" s="17" t="str">
        <x:v>모집중</x:v>
      </x:c>
      <x:c r="K358" s="17" t="str">
        <x:v>경력·전문직</x:v>
      </x:c>
      <x:c r="L358" s="17" t="str">
        <x:v>경력·전문 우선</x:v>
      </x:c>
      <x:c r="M358" s="17" t="str">
        <x:v>제한 문구 미탐지</x:v>
      </x:c>
      <x:c r="N358" s="17" t="str">
        <x:v>기관 공고 원문 확인</x:v>
      </x:c>
      <x:c r="O358" s="17" t="str">
        <x:v>기관 공고 원문 확인</x:v>
      </x:c>
      <x:c r="P358" s="17" t="str">
        <x:v>기관 공고 원문 확인</x:v>
      </x:c>
      <x:c r="Q358" s="17" t="str">
        <x:v>기관 공고 원문 확인</x:v>
      </x:c>
      <x:c r="R358" s="17" t="str">
        <x:v>정상</x:v>
      </x:c>
      <x:c r="S358" s="18" t="str">
        <x:v>https://job.cleaneye.go.kr/user/ypRecruitment.do</x:v>
      </x:c>
      <x:c r="T358" s="1"/>
      <x:c r="U358" s="1"/>
      <x:c r="V358" s="1"/>
      <x:c r="W358" s="1"/>
      <x:c r="X358" s="1"/>
      <x:c r="Y358" s="1"/>
      <x:c r="Z358" s="1"/>
    </x:row>
    <x:row r="359" ht="50" customHeight="1">
      <x:c r="A359" s="17" t="n">
        <x:v>355</x:v>
      </x:c>
      <x:c r="B359" s="17" t="str">
        <x:v>재단법인 대전광역시 사회서비스원</x:v>
      </x:c>
      <x:c r="C359" s="17" t="str">
        <x:v>대전광역시</x:v>
      </x:c>
      <x:c r="D359" s="17" t="str">
        <x:v>「대전광역시사회서비스원」 2026년 광역종합재가센터 인력풀 모집 공고</x:v>
      </x:c>
      <x:c r="E359" s="17" t="str">
        <x:v>신입+경력</x:v>
      </x:c>
      <x:c r="F359" s="17" t="str">
        <x:v>기간제</x:v>
      </x:c>
      <x:c r="G359" s="17" t="str">
        <x:v>명시 없음(원문 확인)</x:v>
      </x:c>
      <x:c r="H359" s="17" t="str">
        <x:v>2025-12-26</x:v>
      </x:c>
      <x:c r="I359" s="17" t="str">
        <x:v>2026-11-12</x:v>
      </x:c>
      <x:c r="J359" s="17" t="str">
        <x:v>모집중</x:v>
      </x:c>
      <x:c r="K359" s="17" t="str">
        <x:v>기간제·비정규</x:v>
      </x:c>
      <x:c r="L359" s="17" t="str">
        <x:v>검토</x:v>
      </x:c>
      <x:c r="M359" s="17" t="str">
        <x:v>제한 문구 미탐지</x:v>
      </x:c>
      <x:c r="N359" s="17" t="str">
        <x:v>기관 공고 원문 확인</x:v>
      </x:c>
      <x:c r="O359" s="17" t="str">
        <x:v>기관 공고 원문 확인</x:v>
      </x:c>
      <x:c r="P359" s="17" t="str">
        <x:v>기관 공고 원문 확인</x:v>
      </x:c>
      <x:c r="Q359" s="17" t="str">
        <x:v>기관 공고 원문 확인</x:v>
      </x:c>
      <x:c r="R359" s="17" t="str">
        <x:v>정상</x:v>
      </x:c>
      <x:c r="S359" s="18" t="str">
        <x:v>https://job.cleaneye.go.kr/user/ypRecruitment.do</x:v>
      </x:c>
      <x:c r="T359" s="1"/>
      <x:c r="U359" s="1"/>
      <x:c r="V359" s="1"/>
      <x:c r="W359" s="1"/>
      <x:c r="X359" s="1"/>
      <x:c r="Y359" s="1"/>
      <x:c r="Z359" s="1"/>
    </x:row>
    <x:row r="360" ht="50" customHeight="1">
      <x:c r="A360" s="17" t="n">
        <x:v>356</x:v>
      </x:c>
      <x:c r="B360" s="17" t="str">
        <x:v>재단법인 대전광역시 사회서비스원</x:v>
      </x:c>
      <x:c r="C360" s="17" t="str">
        <x:v>대전광역시</x:v>
      </x:c>
      <x:c r="D360" s="17" t="str">
        <x:v>「대전광역시사회서비스원」 2026년 대전시사회복지대체인력지원센터 인력풀 모집</x:v>
      </x:c>
      <x:c r="E360" s="17" t="str">
        <x:v>신입+경력</x:v>
      </x:c>
      <x:c r="F360" s="17" t="str">
        <x:v>기간제</x:v>
      </x:c>
      <x:c r="G360" s="17" t="str">
        <x:v>명시 없음(원문 확인)</x:v>
      </x:c>
      <x:c r="H360" s="17" t="str">
        <x:v>2025-12-26</x:v>
      </x:c>
      <x:c r="I360" s="17" t="str">
        <x:v>2026-11-12</x:v>
      </x:c>
      <x:c r="J360" s="17" t="str">
        <x:v>모집중</x:v>
      </x:c>
      <x:c r="K360" s="17" t="str">
        <x:v>기간제·비정규</x:v>
      </x:c>
      <x:c r="L360" s="17" t="str">
        <x:v>검토</x:v>
      </x:c>
      <x:c r="M360" s="17" t="str">
        <x:v>제한 문구 미탐지</x:v>
      </x:c>
      <x:c r="N360" s="17" t="str">
        <x:v>기관 공고 원문 확인</x:v>
      </x:c>
      <x:c r="O360" s="17" t="str">
        <x:v>기관 공고 원문 확인</x:v>
      </x:c>
      <x:c r="P360" s="17" t="str">
        <x:v>기관 공고 원문 확인</x:v>
      </x:c>
      <x:c r="Q360" s="17" t="str">
        <x:v>기관 공고 원문 확인</x:v>
      </x:c>
      <x:c r="R360" s="17" t="str">
        <x:v>정상</x:v>
      </x:c>
      <x:c r="S360" s="18" t="str">
        <x:v>https://job.cleaneye.go.kr/user/ypRecruitment.do</x:v>
      </x:c>
      <x:c r="T360" s="1"/>
      <x:c r="U360" s="1"/>
      <x:c r="V360" s="1"/>
      <x:c r="W360" s="1"/>
      <x:c r="X360" s="1"/>
      <x:c r="Y360" s="1"/>
      <x:c r="Z360" s="1"/>
    </x:row>
    <x:row r="361" ht="50" customHeight="1">
      <x:c r="A361" s="17" t="n">
        <x:v>357</x:v>
      </x:c>
      <x:c r="B361" s="17" t="str">
        <x:v>성남시의료원</x:v>
      </x:c>
      <x:c r="C361" s="17" t="str">
        <x:v>경기도</x:v>
      </x:c>
      <x:c r="D361" s="17" t="str">
        <x:v>2025년 제10회 성남시의료원 직원 채용 모집 공고</x:v>
      </x:c>
      <x:c r="E361" s="17" t="str">
        <x:v>신입+경력</x:v>
      </x:c>
      <x:c r="F361" s="17" t="str">
        <x:v>일반계약직</x:v>
      </x:c>
      <x:c r="G361" s="17" t="str">
        <x:v>명시 없음(원문 확인)</x:v>
      </x:c>
      <x:c r="H361" s="17" t="str">
        <x:v>2025-12-08</x:v>
      </x:c>
      <x:c r="I361" s="17" t="str">
        <x:v>2026-12-17</x:v>
      </x:c>
      <x:c r="J361" s="17" t="str">
        <x:v>모집중</x:v>
      </x:c>
      <x:c r="K361" s="17" t="str">
        <x:v>기타 채용</x:v>
      </x:c>
      <x:c r="L361" s="17" t="str">
        <x:v>검토</x:v>
      </x:c>
      <x:c r="M361" s="17" t="str">
        <x:v>제한 문구 미탐지</x:v>
      </x:c>
      <x:c r="N361" s="17" t="str">
        <x:v>기관 공고 원문 확인</x:v>
      </x:c>
      <x:c r="O361" s="17" t="str">
        <x:v>기관 공고 원문 확인</x:v>
      </x:c>
      <x:c r="P361" s="17" t="str">
        <x:v>기관 공고 원문 확인</x:v>
      </x:c>
      <x:c r="Q361" s="17" t="str">
        <x:v>기관 공고 원문 확인</x:v>
      </x:c>
      <x:c r="R361" s="17" t="str">
        <x:v>정상</x:v>
      </x:c>
      <x:c r="S361" s="18" t="str">
        <x:v>https://job.cleaneye.go.kr/user/ypRecruitment.do</x:v>
      </x:c>
      <x:c r="T361" s="1"/>
      <x:c r="U361" s="1"/>
      <x:c r="V361" s="1"/>
      <x:c r="W361" s="1"/>
      <x:c r="X361" s="1"/>
      <x:c r="Y361" s="1"/>
      <x:c r="Z361" s="1"/>
    </x:row>
    <x:row r="362" ht="50" customHeight="1">
      <x:c r="A362" s="17" t="n">
        <x:v>358</x:v>
      </x:c>
      <x:c r="B362" s="17" t="str">
        <x:v>경기도의료원</x:v>
      </x:c>
      <x:c r="C362" s="17" t="str">
        <x:v>경기도</x:v>
      </x:c>
      <x:c r="D362" s="17" t="str">
        <x:v>경기도의료원 수원병원 당직의사(비정규직) 초빙 공고</x:v>
      </x:c>
      <x:c r="E362" s="17" t="str">
        <x:v>신입+경력</x:v>
      </x:c>
      <x:c r="F362" s="17" t="str">
        <x:v>일반계약직</x:v>
      </x:c>
      <x:c r="G362" s="17" t="str">
        <x:v>명시 없음(원문 확인)</x:v>
      </x:c>
      <x:c r="H362" s="17" t="str">
        <x:v>2025-09-16</x:v>
      </x:c>
      <x:c r="I362" s="17" t="str">
        <x:v>2050-09-26</x:v>
      </x:c>
      <x:c r="J362" s="17" t="str">
        <x:v>모집중</x:v>
      </x:c>
      <x:c r="K362" s="17" t="str">
        <x:v>기간제·비정규</x:v>
      </x:c>
      <x:c r="L362" s="17" t="str">
        <x:v>검토</x:v>
      </x:c>
      <x:c r="M362" s="17" t="str">
        <x:v>제한 문구 미탐지</x:v>
      </x:c>
      <x:c r="N362" s="17" t="str">
        <x:v>기관 공고 원문 확인</x:v>
      </x:c>
      <x:c r="O362" s="17" t="str">
        <x:v>기관 공고 원문 확인</x:v>
      </x:c>
      <x:c r="P362" s="17" t="str">
        <x:v>기관 공고 원문 확인</x:v>
      </x:c>
      <x:c r="Q362" s="17" t="str">
        <x:v>기관 공고 원문 확인</x:v>
      </x:c>
      <x:c r="R362" s="17" t="str">
        <x:v>장기 미마감(원문 확인)</x:v>
      </x:c>
      <x:c r="S362" s="18" t="str">
        <x:v>https://job.cleaneye.go.kr/user/ypRecruitment.do</x:v>
      </x:c>
      <x:c r="T362" s="1"/>
      <x:c r="U362" s="1"/>
      <x:c r="V362" s="1"/>
      <x:c r="W362" s="1"/>
      <x:c r="X362" s="1"/>
      <x:c r="Y362" s="1"/>
      <x:c r="Z362" s="1"/>
    </x:row>
    <x:row r="363" ht="50" customHeight="1">
      <x:c r="A363" s="17" t="n">
        <x:v>359</x:v>
      </x:c>
      <x:c r="B363" s="17" t="str">
        <x:v>서산의료원</x:v>
      </x:c>
      <x:c r="C363" s="17" t="str">
        <x:v>충청남도</x:v>
      </x:c>
      <x:c r="D363" s="17" t="str">
        <x:v>직원채용(기간제 업무보조-장애인제한경쟁)재공고</x:v>
      </x:c>
      <x:c r="E363" s="17" t="str">
        <x:v>신입</x:v>
      </x:c>
      <x:c r="F363" s="17" t="str">
        <x:v>기간제</x:v>
      </x:c>
      <x:c r="G363" s="17" t="str">
        <x:v>명시 없음(원문 확인)</x:v>
      </x:c>
      <x:c r="H363" s="17" t="str">
        <x:v>2024-03-07</x:v>
      </x:c>
      <x:c r="I363" s="17" t="str">
        <x:v>2400-03-19</x:v>
      </x:c>
      <x:c r="J363" s="17" t="str">
        <x:v>모집중</x:v>
      </x:c>
      <x:c r="K363" s="17" t="str">
        <x:v>제한경쟁·조건부</x:v>
      </x:c>
      <x:c r="L363" s="17" t="str">
        <x:v>조건 충족자만</x:v>
      </x:c>
      <x:c r="M363" s="17" t="str">
        <x:v>장애 관련 제한경쟁</x:v>
      </x:c>
      <x:c r="N363" s="17" t="str">
        <x:v>기관 공고 원문 확인</x:v>
      </x:c>
      <x:c r="O363" s="17" t="str">
        <x:v>기관 공고 원문 확인</x:v>
      </x:c>
      <x:c r="P363" s="17" t="str">
        <x:v>기관 공고 원문 확인</x:v>
      </x:c>
      <x:c r="Q363" s="17" t="str">
        <x:v>기관 공고 원문 확인</x:v>
      </x:c>
      <x:c r="R363" s="17" t="str">
        <x:v>장기 미마감(원문 확인)</x:v>
      </x:c>
      <x:c r="S363" s="18" t="str">
        <x:v>https://job.cleaneye.go.kr/user/ypRecruitment.do</x:v>
      </x:c>
      <x:c r="T363" s="1"/>
      <x:c r="U363" s="1"/>
      <x:c r="V363" s="1"/>
      <x:c r="W363" s="1"/>
      <x:c r="X363" s="1"/>
      <x:c r="Y363" s="1"/>
      <x:c r="Z363" s="1"/>
    </x:row>
    <x:row r="364" ht="50" customHeight="1">
      <x:c r="A364" s="17" t="n">
        <x:v>360</x:v>
      </x:c>
      <x:c r="B364" s="17" t="str">
        <x:v>경북행복재단</x:v>
      </x:c>
      <x:c r="C364" s="17" t="str">
        <x:v>경상북도</x:v>
      </x:c>
      <x:c r="D364" s="17" t="str">
        <x:v>경상북도 사회복지대체인력지원센터 직원 공개모집 재공고</x:v>
      </x:c>
      <x:c r="E364" s="17" t="str">
        <x:v>신입+경력</x:v>
      </x:c>
      <x:c r="F364" s="17" t="str">
        <x:v>일반계약직</x:v>
      </x:c>
      <x:c r="G364" s="17" t="str">
        <x:v>명시 없음(원문 확인)</x:v>
      </x:c>
      <x:c r="H364" s="17" t="str">
        <x:v>2021-02-01</x:v>
      </x:c>
      <x:c r="I364" s="17" t="str">
        <x:v>2054-07-10</x:v>
      </x:c>
      <x:c r="J364" s="17" t="str">
        <x:v>모집중</x:v>
      </x:c>
      <x:c r="K364" s="17" t="str">
        <x:v>기간제·비정규</x:v>
      </x:c>
      <x:c r="L364" s="17" t="str">
        <x:v>검토</x:v>
      </x:c>
      <x:c r="M364" s="17" t="str">
        <x:v>제한 문구 미탐지</x:v>
      </x:c>
      <x:c r="N364" s="17" t="str">
        <x:v>기관 공고 원문 확인</x:v>
      </x:c>
      <x:c r="O364" s="17" t="str">
        <x:v>기관 공고 원문 확인</x:v>
      </x:c>
      <x:c r="P364" s="17" t="str">
        <x:v>기관 공고 원문 확인</x:v>
      </x:c>
      <x:c r="Q364" s="17" t="str">
        <x:v>기관 공고 원문 확인</x:v>
      </x:c>
      <x:c r="R364" s="17" t="str">
        <x:v>장기 미마감(원문 확인)</x:v>
      </x:c>
      <x:c r="S364" s="18" t="str">
        <x:v>https://job.cleaneye.go.kr/user/ypRecruitment.do</x:v>
      </x:c>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1:S1"/>
    <x:mergeCell ref="A2:S2"/>
  </x:mergeCells>
  <x:conditionalFormatting sqref="R5:R364">
    <x:cfRule type="containsText" dxfId="11" priority="1" operator="containsText" text="정상"/>
    <x:cfRule type="containsText" dxfId="12" priority="2" operator="containsText" text="확인"/>
    <x:cfRule type="containsText" dxfId="13" priority="3" operator="containsText" text="불일치"/>
    <x:cfRule type="containsText" dxfId="14" priority="4" operator="containsText" text="중복"/>
  </x:conditionalFormatting>
  <x:pageMargins left="0.7" right="0.7" top="0.75" bottom="0.75" header="0.3" footer="0.3"/>
  <x:tableParts count="1">
    <x:tablePart xmlns:r="http://schemas.openxmlformats.org/officeDocument/2006/relationships" r:id="Rfeac34ed6d464b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8" hidden="0" customWidth="1"/>
    <x:col min="4" max="4" width="14" hidden="0" customWidth="1"/>
    <x:col min="5" max="5" width="22" hidden="0" customWidth="1"/>
    <x:col min="6" max="6" width="34" hidden="0" customWidth="1"/>
  </x:cols>
  <x:sheetData>
    <x:row r="1">
      <x:c r="A1" s="3" t="str">
        <x:v>지역별 공고 노출 현황</x:v>
      </x:c>
      <x:c r="B1" s="3"/>
      <x:c r="C1" s="3"/>
      <x:c r="D1" s="3"/>
      <x:c r="E1" s="3"/>
      <x:c r="F1" s="3"/>
      <x:c r="G1" s="1"/>
      <x:c r="H1" s="1"/>
      <x:c r="I1" s="1"/>
      <x:c r="J1" s="1"/>
      <x:c r="K1" s="1"/>
      <x:c r="L1" s="1"/>
      <x:c r="M1" s="1"/>
      <x:c r="N1" s="1"/>
      <x:c r="O1" s="1"/>
      <x:c r="P1" s="1"/>
      <x:c r="Q1" s="1"/>
      <x:c r="R1" s="1"/>
      <x:c r="S1" s="1"/>
      <x:c r="T1" s="1"/>
      <x:c r="U1" s="1"/>
      <x:c r="V1" s="1"/>
      <x:c r="W1" s="1"/>
      <x:c r="X1" s="1"/>
      <x:c r="Y1" s="1"/>
      <x:c r="Z1" s="1"/>
    </x:row>
    <x:row r="2">
      <x:c r="A2" s="7" t="str">
        <x:v>복수지역 공고는 각 포함 지역에 중복 집계될 수 있습니다. ‘근무지역’은 ‘지역 지원제한’이 아닙니다.</x:v>
      </x:c>
      <x:c r="B2" s="7"/>
      <x:c r="C2" s="7"/>
      <x:c r="D2" s="7"/>
      <x:c r="E2" s="7"/>
      <x:c r="F2" s="7"/>
      <x:c r="G2" s="1"/>
      <x:c r="H2" s="1"/>
      <x:c r="I2" s="1"/>
      <x:c r="J2" s="1"/>
      <x:c r="K2" s="1"/>
      <x:c r="L2" s="1"/>
      <x:c r="M2" s="1"/>
      <x:c r="N2" s="1"/>
      <x:c r="O2" s="1"/>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x:c r="A4" s="65" t="str">
        <x:v>지역</x:v>
      </x:c>
      <x:c r="B4" s="65" t="str">
        <x:v>JOB-ALIO 근무지</x:v>
      </x:c>
      <x:c r="C4" s="65" t="str">
        <x:v>Cleaneye 소재지</x:v>
      </x:c>
      <x:c r="D4" s="65" t="str">
        <x:v>합계</x:v>
      </x:c>
      <x:c r="E4" s="65" t="str">
        <x:v>Cleaneye 지역제한</x:v>
      </x:c>
      <x:c r="F4" s="65" t="str">
        <x:v>해석</x:v>
      </x:c>
      <x:c r="G4" s="1"/>
      <x:c r="H4" s="1"/>
      <x:c r="I4" s="1"/>
      <x:c r="J4" s="1"/>
      <x:c r="K4" s="1"/>
      <x:c r="L4" s="1"/>
      <x:c r="M4" s="1"/>
      <x:c r="N4" s="1"/>
      <x:c r="O4" s="1"/>
      <x:c r="P4" s="1"/>
      <x:c r="Q4" s="1"/>
      <x:c r="R4" s="1"/>
      <x:c r="S4" s="1"/>
      <x:c r="T4" s="1"/>
      <x:c r="U4" s="1"/>
      <x:c r="V4" s="1"/>
      <x:c r="W4" s="1"/>
      <x:c r="X4" s="1"/>
      <x:c r="Y4" s="1"/>
      <x:c r="Z4" s="1"/>
    </x:row>
    <x:row r="5">
      <x:c r="A5" s="62" t="str">
        <x:v>서울</x:v>
      </x:c>
      <x:c r="B5" s="62" t="n">
        <x:f>COUNTIF('JOBALIO_419'!$D$5:$D$423,"서울")+COUNTIF('JOBALIO_419'!$D$5:$D$423,"서울 외 2")+COUNTIF('JOBALIO_419'!$D$5:$D$423,"서울 외 12")+COUNTIF('JOBALIO_419'!$D$5:$D$423,"서울 외 13")+COUNTIF('JOBALIO_419'!$D$5:$D$423,"서울 외 15")+COUNTIF('JOBALIO_419'!$D$5:$D$423,"서울 외 1")+COUNTIF('JOBALIO_419'!$D$5:$D$423,"서울 외 8")+COUNTIF('JOBALIO_419'!$D$5:$D$423,"서울 외 14")+COUNTIF('JOBALIO_419'!$D$5:$D$423,"서울 외 16")+COUNTIF('JOBALIO_419'!$D$5:$D$423,"서울 외 5")+COUNTIF('JOBALIO_419'!$D$5:$D$423,"서울 외 4")+COUNTIF('JOBALIO_419'!$D$5:$D$423,"서울 외 7")</x:f>
        <x:v>113</x:v>
      </x:c>
      <x:c r="C5" s="62" t="n">
        <x:f>COUNTIF('CLEANEYE_360'!$C$5:$C$364,"서울특별시")</x:f>
        <x:v>50</x:v>
      </x:c>
      <x:c r="D5" s="62" t="n">
        <x:f>B5+C5</x:f>
        <x:v>163</x:v>
      </x:c>
      <x:c r="E5" s="62" t="n">
        <x:f>COUNTIF('CLEANEYE_360'!$G$5:$G$364,"서울시, 경기도, 인천시")+COUNTIF('CLEANEYE_360'!$G$5:$G$364,"서울특별시 동작구")</x:f>
        <x:v>2</x:v>
      </x:c>
      <x:c r="F5" s="62" t="str">
        <x:v>복수지역 중복 가능·원문 확인</x:v>
      </x:c>
      <x:c r="G5" s="1"/>
      <x:c r="H5" s="1"/>
      <x:c r="I5" s="1"/>
      <x:c r="J5" s="1"/>
      <x:c r="K5" s="1"/>
      <x:c r="L5" s="1"/>
      <x:c r="M5" s="1"/>
      <x:c r="N5" s="1"/>
      <x:c r="O5" s="1"/>
      <x:c r="P5" s="1"/>
      <x:c r="Q5" s="1"/>
      <x:c r="R5" s="1"/>
      <x:c r="S5" s="1"/>
      <x:c r="T5" s="1"/>
      <x:c r="U5" s="1"/>
      <x:c r="V5" s="1"/>
      <x:c r="W5" s="1"/>
      <x:c r="X5" s="1"/>
      <x:c r="Y5" s="1"/>
      <x:c r="Z5" s="1"/>
    </x:row>
    <x:row r="6">
      <x:c r="A6" s="62" t="str">
        <x:v>부산</x:v>
      </x:c>
      <x:c r="B6" s="62" t="n">
        <x:f>COUNTIF('JOBALIO_419'!$D$5:$D$423,"부산")+COUNTIF('JOBALIO_419'!$D$5:$D$423,"부산 외 5")+COUNTIF('JOBALIO_419'!$D$5:$D$423,"부산 외 2")+COUNTIF('JOBALIO_419'!$D$5:$D$423,"부산 외 1")</x:f>
        <x:v>25</x:v>
      </x:c>
      <x:c r="C6" s="62" t="n">
        <x:f>COUNTIF('CLEANEYE_360'!$C$5:$C$364,"부산광역시")</x:f>
        <x:v>18</x:v>
      </x:c>
      <x:c r="D6" s="62" t="n">
        <x:f>B6+C6</x:f>
        <x:v>43</x:v>
      </x:c>
      <x:c r="E6" s="62" t="n">
        <x:f>COUNTIF('CLEANEYE_360'!$G$5:$G$364,"부산광역시")</x:f>
        <x:v>3</x:v>
      </x:c>
      <x:c r="F6" s="62" t="str">
        <x:v>복수지역 중복 가능·원문 확인</x:v>
      </x:c>
      <x:c r="G6" s="1"/>
      <x:c r="H6" s="1"/>
      <x:c r="I6" s="1"/>
      <x:c r="J6" s="1"/>
      <x:c r="K6" s="1"/>
      <x:c r="L6" s="1"/>
      <x:c r="M6" s="1"/>
      <x:c r="N6" s="1"/>
      <x:c r="O6" s="1"/>
      <x:c r="P6" s="1"/>
      <x:c r="Q6" s="1"/>
      <x:c r="R6" s="1"/>
      <x:c r="S6" s="1"/>
      <x:c r="T6" s="1"/>
      <x:c r="U6" s="1"/>
      <x:c r="V6" s="1"/>
      <x:c r="W6" s="1"/>
      <x:c r="X6" s="1"/>
      <x:c r="Y6" s="1"/>
      <x:c r="Z6" s="1"/>
    </x:row>
    <x:row r="7">
      <x:c r="A7" s="62" t="str">
        <x:v>대구</x:v>
      </x:c>
      <x:c r="B7" s="62" t="n">
        <x:f>COUNTIF('JOBALIO_419'!$D$5:$D$423,"대구")+COUNTIF('JOBALIO_419'!$D$5:$D$423,"대구 외 1")+COUNTIF('JOBALIO_419'!$D$5:$D$423,"대구 외 2")</x:f>
        <x:v>17</x:v>
      </x:c>
      <x:c r="C7" s="62" t="n">
        <x:f>COUNTIF('CLEANEYE_360'!$C$5:$C$364,"대구광역시")</x:f>
        <x:v>9</x:v>
      </x:c>
      <x:c r="D7" s="62" t="n">
        <x:f>B7+C7</x:f>
        <x:v>26</x:v>
      </x:c>
      <x:c r="E7" s="62" t="n">
        <x:f>COUNTIF('CLEANEYE_360'!$G$5:$G$364,"대구광역시")+COUNTIF('CLEANEYE_360'!$G$5:$G$364,"대구광역시 및 경상북도")</x:f>
        <x:v>4</x:v>
      </x:c>
      <x:c r="F7" s="62" t="str">
        <x:v>복수지역 중복 가능·원문 확인</x:v>
      </x:c>
      <x:c r="G7" s="1"/>
      <x:c r="H7" s="1"/>
      <x:c r="I7" s="1"/>
      <x:c r="J7" s="1"/>
      <x:c r="K7" s="1"/>
      <x:c r="L7" s="1"/>
      <x:c r="M7" s="1"/>
      <x:c r="N7" s="1"/>
      <x:c r="O7" s="1"/>
      <x:c r="P7" s="1"/>
      <x:c r="Q7" s="1"/>
      <x:c r="R7" s="1"/>
      <x:c r="S7" s="1"/>
      <x:c r="T7" s="1"/>
      <x:c r="U7" s="1"/>
      <x:c r="V7" s="1"/>
      <x:c r="W7" s="1"/>
      <x:c r="X7" s="1"/>
      <x:c r="Y7" s="1"/>
      <x:c r="Z7" s="1"/>
    </x:row>
    <x:row r="8">
      <x:c r="A8" s="62" t="str">
        <x:v>인천</x:v>
      </x:c>
      <x:c r="B8" s="62" t="n">
        <x:f>COUNTIF('JOBALIO_419'!$D$5:$D$423,"인천 외 11")+COUNTIF('JOBALIO_419'!$D$5:$D$423,"인천")+COUNTIF('JOBALIO_419'!$D$5:$D$423,"인천 외 1")</x:f>
        <x:v>18</x:v>
      </x:c>
      <x:c r="C8" s="62" t="n">
        <x:f>COUNTIF('CLEANEYE_360'!$C$5:$C$364,"인천광역시")</x:f>
        <x:v>16</x:v>
      </x:c>
      <x:c r="D8" s="62" t="n">
        <x:f>B8+C8</x:f>
        <x:v>34</x:v>
      </x:c>
      <x:c r="E8" s="62" t="n">
        <x:f>COUNTIF('CLEANEYE_360'!$G$5:$G$364,"인천광역시")+COUNTIF('CLEANEYE_360'!$G$5:$G$364,"인천광역시 계양구")+COUNTIF('CLEANEYE_360'!$G$5:$G$364,"서울시, 경기도, 인천시")</x:f>
        <x:v>6</x:v>
      </x:c>
      <x:c r="F8" s="62" t="str">
        <x:v>복수지역 중복 가능·원문 확인</x:v>
      </x:c>
      <x:c r="G8" s="1"/>
      <x:c r="H8" s="1"/>
      <x:c r="I8" s="1"/>
      <x:c r="J8" s="1"/>
      <x:c r="K8" s="1"/>
      <x:c r="L8" s="1"/>
      <x:c r="M8" s="1"/>
      <x:c r="N8" s="1"/>
      <x:c r="O8" s="1"/>
      <x:c r="P8" s="1"/>
      <x:c r="Q8" s="1"/>
      <x:c r="R8" s="1"/>
      <x:c r="S8" s="1"/>
      <x:c r="T8" s="1"/>
      <x:c r="U8" s="1"/>
      <x:c r="V8" s="1"/>
      <x:c r="W8" s="1"/>
      <x:c r="X8" s="1"/>
      <x:c r="Y8" s="1"/>
      <x:c r="Z8" s="1"/>
    </x:row>
    <x:row r="9">
      <x:c r="A9" s="62" t="str">
        <x:v>광주</x:v>
      </x:c>
      <x:c r="B9" s="62" t="n">
        <x:f>COUNTIF('JOBALIO_419'!$D$5:$D$423,"전남광주")</x:f>
        <x:v>29</x:v>
      </x:c>
      <x:c r="C9" s="62" t="n">
        <x:f>COUNTIF('CLEANEYE_360'!$C$5:$C$364,"전남광주통합특별시")</x:f>
        <x:v>20</x:v>
      </x:c>
      <x:c r="D9" s="62" t="n">
        <x:f>B9+C9</x:f>
        <x:v>49</x:v>
      </x:c>
      <x:c r="E9" s="62" t="n">
        <x:f>COUNTIF('CLEANEYE_360'!$G$5:$G$364,"전남광주통합특별시")</x:f>
        <x:v>1</x:v>
      </x:c>
      <x:c r="F9" s="62" t="str">
        <x:v>복수지역 중복 가능·원문 확인</x:v>
      </x:c>
      <x:c r="G9" s="1"/>
      <x:c r="H9" s="1"/>
      <x:c r="I9" s="1"/>
      <x:c r="J9" s="1"/>
      <x:c r="K9" s="1"/>
      <x:c r="L9" s="1"/>
      <x:c r="M9" s="1"/>
      <x:c r="N9" s="1"/>
      <x:c r="O9" s="1"/>
      <x:c r="P9" s="1"/>
      <x:c r="Q9" s="1"/>
      <x:c r="R9" s="1"/>
      <x:c r="S9" s="1"/>
      <x:c r="T9" s="1"/>
      <x:c r="U9" s="1"/>
      <x:c r="V9" s="1"/>
      <x:c r="W9" s="1"/>
      <x:c r="X9" s="1"/>
      <x:c r="Y9" s="1"/>
      <x:c r="Z9" s="1"/>
    </x:row>
    <x:row r="10">
      <x:c r="A10" s="62" t="str">
        <x:v>대전</x:v>
      </x:c>
      <x:c r="B10" s="62" t="n">
        <x:f>COUNTIF('JOBALIO_419'!$D$5:$D$423,"대전")+COUNTIF('JOBALIO_419'!$D$5:$D$423,"대전 외 2")+COUNTIF('JOBALIO_419'!$D$5:$D$423,"대전 외 5")+COUNTIF('JOBALIO_419'!$D$5:$D$423,"대전 외 10")+COUNTIF('JOBALIO_419'!$D$5:$D$423,"대전 외 4")+COUNTIF('JOBALIO_419'!$D$5:$D$423,"대전 외 1")</x:f>
        <x:v>28</x:v>
      </x:c>
      <x:c r="C10" s="62" t="n">
        <x:f>COUNTIF('CLEANEYE_360'!$C$5:$C$364,"대전광역시")</x:f>
        <x:v>7</x:v>
      </x:c>
      <x:c r="D10" s="62" t="n">
        <x:f>B10+C10</x:f>
        <x:v>35</x:v>
      </x:c>
      <x:c r="E10" s="62" t="n">
        <x:f>COUNTIF('CLEANEYE_360'!$G$5:$G$364,"대전광역시")+COUNTIF('CLEANEYE_360'!$G$5:$G$364,"대전광역시 서구 괴곡동")</x:f>
        <x:v>2</x:v>
      </x:c>
      <x:c r="F10" s="62" t="str">
        <x:v>복수지역 중복 가능·원문 확인</x:v>
      </x:c>
      <x:c r="G10" s="1"/>
      <x:c r="H10" s="1"/>
      <x:c r="I10" s="1"/>
      <x:c r="J10" s="1"/>
      <x:c r="K10" s="1"/>
      <x:c r="L10" s="1"/>
      <x:c r="M10" s="1"/>
      <x:c r="N10" s="1"/>
      <x:c r="O10" s="1"/>
      <x:c r="P10" s="1"/>
      <x:c r="Q10" s="1"/>
      <x:c r="R10" s="1"/>
      <x:c r="S10" s="1"/>
      <x:c r="T10" s="1"/>
      <x:c r="U10" s="1"/>
      <x:c r="V10" s="1"/>
      <x:c r="W10" s="1"/>
      <x:c r="X10" s="1"/>
      <x:c r="Y10" s="1"/>
      <x:c r="Z10" s="1"/>
    </x:row>
    <x:row r="11">
      <x:c r="A11" s="62" t="str">
        <x:v>울산</x:v>
      </x:c>
      <x:c r="B11" s="62" t="n">
        <x:f>COUNTIF('JOBALIO_419'!$D$5:$D$423,"울산")+COUNTIF('JOBALIO_419'!$D$5:$D$423,"울산 외 6")</x:f>
        <x:v>12</x:v>
      </x:c>
      <x:c r="C11" s="62" t="n">
        <x:f>COUNTIF('CLEANEYE_360'!$C$5:$C$364,"울산광역시")</x:f>
        <x:v>6</x:v>
      </x:c>
      <x:c r="D11" s="62" t="n">
        <x:f>B11+C11</x:f>
        <x:v>18</x:v>
      </x:c>
      <x:c r="E11" s="62" t="n">
        <x:f>COUNTIF('CLEANEYE_360'!$G$5:$G$364,"울산광역시")</x:f>
        <x:v>2</x:v>
      </x:c>
      <x:c r="F11" s="62" t="str">
        <x:v>복수지역 중복 가능·원문 확인</x:v>
      </x:c>
      <x:c r="G11" s="1"/>
      <x:c r="H11" s="1"/>
      <x:c r="I11" s="1"/>
      <x:c r="J11" s="1"/>
      <x:c r="K11" s="1"/>
      <x:c r="L11" s="1"/>
      <x:c r="M11" s="1"/>
      <x:c r="N11" s="1"/>
      <x:c r="O11" s="1"/>
      <x:c r="P11" s="1"/>
      <x:c r="Q11" s="1"/>
      <x:c r="R11" s="1"/>
      <x:c r="S11" s="1"/>
      <x:c r="T11" s="1"/>
      <x:c r="U11" s="1"/>
      <x:c r="V11" s="1"/>
      <x:c r="W11" s="1"/>
      <x:c r="X11" s="1"/>
      <x:c r="Y11" s="1"/>
      <x:c r="Z11" s="1"/>
    </x:row>
    <x:row r="12">
      <x:c r="A12" s="62" t="str">
        <x:v>세종</x:v>
      </x:c>
      <x:c r="B12" s="62" t="n">
        <x:f>COUNTIF('JOBALIO_419'!$D$5:$D$423,"세종")</x:f>
        <x:v>17</x:v>
      </x:c>
      <x:c r="C12" s="62" t="n">
        <x:f>COUNTIF('CLEANEYE_360'!$C$5:$C$364,"세종특별자치시")</x:f>
        <x:v>4</x:v>
      </x:c>
      <x:c r="D12" s="62" t="n">
        <x:f>B12+C12</x:f>
        <x:v>21</x:v>
      </x:c>
      <x:c r="E12" s="62" t="n">
        <x:f>0</x:f>
        <x:v>0</x:v>
      </x:c>
      <x:c r="F12" s="62" t="str">
        <x:v>복수지역 중복 가능·원문 확인</x:v>
      </x:c>
      <x:c r="G12" s="1"/>
      <x:c r="H12" s="1"/>
      <x:c r="I12" s="1"/>
      <x:c r="J12" s="1"/>
      <x:c r="K12" s="1"/>
      <x:c r="L12" s="1"/>
      <x:c r="M12" s="1"/>
      <x:c r="N12" s="1"/>
      <x:c r="O12" s="1"/>
      <x:c r="P12" s="1"/>
      <x:c r="Q12" s="1"/>
      <x:c r="R12" s="1"/>
      <x:c r="S12" s="1"/>
      <x:c r="T12" s="1"/>
      <x:c r="U12" s="1"/>
      <x:c r="V12" s="1"/>
      <x:c r="W12" s="1"/>
      <x:c r="X12" s="1"/>
      <x:c r="Y12" s="1"/>
      <x:c r="Z12" s="1"/>
    </x:row>
    <x:row r="13">
      <x:c r="A13" s="62" t="str">
        <x:v>경기</x:v>
      </x:c>
      <x:c r="B13" s="62" t="n">
        <x:f>COUNTIF('JOBALIO_419'!$D$5:$D$423,"경기")+COUNTIF('JOBALIO_419'!$D$5:$D$423,"경기 외 1")</x:f>
        <x:v>45</x:v>
      </x:c>
      <x:c r="C13" s="62" t="n">
        <x:f>COUNTIF('CLEANEYE_360'!$C$5:$C$364,"경기도")</x:f>
        <x:v>69</x:v>
      </x:c>
      <x:c r="D13" s="62" t="n">
        <x:f>B13+C13</x:f>
        <x:v>114</x:v>
      </x:c>
      <x:c r="E13" s="62" t="n">
        <x:f>COUNTIF('CLEANEYE_360'!$G$5:$G$364,"서울시, 경기도, 인천시")</x:f>
        <x:v>1</x:v>
      </x:c>
      <x:c r="F13" s="62" t="str">
        <x:v>복수지역 중복 가능·원문 확인</x:v>
      </x:c>
      <x:c r="G13" s="1"/>
      <x:c r="H13" s="1"/>
      <x:c r="I13" s="1"/>
      <x:c r="J13" s="1"/>
      <x:c r="K13" s="1"/>
      <x:c r="L13" s="1"/>
      <x:c r="M13" s="1"/>
      <x:c r="N13" s="1"/>
      <x:c r="O13" s="1"/>
      <x:c r="P13" s="1"/>
      <x:c r="Q13" s="1"/>
      <x:c r="R13" s="1"/>
      <x:c r="S13" s="1"/>
      <x:c r="T13" s="1"/>
      <x:c r="U13" s="1"/>
      <x:c r="V13" s="1"/>
      <x:c r="W13" s="1"/>
      <x:c r="X13" s="1"/>
      <x:c r="Y13" s="1"/>
      <x:c r="Z13" s="1"/>
    </x:row>
    <x:row r="14">
      <x:c r="A14" s="62" t="str">
        <x:v>강원</x:v>
      </x:c>
      <x:c r="B14" s="62" t="n">
        <x:f>COUNTIF('JOBALIO_419'!$D$5:$D$423,"강원")+COUNTIF('JOBALIO_419'!$D$5:$D$423,"강원 외 3")</x:f>
        <x:v>20</x:v>
      </x:c>
      <x:c r="C14" s="62" t="n">
        <x:f>COUNTIF('CLEANEYE_360'!$C$5:$C$364,"강원특별자치도")</x:f>
        <x:v>42</x:v>
      </x:c>
      <x:c r="D14" s="62" t="n">
        <x:f>B14+C14</x:f>
        <x:v>62</x:v>
      </x:c>
      <x:c r="E14" s="62" t="n">
        <x:f>COUNTIF('CLEANEYE_360'!$G$5:$G$364,"강원특별자치도")</x:f>
        <x:v>1</x:v>
      </x:c>
      <x:c r="F14" s="62" t="str">
        <x:v>복수지역 중복 가능·원문 확인</x:v>
      </x:c>
      <x:c r="G14" s="1"/>
      <x:c r="H14" s="1"/>
      <x:c r="I14" s="1"/>
      <x:c r="J14" s="1"/>
      <x:c r="K14" s="1"/>
      <x:c r="L14" s="1"/>
      <x:c r="M14" s="1"/>
      <x:c r="N14" s="1"/>
      <x:c r="O14" s="1"/>
      <x:c r="P14" s="1"/>
      <x:c r="Q14" s="1"/>
      <x:c r="R14" s="1"/>
      <x:c r="S14" s="1"/>
      <x:c r="T14" s="1"/>
      <x:c r="U14" s="1"/>
      <x:c r="V14" s="1"/>
      <x:c r="W14" s="1"/>
      <x:c r="X14" s="1"/>
      <x:c r="Y14" s="1"/>
      <x:c r="Z14" s="1"/>
    </x:row>
    <x:row r="15">
      <x:c r="A15" s="62" t="str">
        <x:v>충북</x:v>
      </x:c>
      <x:c r="B15" s="62" t="n">
        <x:f>COUNTIF('JOBALIO_419'!$D$5:$D$423,"충북")+COUNTIF('JOBALIO_419'!$D$5:$D$423,"충북 외 2")</x:f>
        <x:v>16</x:v>
      </x:c>
      <x:c r="C15" s="62" t="n">
        <x:f>COUNTIF('CLEANEYE_360'!$C$5:$C$364,"충청북도")</x:f>
        <x:v>5</x:v>
      </x:c>
      <x:c r="D15" s="62" t="n">
        <x:f>B15+C15</x:f>
        <x:v>21</x:v>
      </x:c>
      <x:c r="E15" s="62" t="n">
        <x:f>0</x:f>
        <x:v>0</x:v>
      </x:c>
      <x:c r="F15" s="62" t="str">
        <x:v>복수지역 중복 가능·원문 확인</x:v>
      </x:c>
      <x:c r="G15" s="1"/>
      <x:c r="H15" s="1"/>
      <x:c r="I15" s="1"/>
      <x:c r="J15" s="1"/>
      <x:c r="K15" s="1"/>
      <x:c r="L15" s="1"/>
      <x:c r="M15" s="1"/>
      <x:c r="N15" s="1"/>
      <x:c r="O15" s="1"/>
      <x:c r="P15" s="1"/>
      <x:c r="Q15" s="1"/>
      <x:c r="R15" s="1"/>
      <x:c r="S15" s="1"/>
      <x:c r="T15" s="1"/>
      <x:c r="U15" s="1"/>
      <x:c r="V15" s="1"/>
      <x:c r="W15" s="1"/>
      <x:c r="X15" s="1"/>
      <x:c r="Y15" s="1"/>
      <x:c r="Z15" s="1"/>
    </x:row>
    <x:row r="16">
      <x:c r="A16" s="62" t="str">
        <x:v>충남</x:v>
      </x:c>
      <x:c r="B16" s="62" t="n">
        <x:f>COUNTIF('JOBALIO_419'!$D$5:$D$423,"충남")+COUNTIF('JOBALIO_419'!$D$5:$D$423,"충남 외 3")+COUNTIF('JOBALIO_419'!$D$5:$D$423,"충남 외 2")</x:f>
        <x:v>11</x:v>
      </x:c>
      <x:c r="C16" s="62" t="n">
        <x:f>COUNTIF('CLEANEYE_360'!$C$5:$C$364,"충청남도")</x:f>
        <x:v>10</x:v>
      </x:c>
      <x:c r="D16" s="62" t="n">
        <x:f>B16+C16</x:f>
        <x:v>21</x:v>
      </x:c>
      <x:c r="E16" s="62" t="n">
        <x:f>0</x:f>
        <x:v>0</x:v>
      </x:c>
      <x:c r="F16" s="62" t="str">
        <x:v>복수지역 중복 가능·원문 확인</x:v>
      </x:c>
      <x:c r="G16" s="1"/>
      <x:c r="H16" s="1"/>
      <x:c r="I16" s="1"/>
      <x:c r="J16" s="1"/>
      <x:c r="K16" s="1"/>
      <x:c r="L16" s="1"/>
      <x:c r="M16" s="1"/>
      <x:c r="N16" s="1"/>
      <x:c r="O16" s="1"/>
      <x:c r="P16" s="1"/>
      <x:c r="Q16" s="1"/>
      <x:c r="R16" s="1"/>
      <x:c r="S16" s="1"/>
      <x:c r="T16" s="1"/>
      <x:c r="U16" s="1"/>
      <x:c r="V16" s="1"/>
      <x:c r="W16" s="1"/>
      <x:c r="X16" s="1"/>
      <x:c r="Y16" s="1"/>
      <x:c r="Z16" s="1"/>
    </x:row>
    <x:row r="17">
      <x:c r="A17" s="62" t="str">
        <x:v>전북</x:v>
      </x:c>
      <x:c r="B17" s="62" t="n">
        <x:f>COUNTIF('JOBALIO_419'!$D$5:$D$423,"전북")+COUNTIF('JOBALIO_419'!$D$5:$D$423,"전북 외 1")</x:f>
        <x:v>17</x:v>
      </x:c>
      <x:c r="C17" s="62" t="n">
        <x:f>COUNTIF('CLEANEYE_360'!$C$5:$C$364,"전북특별자치도")</x:f>
        <x:v>14</x:v>
      </x:c>
      <x:c r="D17" s="62" t="n">
        <x:f>B17+C17</x:f>
        <x:v>31</x:v>
      </x:c>
      <x:c r="E17" s="62" t="n">
        <x:f>0</x:f>
        <x:v>0</x:v>
      </x:c>
      <x:c r="F17" s="62" t="str">
        <x:v>복수지역 중복 가능·원문 확인</x:v>
      </x:c>
      <x:c r="G17" s="1"/>
      <x:c r="H17" s="1"/>
      <x:c r="I17" s="1"/>
      <x:c r="J17" s="1"/>
      <x:c r="K17" s="1"/>
      <x:c r="L17" s="1"/>
      <x:c r="M17" s="1"/>
      <x:c r="N17" s="1"/>
      <x:c r="O17" s="1"/>
      <x:c r="P17" s="1"/>
      <x:c r="Q17" s="1"/>
      <x:c r="R17" s="1"/>
      <x:c r="S17" s="1"/>
      <x:c r="T17" s="1"/>
      <x:c r="U17" s="1"/>
      <x:c r="V17" s="1"/>
      <x:c r="W17" s="1"/>
      <x:c r="X17" s="1"/>
      <x:c r="Y17" s="1"/>
      <x:c r="Z17" s="1"/>
    </x:row>
    <x:row r="18">
      <x:c r="A18" s="62" t="str">
        <x:v>전남</x:v>
      </x:c>
      <x:c r="B18" s="62" t="n">
        <x:f>COUNTIF('JOBALIO_419'!$D$5:$D$423,"전남광주")</x:f>
        <x:v>29</x:v>
      </x:c>
      <x:c r="C18" s="62" t="n">
        <x:f>COUNTIF('CLEANEYE_360'!$C$5:$C$364,"전남광주통합특별시")</x:f>
        <x:v>20</x:v>
      </x:c>
      <x:c r="D18" s="62" t="n">
        <x:f>B18+C18</x:f>
        <x:v>49</x:v>
      </x:c>
      <x:c r="E18" s="62" t="n">
        <x:f>COUNTIF('CLEANEYE_360'!$G$5:$G$364,"전남광주통합특별시")</x:f>
        <x:v>1</x:v>
      </x:c>
      <x:c r="F18" s="62" t="str">
        <x:v>복수지역 중복 가능·원문 확인</x:v>
      </x:c>
      <x:c r="G18" s="1"/>
      <x:c r="H18" s="1"/>
      <x:c r="I18" s="1"/>
      <x:c r="J18" s="1"/>
      <x:c r="K18" s="1"/>
      <x:c r="L18" s="1"/>
      <x:c r="M18" s="1"/>
      <x:c r="N18" s="1"/>
      <x:c r="O18" s="1"/>
      <x:c r="P18" s="1"/>
      <x:c r="Q18" s="1"/>
      <x:c r="R18" s="1"/>
      <x:c r="S18" s="1"/>
      <x:c r="T18" s="1"/>
      <x:c r="U18" s="1"/>
      <x:c r="V18" s="1"/>
      <x:c r="W18" s="1"/>
      <x:c r="X18" s="1"/>
      <x:c r="Y18" s="1"/>
      <x:c r="Z18" s="1"/>
    </x:row>
    <x:row r="19">
      <x:c r="A19" s="62" t="str">
        <x:v>경북</x:v>
      </x:c>
      <x:c r="B19" s="62" t="n">
        <x:f>COUNTIF('JOBALIO_419'!$D$5:$D$423,"경북")</x:f>
        <x:v>19</x:v>
      </x:c>
      <x:c r="C19" s="62" t="n">
        <x:f>COUNTIF('CLEANEYE_360'!$C$5:$C$364,"경상북도")</x:f>
        <x:v>41</x:v>
      </x:c>
      <x:c r="D19" s="62" t="n">
        <x:f>B19+C19</x:f>
        <x:v>60</x:v>
      </x:c>
      <x:c r="E19" s="62" t="n">
        <x:f>0</x:f>
        <x:v>0</x:v>
      </x:c>
      <x:c r="F19" s="62" t="str">
        <x:v>복수지역 중복 가능·원문 확인</x:v>
      </x:c>
      <x:c r="G19" s="1"/>
      <x:c r="H19" s="1"/>
      <x:c r="I19" s="1"/>
      <x:c r="J19" s="1"/>
      <x:c r="K19" s="1"/>
      <x:c r="L19" s="1"/>
      <x:c r="M19" s="1"/>
      <x:c r="N19" s="1"/>
      <x:c r="O19" s="1"/>
      <x:c r="P19" s="1"/>
      <x:c r="Q19" s="1"/>
      <x:c r="R19" s="1"/>
      <x:c r="S19" s="1"/>
      <x:c r="T19" s="1"/>
      <x:c r="U19" s="1"/>
      <x:c r="V19" s="1"/>
      <x:c r="W19" s="1"/>
      <x:c r="X19" s="1"/>
      <x:c r="Y19" s="1"/>
      <x:c r="Z19" s="1"/>
    </x:row>
    <x:row r="20">
      <x:c r="A20" s="62" t="str">
        <x:v>경남</x:v>
      </x:c>
      <x:c r="B20" s="62" t="n">
        <x:f>COUNTIF('JOBALIO_419'!$D$5:$D$423,"경남")+COUNTIF('JOBALIO_419'!$D$5:$D$423,"경남 외 1")</x:f>
        <x:v>22</x:v>
      </x:c>
      <x:c r="C20" s="62" t="n">
        <x:f>COUNTIF('CLEANEYE_360'!$C$5:$C$364,"경상남도")</x:f>
        <x:v>30</x:v>
      </x:c>
      <x:c r="D20" s="62" t="n">
        <x:f>B20+C20</x:f>
        <x:v>52</x:v>
      </x:c>
      <x:c r="E20" s="62" t="n">
        <x:f>0</x:f>
        <x:v>0</x:v>
      </x:c>
      <x:c r="F20" s="62" t="str">
        <x:v>복수지역 중복 가능·원문 확인</x:v>
      </x:c>
      <x:c r="G20" s="1"/>
      <x:c r="H20" s="1"/>
      <x:c r="I20" s="1"/>
      <x:c r="J20" s="1"/>
      <x:c r="K20" s="1"/>
      <x:c r="L20" s="1"/>
      <x:c r="M20" s="1"/>
      <x:c r="N20" s="1"/>
      <x:c r="O20" s="1"/>
      <x:c r="P20" s="1"/>
      <x:c r="Q20" s="1"/>
      <x:c r="R20" s="1"/>
      <x:c r="S20" s="1"/>
      <x:c r="T20" s="1"/>
      <x:c r="U20" s="1"/>
      <x:c r="V20" s="1"/>
      <x:c r="W20" s="1"/>
      <x:c r="X20" s="1"/>
      <x:c r="Y20" s="1"/>
      <x:c r="Z20" s="1"/>
    </x:row>
    <x:row r="21">
      <x:c r="A21" s="62" t="str">
        <x:v>제주</x:v>
      </x:c>
      <x:c r="B21" s="62" t="n">
        <x:f>COUNTIF('JOBALIO_419'!$D$5:$D$423,"제주")</x:f>
        <x:v>8</x:v>
      </x:c>
      <x:c r="C21" s="62" t="n">
        <x:f>COUNTIF('CLEANEYE_360'!$C$5:$C$364,"제주특별자치도")</x:f>
        <x:v>15</x:v>
      </x:c>
      <x:c r="D21" s="62" t="n">
        <x:f>B21+C21</x:f>
        <x:v>23</x:v>
      </x:c>
      <x:c r="E21" s="62" t="n">
        <x:f>COUNTIF('CLEANEYE_360'!$G$5:$G$364,"제주특별자치도")</x:f>
        <x:v>2</x:v>
      </x:c>
      <x:c r="F21" s="62" t="str">
        <x:v>복수지역 중복 가능·원문 확인</x:v>
      </x:c>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sheetData>
  <x:mergeCells>
    <x:mergeCell ref="A1:F1"/>
    <x:mergeCell ref="A2:F2"/>
  </x:mergeCells>
  <x:pageMargins left="0.7" right="0.7" top="0.75" bottom="0.75" header="0.3" footer="0.3"/>
  <x:tableParts count="1">
    <x:tablePart xmlns:r="http://schemas.openxmlformats.org/officeDocument/2006/relationships" r:id="Re5de3a8cb4524b5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38" hidden="0" customWidth="1"/>
    <x:col min="3" max="3" width="48" hidden="0" customWidth="1"/>
    <x:col min="4" max="4" width="48" hidden="0" customWidth="1"/>
  </x:cols>
  <x:sheetData>
    <x:row r="1" ht="32" customHeight="1">
      <x:c r="A1" s="4" t="str">
        <x:v>채용 프로세스와 면접 준비 가이드</x:v>
      </x:c>
      <x:c r="B1" s="4"/>
      <x:c r="C1" s="4"/>
      <x:c r="D1" s="4"/>
      <x:c r="E1" s="1"/>
      <x:c r="F1" s="1"/>
      <x:c r="G1" s="1"/>
      <x:c r="H1" s="1"/>
      <x:c r="I1" s="1"/>
      <x:c r="J1" s="1"/>
      <x:c r="K1" s="1"/>
      <x:c r="L1" s="1"/>
      <x:c r="M1" s="1"/>
      <x:c r="N1" s="1"/>
      <x:c r="O1" s="1"/>
      <x:c r="P1" s="1"/>
      <x:c r="Q1" s="1"/>
      <x:c r="R1" s="1"/>
      <x:c r="S1" s="1"/>
      <x:c r="T1" s="1"/>
      <x:c r="U1" s="1"/>
      <x:c r="V1" s="1"/>
      <x:c r="W1" s="1"/>
      <x:c r="X1" s="1"/>
      <x:c r="Y1" s="1"/>
      <x:c r="Z1" s="1"/>
    </x:row>
    <x:row r="2" ht="38" customHeight="1">
      <x:c r="A2" s="8" t="str">
        <x:v>기관별 실제 단계는 다릅니다. 이 표는 준비 프레임이며, 정확한 배수·시험·면접방식은 각 공고와 상세26 시트에서 확인하세요.</x:v>
      </x:c>
      <x:c r="B2" s="8"/>
      <x:c r="C2" s="8"/>
      <x:c r="D2" s="8"/>
      <x:c r="E2" s="1"/>
      <x:c r="F2" s="1"/>
      <x:c r="G2" s="1"/>
      <x:c r="H2" s="1"/>
      <x:c r="I2" s="1"/>
      <x:c r="J2" s="1"/>
      <x:c r="K2" s="1"/>
      <x:c r="L2" s="1"/>
      <x:c r="M2" s="1"/>
      <x:c r="N2" s="1"/>
      <x:c r="O2" s="1"/>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ht="36" customHeight="1">
      <x:c r="A4" s="14" t="str">
        <x:v>단계</x:v>
      </x:c>
      <x:c r="B4" s="14" t="str">
        <x:v>주요 평가</x:v>
      </x:c>
      <x:c r="C4" s="14" t="str">
        <x:v>준비자료</x:v>
      </x:c>
      <x:c r="D4" s="14" t="str">
        <x:v>일반취준생 주의</x:v>
      </x:c>
      <x:c r="E4" s="1"/>
      <x:c r="F4" s="1"/>
      <x:c r="G4" s="1"/>
      <x:c r="H4" s="1"/>
      <x:c r="I4" s="1"/>
      <x:c r="J4" s="1"/>
      <x:c r="K4" s="1"/>
      <x:c r="L4" s="1"/>
      <x:c r="M4" s="1"/>
      <x:c r="N4" s="1"/>
      <x:c r="O4" s="1"/>
      <x:c r="P4" s="1"/>
      <x:c r="Q4" s="1"/>
      <x:c r="R4" s="1"/>
      <x:c r="S4" s="1"/>
      <x:c r="T4" s="1"/>
      <x:c r="U4" s="1"/>
      <x:c r="V4" s="1"/>
      <x:c r="W4" s="1"/>
      <x:c r="X4" s="1"/>
      <x:c r="Y4" s="1"/>
      <x:c r="Z4" s="1"/>
    </x:row>
    <x:row r="5" ht="46" customHeight="1">
      <x:c r="A5" s="17" t="str">
        <x:v>서류 적부</x:v>
      </x:c>
      <x:c r="B5" s="17" t="str">
        <x:v>응시자격·블라인드·작성규칙 충족</x:v>
      </x:c>
      <x:c r="C5" s="17" t="str">
        <x:v>자격증·경력·지역·기준일 증빙</x:v>
      </x:c>
      <x:c r="D5" s="18" t="str">
        <x:v>누락·금지정보·중복지원</x:v>
      </x:c>
      <x:c r="E5" s="1"/>
      <x:c r="F5" s="1"/>
      <x:c r="G5" s="1"/>
      <x:c r="H5" s="1"/>
      <x:c r="I5" s="1"/>
      <x:c r="J5" s="1"/>
      <x:c r="K5" s="1"/>
      <x:c r="L5" s="1"/>
      <x:c r="M5" s="1"/>
      <x:c r="N5" s="1"/>
      <x:c r="O5" s="1"/>
      <x:c r="P5" s="1"/>
      <x:c r="Q5" s="1"/>
      <x:c r="R5" s="1"/>
      <x:c r="S5" s="1"/>
      <x:c r="T5" s="1"/>
      <x:c r="U5" s="1"/>
      <x:c r="V5" s="1"/>
      <x:c r="W5" s="1"/>
      <x:c r="X5" s="1"/>
      <x:c r="Y5" s="1"/>
      <x:c r="Z5" s="1"/>
    </x:row>
    <x:row r="6" ht="46" customHeight="1">
      <x:c r="A6" s="17" t="str">
        <x:v>서류 평가</x:v>
      </x:c>
      <x:c r="B6" s="17" t="str">
        <x:v>교육·경험·경력·자격·자기소개서</x:v>
      </x:c>
      <x:c r="C6" s="17" t="str">
        <x:v>직무기술서 용어와 증빙 가능한 성과</x:v>
      </x:c>
      <x:c r="D6" s="18" t="str">
        <x:v>화려한 표현보다 역할·행동·결과</x:v>
      </x:c>
      <x:c r="E6" s="1"/>
      <x:c r="F6" s="1"/>
      <x:c r="G6" s="1"/>
      <x:c r="H6" s="1"/>
      <x:c r="I6" s="1"/>
      <x:c r="J6" s="1"/>
      <x:c r="K6" s="1"/>
      <x:c r="L6" s="1"/>
      <x:c r="M6" s="1"/>
      <x:c r="N6" s="1"/>
      <x:c r="O6" s="1"/>
      <x:c r="P6" s="1"/>
      <x:c r="Q6" s="1"/>
      <x:c r="R6" s="1"/>
      <x:c r="S6" s="1"/>
      <x:c r="T6" s="1"/>
      <x:c r="U6" s="1"/>
      <x:c r="V6" s="1"/>
      <x:c r="W6" s="1"/>
      <x:c r="X6" s="1"/>
      <x:c r="Y6" s="1"/>
      <x:c r="Z6" s="1"/>
    </x:row>
    <x:row r="7" ht="46" customHeight="1">
      <x:c r="A7" s="17" t="str">
        <x:v>NCS 필기</x:v>
      </x:c>
      <x:c r="B7" s="17" t="str">
        <x:v>직업기초능력과 시간관리</x:v>
      </x:c>
      <x:c r="C7" s="17" t="str">
        <x:v>영역·문항·시간·오답 감점 확인</x:v>
      </x:c>
      <x:c r="D7" s="18" t="str">
        <x:v>기관별 영역이 다름</x:v>
      </x:c>
      <x:c r="E7" s="1"/>
      <x:c r="F7" s="1"/>
      <x:c r="G7" s="1"/>
      <x:c r="H7" s="1"/>
      <x:c r="I7" s="1"/>
      <x:c r="J7" s="1"/>
      <x:c r="K7" s="1"/>
      <x:c r="L7" s="1"/>
      <x:c r="M7" s="1"/>
      <x:c r="N7" s="1"/>
      <x:c r="O7" s="1"/>
      <x:c r="P7" s="1"/>
      <x:c r="Q7" s="1"/>
      <x:c r="R7" s="1"/>
      <x:c r="S7" s="1"/>
      <x:c r="T7" s="1"/>
      <x:c r="U7" s="1"/>
      <x:c r="V7" s="1"/>
      <x:c r="W7" s="1"/>
      <x:c r="X7" s="1"/>
      <x:c r="Y7" s="1"/>
      <x:c r="Z7" s="1"/>
    </x:row>
    <x:row r="8" ht="46" customHeight="1">
      <x:c r="A8" s="17" t="str">
        <x:v>전공/직무 필기</x:v>
      </x:c>
      <x:c r="B8" s="17" t="str">
        <x:v>직렬 지식·법령·계산·논술</x:v>
      </x:c>
      <x:c r="C8" s="17" t="str">
        <x:v>공고 범위와 최신 법령 기준</x:v>
      </x:c>
      <x:c r="D8" s="18" t="str">
        <x:v>NCS만 준비하는 오류</x:v>
      </x:c>
      <x:c r="E8" s="1"/>
      <x:c r="F8" s="1"/>
      <x:c r="G8" s="1"/>
      <x:c r="H8" s="1"/>
      <x:c r="I8" s="1"/>
      <x:c r="J8" s="1"/>
      <x:c r="K8" s="1"/>
      <x:c r="L8" s="1"/>
      <x:c r="M8" s="1"/>
      <x:c r="N8" s="1"/>
      <x:c r="O8" s="1"/>
      <x:c r="P8" s="1"/>
      <x:c r="Q8" s="1"/>
      <x:c r="R8" s="1"/>
      <x:c r="S8" s="1"/>
      <x:c r="T8" s="1"/>
      <x:c r="U8" s="1"/>
      <x:c r="V8" s="1"/>
      <x:c r="W8" s="1"/>
      <x:c r="X8" s="1"/>
      <x:c r="Y8" s="1"/>
      <x:c r="Z8" s="1"/>
    </x:row>
    <x:row r="9" ht="46" customHeight="1">
      <x:c r="A9" s="17" t="str">
        <x:v>인성검사</x:v>
      </x:c>
      <x:c r="B9" s="17" t="str">
        <x:v>응답 일관성·조직생활 기본</x:v>
      </x:c>
      <x:c r="C9" s="17" t="str">
        <x:v>과장 없이 일관되게 응답</x:v>
      </x:c>
      <x:c r="D9" s="18" t="str">
        <x:v>합격보장 요령 없음</x:v>
      </x:c>
      <x:c r="E9" s="1"/>
      <x:c r="F9" s="1"/>
      <x:c r="G9" s="1"/>
      <x:c r="H9" s="1"/>
      <x:c r="I9" s="1"/>
      <x:c r="J9" s="1"/>
      <x:c r="K9" s="1"/>
      <x:c r="L9" s="1"/>
      <x:c r="M9" s="1"/>
      <x:c r="N9" s="1"/>
      <x:c r="O9" s="1"/>
      <x:c r="P9" s="1"/>
      <x:c r="Q9" s="1"/>
      <x:c r="R9" s="1"/>
      <x:c r="S9" s="1"/>
      <x:c r="T9" s="1"/>
      <x:c r="U9" s="1"/>
      <x:c r="V9" s="1"/>
      <x:c r="W9" s="1"/>
      <x:c r="X9" s="1"/>
      <x:c r="Y9" s="1"/>
      <x:c r="Z9" s="1"/>
    </x:row>
    <x:row r="10" ht="46" customHeight="1">
      <x:c r="A10" s="17" t="str">
        <x:v>경험·역량면접</x:v>
      </x:c>
      <x:c r="B10" s="17" t="str">
        <x:v>과거 행동과 재현 가능 역량</x:v>
      </x:c>
      <x:c r="C10" s="17" t="str">
        <x:v>상황-과제-행동-결과-학습</x:v>
      </x:c>
      <x:c r="D10" s="18" t="str">
        <x:v>본인 역할과 증빙</x:v>
      </x:c>
      <x:c r="E10" s="1"/>
      <x:c r="F10" s="1"/>
      <x:c r="G10" s="1"/>
      <x:c r="H10" s="1"/>
      <x:c r="I10" s="1"/>
      <x:c r="J10" s="1"/>
      <x:c r="K10" s="1"/>
      <x:c r="L10" s="1"/>
      <x:c r="M10" s="1"/>
      <x:c r="N10" s="1"/>
      <x:c r="O10" s="1"/>
      <x:c r="P10" s="1"/>
      <x:c r="Q10" s="1"/>
      <x:c r="R10" s="1"/>
      <x:c r="S10" s="1"/>
      <x:c r="T10" s="1"/>
      <x:c r="U10" s="1"/>
      <x:c r="V10" s="1"/>
      <x:c r="W10" s="1"/>
      <x:c r="X10" s="1"/>
      <x:c r="Y10" s="1"/>
      <x:c r="Z10" s="1"/>
    </x:row>
    <x:row r="11" ht="46" customHeight="1">
      <x:c r="A11" s="17" t="str">
        <x:v>PT·상황면접</x:v>
      </x:c>
      <x:c r="B11" s="17" t="str">
        <x:v>분석·판단·실행·위험관리</x:v>
      </x:c>
      <x:c r="C11" s="17" t="str">
        <x:v>결론-근거-실행-위험-대안</x:v>
      </x:c>
      <x:c r="D11" s="18" t="str">
        <x:v>공공성·규정·이해관계자</x:v>
      </x:c>
      <x:c r="E11" s="1"/>
      <x:c r="F11" s="1"/>
      <x:c r="G11" s="1"/>
      <x:c r="H11" s="1"/>
      <x:c r="I11" s="1"/>
      <x:c r="J11" s="1"/>
      <x:c r="K11" s="1"/>
      <x:c r="L11" s="1"/>
      <x:c r="M11" s="1"/>
      <x:c r="N11" s="1"/>
      <x:c r="O11" s="1"/>
      <x:c r="P11" s="1"/>
      <x:c r="Q11" s="1"/>
      <x:c r="R11" s="1"/>
      <x:c r="S11" s="1"/>
      <x:c r="T11" s="1"/>
      <x:c r="U11" s="1"/>
      <x:c r="V11" s="1"/>
      <x:c r="W11" s="1"/>
      <x:c r="X11" s="1"/>
      <x:c r="Y11" s="1"/>
      <x:c r="Z11" s="1"/>
    </x:row>
    <x:row r="12" ht="46" customHeight="1">
      <x:c r="A12" s="17" t="str">
        <x:v>토론·토의</x:v>
      </x:c>
      <x:c r="B12" s="17" t="str">
        <x:v>경청·조정·공동결론</x:v>
      </x:c>
      <x:c r="C12" s="17" t="str">
        <x:v>쟁점정리·시간관리·타인 의견 연결</x:v>
      </x:c>
      <x:c r="D12" s="18" t="str">
        <x:v>발언량보다 기여</x:v>
      </x:c>
      <x:c r="E12" s="1"/>
      <x:c r="F12" s="1"/>
      <x:c r="G12" s="1"/>
      <x:c r="H12" s="1"/>
      <x:c r="I12" s="1"/>
      <x:c r="J12" s="1"/>
      <x:c r="K12" s="1"/>
      <x:c r="L12" s="1"/>
      <x:c r="M12" s="1"/>
      <x:c r="N12" s="1"/>
      <x:c r="O12" s="1"/>
      <x:c r="P12" s="1"/>
      <x:c r="Q12" s="1"/>
      <x:c r="R12" s="1"/>
      <x:c r="S12" s="1"/>
      <x:c r="T12" s="1"/>
      <x:c r="U12" s="1"/>
      <x:c r="V12" s="1"/>
      <x:c r="W12" s="1"/>
      <x:c r="X12" s="1"/>
      <x:c r="Y12" s="1"/>
      <x:c r="Z12" s="1"/>
    </x:row>
    <x:row r="13" ht="46" customHeight="1">
      <x:c r="A13" s="17" t="str">
        <x:v>최종검증</x:v>
      </x:c>
      <x:c r="B13" s="17" t="str">
        <x:v>증빙·결격·채용검진·임용등록</x:v>
      </x:c>
      <x:c r="C13" s="17" t="str">
        <x:v>지원서와 원본 일치</x:v>
      </x:c>
      <x:c r="D13" s="18" t="str">
        <x:v>기한·서류 진위</x:v>
      </x:c>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1:D1"/>
    <x:mergeCell ref="A2:D2"/>
  </x:mergeCells>
  <x:pageMargins left="0.7" right="0.7" top="0.75" bottom="0.75" header="0.3" footer="0.3"/>
  <x:tableParts count="1">
    <x:tablePart xmlns:r="http://schemas.openxmlformats.org/officeDocument/2006/relationships" r:id="R8e2fc39f3ed9481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1" hidden="0" customWidth="1"/>
    <x:col min="2" max="2" width="28" hidden="0" customWidth="1"/>
    <x:col min="3" max="3" width="32" hidden="0" customWidth="1"/>
    <x:col min="4" max="4" width="42" hidden="0" customWidth="1"/>
    <x:col min="5" max="5" width="50" hidden="0" customWidth="1"/>
  </x:cols>
  <x:sheetData>
    <x:row r="1" ht="32" customHeight="1">
      <x:c r="A1" s="4" t="str">
        <x:v>추가 자격증 판단표</x:v>
      </x:c>
      <x:c r="B1" s="4"/>
      <x:c r="C1" s="4"/>
      <x:c r="D1" s="4"/>
      <x:c r="E1" s="4"/>
      <x:c r="F1" s="1"/>
      <x:c r="G1" s="1"/>
      <x:c r="H1" s="1"/>
      <x:c r="I1" s="1"/>
      <x:c r="J1" s="1"/>
      <x:c r="K1" s="1"/>
      <x:c r="L1" s="1"/>
      <x:c r="M1" s="1"/>
      <x:c r="N1" s="1"/>
      <x:c r="O1" s="1"/>
      <x:c r="P1" s="1"/>
      <x:c r="Q1" s="1"/>
      <x:c r="R1" s="1"/>
      <x:c r="S1" s="1"/>
      <x:c r="T1" s="1"/>
      <x:c r="U1" s="1"/>
      <x:c r="V1" s="1"/>
      <x:c r="W1" s="1"/>
      <x:c r="X1" s="1"/>
      <x:c r="Y1" s="1"/>
      <x:c r="Z1" s="1"/>
    </x:row>
    <x:row r="2" ht="38" customHeight="1">
      <x:c r="A2" s="8" t="str">
        <x:v>자격증은 ‘많이’보다 ‘목표 직렬 공고에서 실제 인정되는가’로 판단합니다. 인정 종목·등급·유효기간·적용 전형을 원문에서 확인하세요.</x:v>
      </x:c>
      <x:c r="B2" s="8"/>
      <x:c r="C2" s="8"/>
      <x:c r="D2" s="8"/>
      <x:c r="E2" s="8"/>
      <x:c r="F2" s="1"/>
      <x:c r="G2" s="1"/>
      <x:c r="H2" s="1"/>
      <x:c r="I2" s="1"/>
      <x:c r="J2" s="1"/>
      <x:c r="K2" s="1"/>
      <x:c r="L2" s="1"/>
      <x:c r="M2" s="1"/>
      <x:c r="N2" s="1"/>
      <x:c r="O2" s="1"/>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ht="36" customHeight="1">
      <x:c r="A4" s="14" t="str">
        <x:v>우선순위</x:v>
      </x:c>
      <x:c r="B4" s="14" t="str">
        <x:v>자격·경험군</x:v>
      </x:c>
      <x:c r="C4" s="14" t="str">
        <x:v>주요 활용직무</x:v>
      </x:c>
      <x:c r="D4" s="14" t="str">
        <x:v>공고상 가능한 효과</x:v>
      </x:c>
      <x:c r="E4" s="14" t="str">
        <x:v>확인할 것</x:v>
      </x:c>
      <x:c r="F4" s="1"/>
      <x:c r="G4" s="1"/>
      <x:c r="H4" s="1"/>
      <x:c r="I4" s="1"/>
      <x:c r="J4" s="1"/>
      <x:c r="K4" s="1"/>
      <x:c r="L4" s="1"/>
      <x:c r="M4" s="1"/>
      <x:c r="N4" s="1"/>
      <x:c r="O4" s="1"/>
      <x:c r="P4" s="1"/>
      <x:c r="Q4" s="1"/>
      <x:c r="R4" s="1"/>
      <x:c r="S4" s="1"/>
      <x:c r="T4" s="1"/>
      <x:c r="U4" s="1"/>
      <x:c r="V4" s="1"/>
      <x:c r="W4" s="1"/>
      <x:c r="X4" s="1"/>
      <x:c r="Y4" s="1"/>
      <x:c r="Z4" s="1"/>
    </x:row>
    <x:row r="5" ht="48" customHeight="1">
      <x:c r="A5" s="17" t="n">
        <x:v>1</x:v>
      </x:c>
      <x:c r="B5" s="17" t="str">
        <x:v>직무 필수면허·법정자격</x:v>
      </x:c>
      <x:c r="C5" s="17" t="str">
        <x:v>전기·토목·안전·의료·회계 등 직렬별</x:v>
      </x:c>
      <x:c r="D5" s="17" t="str">
        <x:v>필수 문구면 미보유 시 지원 불가 가능</x:v>
      </x:c>
      <x:c r="E5" s="18" t="str">
        <x:v>목표 직렬 공고의 인정 종목·등급부터 확인</x:v>
      </x:c>
      <x:c r="F5" s="1"/>
      <x:c r="G5" s="1"/>
      <x:c r="H5" s="1"/>
      <x:c r="I5" s="1"/>
      <x:c r="J5" s="1"/>
      <x:c r="K5" s="1"/>
      <x:c r="L5" s="1"/>
      <x:c r="M5" s="1"/>
      <x:c r="N5" s="1"/>
      <x:c r="O5" s="1"/>
      <x:c r="P5" s="1"/>
      <x:c r="Q5" s="1"/>
      <x:c r="R5" s="1"/>
      <x:c r="S5" s="1"/>
      <x:c r="T5" s="1"/>
      <x:c r="U5" s="1"/>
      <x:c r="V5" s="1"/>
      <x:c r="W5" s="1"/>
      <x:c r="X5" s="1"/>
      <x:c r="Y5" s="1"/>
      <x:c r="Z5" s="1"/>
    </x:row>
    <x:row r="6" ht="48" customHeight="1">
      <x:c r="A6" s="17" t="n">
        <x:v>2</x:v>
      </x:c>
      <x:c r="B6" s="17" t="str">
        <x:v>어학성적</x:v>
      </x:c>
      <x:c r="C6" s="17" t="str">
        <x:v>금융·국제·사무 일부</x:v>
      </x:c>
      <x:c r="D6" s="17" t="str">
        <x:v>필수·적부·서류점수·가점이 공고마다 다름</x:v>
      </x:c>
      <x:c r="E6" s="18" t="str">
        <x:v>시험명·최저점·유효기간·사전등록 확인</x:v>
      </x:c>
      <x:c r="F6" s="1"/>
      <x:c r="G6" s="1"/>
      <x:c r="H6" s="1"/>
      <x:c r="I6" s="1"/>
      <x:c r="J6" s="1"/>
      <x:c r="K6" s="1"/>
      <x:c r="L6" s="1"/>
      <x:c r="M6" s="1"/>
      <x:c r="N6" s="1"/>
      <x:c r="O6" s="1"/>
      <x:c r="P6" s="1"/>
      <x:c r="Q6" s="1"/>
      <x:c r="R6" s="1"/>
      <x:c r="S6" s="1"/>
      <x:c r="T6" s="1"/>
      <x:c r="U6" s="1"/>
      <x:c r="V6" s="1"/>
      <x:c r="W6" s="1"/>
      <x:c r="X6" s="1"/>
      <x:c r="Y6" s="1"/>
      <x:c r="Z6" s="1"/>
    </x:row>
    <x:row r="7" ht="48" customHeight="1">
      <x:c r="A7" s="17" t="n">
        <x:v>3</x:v>
      </x:c>
      <x:c r="B7" s="17" t="str">
        <x:v>기사·산업기사·기능사</x:v>
      </x:c>
      <x:c r="C7" s="17" t="str">
        <x:v>기술직·시설·안전</x:v>
      </x:c>
      <x:c r="D7" s="17" t="str">
        <x:v>지원자격 또는 전형 가점</x:v>
      </x:c>
      <x:c r="E7" s="18" t="str">
        <x:v>유사 명칭 자격을 임의로 대체하지 않기</x:v>
      </x:c>
      <x:c r="F7" s="1"/>
      <x:c r="G7" s="1"/>
      <x:c r="H7" s="1"/>
      <x:c r="I7" s="1"/>
      <x:c r="J7" s="1"/>
      <x:c r="K7" s="1"/>
      <x:c r="L7" s="1"/>
      <x:c r="M7" s="1"/>
      <x:c r="N7" s="1"/>
      <x:c r="O7" s="1"/>
      <x:c r="P7" s="1"/>
      <x:c r="Q7" s="1"/>
      <x:c r="R7" s="1"/>
      <x:c r="S7" s="1"/>
      <x:c r="T7" s="1"/>
      <x:c r="U7" s="1"/>
      <x:c r="V7" s="1"/>
      <x:c r="W7" s="1"/>
      <x:c r="X7" s="1"/>
      <x:c r="Y7" s="1"/>
      <x:c r="Z7" s="1"/>
    </x:row>
    <x:row r="8" ht="48" customHeight="1">
      <x:c r="A8" s="17" t="n">
        <x:v>4</x:v>
      </x:c>
      <x:c r="B8" s="17" t="str">
        <x:v>컴퓨터활용·정보처리·OA</x:v>
      </x:c>
      <x:c r="C8" s="17" t="str">
        <x:v>행정·전산·사무</x:v>
      </x:c>
      <x:c r="D8" s="17" t="str">
        <x:v>서류가점 또는 실무역량 보조</x:v>
      </x:c>
      <x:c r="E8" s="18" t="str">
        <x:v>공고에 점수·인정종목이 없으면 효과를 단정하지 않기</x:v>
      </x:c>
      <x:c r="F8" s="1"/>
      <x:c r="G8" s="1"/>
      <x:c r="H8" s="1"/>
      <x:c r="I8" s="1"/>
      <x:c r="J8" s="1"/>
      <x:c r="K8" s="1"/>
      <x:c r="L8" s="1"/>
      <x:c r="M8" s="1"/>
      <x:c r="N8" s="1"/>
      <x:c r="O8" s="1"/>
      <x:c r="P8" s="1"/>
      <x:c r="Q8" s="1"/>
      <x:c r="R8" s="1"/>
      <x:c r="S8" s="1"/>
      <x:c r="T8" s="1"/>
      <x:c r="U8" s="1"/>
      <x:c r="V8" s="1"/>
      <x:c r="W8" s="1"/>
      <x:c r="X8" s="1"/>
      <x:c r="Y8" s="1"/>
      <x:c r="Z8" s="1"/>
    </x:row>
    <x:row r="9" ht="48" customHeight="1">
      <x:c r="A9" s="17" t="n">
        <x:v>5</x:v>
      </x:c>
      <x:c r="B9" s="17" t="str">
        <x:v>운전면허</x:v>
      </x:c>
      <x:c r="C9" s="17" t="str">
        <x:v>현장·방문·시설·복지</x:v>
      </x:c>
      <x:c r="D9" s="17" t="str">
        <x:v>필수 또는 우대 빈번</x:v>
      </x:c>
      <x:c r="E9" s="18" t="str">
        <x:v>차종·종별·실제 운전 가능 여부 확인</x:v>
      </x:c>
      <x:c r="F9" s="1"/>
      <x:c r="G9" s="1"/>
      <x:c r="H9" s="1"/>
      <x:c r="I9" s="1"/>
      <x:c r="J9" s="1"/>
      <x:c r="K9" s="1"/>
      <x:c r="L9" s="1"/>
      <x:c r="M9" s="1"/>
      <x:c r="N9" s="1"/>
      <x:c r="O9" s="1"/>
      <x:c r="P9" s="1"/>
      <x:c r="Q9" s="1"/>
      <x:c r="R9" s="1"/>
      <x:c r="S9" s="1"/>
      <x:c r="T9" s="1"/>
      <x:c r="U9" s="1"/>
      <x:c r="V9" s="1"/>
      <x:c r="W9" s="1"/>
      <x:c r="X9" s="1"/>
      <x:c r="Y9" s="1"/>
      <x:c r="Z9" s="1"/>
    </x:row>
    <x:row r="10" ht="48" customHeight="1">
      <x:c r="A10" s="17" t="n">
        <x:v>6</x:v>
      </x:c>
      <x:c r="B10" s="17" t="str">
        <x:v>한국사능력검정</x:v>
      </x:c>
      <x:c r="C10" s="17" t="str">
        <x:v>일부 기관·직렬</x:v>
      </x:c>
      <x:c r="D10" s="17" t="str">
        <x:v>필수·가점·동점자 기준일 수 있음</x:v>
      </x:c>
      <x:c r="E10" s="18" t="str">
        <x:v>모든 공공기관의 공통 필수가 아님</x:v>
      </x:c>
      <x:c r="F10" s="1"/>
      <x:c r="G10" s="1"/>
      <x:c r="H10" s="1"/>
      <x:c r="I10" s="1"/>
      <x:c r="J10" s="1"/>
      <x:c r="K10" s="1"/>
      <x:c r="L10" s="1"/>
      <x:c r="M10" s="1"/>
      <x:c r="N10" s="1"/>
      <x:c r="O10" s="1"/>
      <x:c r="P10" s="1"/>
      <x:c r="Q10" s="1"/>
      <x:c r="R10" s="1"/>
      <x:c r="S10" s="1"/>
      <x:c r="T10" s="1"/>
      <x:c r="U10" s="1"/>
      <x:c r="V10" s="1"/>
      <x:c r="W10" s="1"/>
      <x:c r="X10" s="1"/>
      <x:c r="Y10" s="1"/>
      <x:c r="Z10" s="1"/>
    </x:row>
    <x:row r="11" ht="48" customHeight="1">
      <x:c r="A11" s="17" t="n">
        <x:v>7</x:v>
      </x:c>
      <x:c r="B11" s="17" t="str">
        <x:v>사회복지사·상담·재활</x:v>
      </x:c>
      <x:c r="C11" s="17" t="str">
        <x:v>복지·고용·의료·사례관리</x:v>
      </x:c>
      <x:c r="D11" s="17" t="str">
        <x:v>직무 필수·대체자격·우대 중 하나</x:v>
      </x:c>
      <x:c r="E11" s="18" t="str">
        <x:v>급수·전문자격·경력 요건 구분</x:v>
      </x:c>
      <x:c r="F11" s="1"/>
      <x:c r="G11" s="1"/>
      <x:c r="H11" s="1"/>
      <x:c r="I11" s="1"/>
      <x:c r="J11" s="1"/>
      <x:c r="K11" s="1"/>
      <x:c r="L11" s="1"/>
      <x:c r="M11" s="1"/>
      <x:c r="N11" s="1"/>
      <x:c r="O11" s="1"/>
      <x:c r="P11" s="1"/>
      <x:c r="Q11" s="1"/>
      <x:c r="R11" s="1"/>
      <x:c r="S11" s="1"/>
      <x:c r="T11" s="1"/>
      <x:c r="U11" s="1"/>
      <x:c r="V11" s="1"/>
      <x:c r="W11" s="1"/>
      <x:c r="X11" s="1"/>
      <x:c r="Y11" s="1"/>
      <x:c r="Z11" s="1"/>
    </x:row>
    <x:row r="12" ht="48" customHeight="1">
      <x:c r="A12" s="17" t="n">
        <x:v>8</x:v>
      </x:c>
      <x:c r="B12" s="17" t="str">
        <x:v>인턴·기관경력</x:v>
      </x:c>
      <x:c r="C12" s="17" t="str">
        <x:v>일부 기관 우수인턴·근무경력</x:v>
      </x:c>
      <x:c r="D12" s="17" t="str">
        <x:v>서류가점 또는 우대 가능</x:v>
      </x:c>
      <x:c r="E12" s="18" t="str">
        <x:v>대상연도·근무기간·수료기준 확인</x:v>
      </x:c>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1:E1"/>
    <x:mergeCell ref="A2:E2"/>
  </x:mergeCells>
  <x:pageMargins left="0.7" right="0.7" top="0.75" bottom="0.75" header="0.3" footer="0.3"/>
  <x:tableParts count="1">
    <x:tablePart xmlns:r="http://schemas.openxmlformats.org/officeDocument/2006/relationships" r:id="Rfbc6662a93f54b8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7" hidden="0" customWidth="1"/>
    <x:col min="2" max="2" width="14" hidden="0" customWidth="1"/>
    <x:col min="3" max="3" width="28" hidden="0" customWidth="1"/>
    <x:col min="4" max="4" width="60" hidden="0" customWidth="1"/>
    <x:col min="5" max="5" width="20" hidden="0" customWidth="1"/>
    <x:col min="6" max="6" width="18" hidden="0" customWidth="1"/>
    <x:col min="7" max="7" width="14" hidden="0" customWidth="1"/>
    <x:col min="8" max="8" width="22" hidden="0" customWidth="1"/>
    <x:col min="9" max="9" width="18" hidden="0" customWidth="1"/>
    <x:col min="10" max="10" width="24" hidden="0" customWidth="1"/>
    <x:col min="11" max="11" width="52" hidden="0" customWidth="1"/>
    <x:col min="12" max="12" width="46" hidden="0" customWidth="1"/>
    <x:col min="13" max="13" width="18" hidden="0" customWidth="1"/>
    <x:col min="14" max="14" width="24" hidden="0" customWidth="1"/>
    <x:col min="15" max="15" width="52" hidden="0" customWidth="1"/>
  </x:cols>
  <x:sheetData>
    <x:row r="1" ht="32" customHeight="1">
      <x:c r="A1" s="4" t="str">
        <x:v>선택 필터 — 사회복지·장애 관련 현재 공고</x:v>
      </x:c>
      <x:c r="B1" s="4"/>
      <x:c r="C1" s="4"/>
      <x:c r="D1" s="4"/>
      <x:c r="E1" s="4"/>
      <x:c r="F1" s="4"/>
      <x:c r="G1" s="4"/>
      <x:c r="H1" s="4"/>
      <x:c r="I1" s="4"/>
      <x:c r="J1" s="4"/>
      <x:c r="K1" s="4"/>
      <x:c r="L1" s="4"/>
      <x:c r="M1" s="4"/>
      <x:c r="N1" s="4"/>
      <x:c r="O1" s="4"/>
      <x:c r="P1" s="1"/>
      <x:c r="Q1" s="1"/>
      <x:c r="R1" s="1"/>
      <x:c r="S1" s="1"/>
      <x:c r="T1" s="1"/>
      <x:c r="U1" s="1"/>
      <x:c r="V1" s="1"/>
      <x:c r="W1" s="1"/>
      <x:c r="X1" s="1"/>
      <x:c r="Y1" s="1"/>
      <x:c r="Z1" s="1"/>
    </x:row>
    <x:row r="2" ht="38" customHeight="1">
      <x:c r="A2" s="8" t="str">
        <x:v>일반 취준생 통합판 안에서 사회복지 또는 장애 키워드가 제목·응시자격·우대조건에 탐지된 공고입니다. 제한전형과 단순 우대를 구분해 원문을 확인하세요.</x:v>
      </x:c>
      <x:c r="B2" s="8"/>
      <x:c r="C2" s="8"/>
      <x:c r="D2" s="8"/>
      <x:c r="E2" s="8"/>
      <x:c r="F2" s="8"/>
      <x:c r="G2" s="8"/>
      <x:c r="H2" s="8"/>
      <x:c r="I2" s="8"/>
      <x:c r="J2" s="8"/>
      <x:c r="K2" s="8"/>
      <x:c r="L2" s="8"/>
      <x:c r="M2" s="8"/>
      <x:c r="N2" s="8"/>
      <x:c r="O2" s="8"/>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ht="36" customHeight="1">
      <x:c r="A4" s="14" t="str">
        <x:v>순번</x:v>
      </x:c>
      <x:c r="B4" s="14" t="str">
        <x:v>출처</x:v>
      </x:c>
      <x:c r="C4" s="14" t="str">
        <x:v>기관명</x:v>
      </x:c>
      <x:c r="D4" s="14" t="str">
        <x:v>공고명</x:v>
      </x:c>
      <x:c r="E4" s="14" t="str">
        <x:v>근무지역</x:v>
      </x:c>
      <x:c r="F4" s="14" t="str">
        <x:v>고용형태</x:v>
      </x:c>
      <x:c r="G4" s="14" t="str">
        <x:v>마감일</x:v>
      </x:c>
      <x:c r="H4" s="14" t="str">
        <x:v>채용트랙</x:v>
      </x:c>
      <x:c r="I4" s="14" t="str">
        <x:v>일반취준생 분류</x:v>
      </x:c>
      <x:c r="J4" s="14" t="str">
        <x:v>제한경쟁 표시</x:v>
      </x:c>
      <x:c r="K4" s="14" t="str">
        <x:v>응시자격</x:v>
      </x:c>
      <x:c r="L4" s="14" t="str">
        <x:v>우대조건</x:v>
      </x:c>
      <x:c r="M4" s="14" t="str">
        <x:v>검증수준</x:v>
      </x:c>
      <x:c r="N4" s="14" t="str">
        <x:v>데이터품질</x:v>
      </x:c>
      <x:c r="O4" s="14" t="str">
        <x:v>공식 링크</x:v>
      </x:c>
      <x:c r="P4" s="1"/>
      <x:c r="Q4" s="1"/>
      <x:c r="R4" s="1"/>
      <x:c r="S4" s="1"/>
      <x:c r="T4" s="1"/>
      <x:c r="U4" s="1"/>
      <x:c r="V4" s="1"/>
      <x:c r="W4" s="1"/>
      <x:c r="X4" s="1"/>
      <x:c r="Y4" s="1"/>
      <x:c r="Z4" s="1"/>
    </x:row>
    <x:row r="5" ht="56" customHeight="1">
      <x:c r="A5" s="17" t="n">
        <x:v>1</x:v>
      </x:c>
      <x:c r="B5" s="17" t="str">
        <x:v>Cleaneye Job+</x:v>
      </x:c>
      <x:c r="C5" s="17" t="str">
        <x:v>인천광역시서해구시설관리공단</x:v>
      </x:c>
      <x:c r="D5" s="17" t="str">
        <x:v>2026년 제6회 서해구노인복지관 기간제 근로자(사회복지사) 채용 공고</x:v>
      </x:c>
      <x:c r="E5" s="17" t="str">
        <x:v>인천광역시</x:v>
      </x:c>
      <x:c r="F5" s="17" t="str">
        <x:v>기간제</x:v>
      </x:c>
      <x:c r="G5" s="17" t="str">
        <x:v>2026-09-09</x:v>
      </x:c>
      <x:c r="H5" s="17" t="str">
        <x:v>기간제·비정규</x:v>
      </x:c>
      <x:c r="I5" s="17" t="str">
        <x:v>검토</x:v>
      </x:c>
      <x:c r="J5" s="17" t="str">
        <x:v>제한 문구 미탐지</x:v>
      </x:c>
      <x:c r="K5" s="17" t="str">
        <x:v>기관 공고 원문 확인</x:v>
      </x:c>
      <x:c r="L5" s="17" t="str">
        <x:v>기관 공고 원문 확인</x:v>
      </x:c>
      <x:c r="M5" s="17" t="str">
        <x:v>포털 목록 확인</x:v>
      </x:c>
      <x:c r="N5" s="17" t="str">
        <x:v>정상</x:v>
      </x:c>
      <x:c r="O5" s="18" t="str">
        <x:v>https://job.cleaneye.go.kr/user/ypRecruitment.do</x:v>
      </x:c>
      <x:c r="P5" s="1"/>
      <x:c r="Q5" s="1"/>
      <x:c r="R5" s="1"/>
      <x:c r="S5" s="1"/>
      <x:c r="T5" s="1"/>
      <x:c r="U5" s="1"/>
      <x:c r="V5" s="1"/>
      <x:c r="W5" s="1"/>
      <x:c r="X5" s="1"/>
      <x:c r="Y5" s="1"/>
      <x:c r="Z5" s="1"/>
    </x:row>
    <x:row r="6" ht="56" customHeight="1">
      <x:c r="A6" s="17" t="n">
        <x:v>2</x:v>
      </x:c>
      <x:c r="B6" s="17" t="str">
        <x:v>Cleaneye Job+</x:v>
      </x:c>
      <x:c r="C6" s="17" t="str">
        <x:v>재단법인 노원문화재단</x:v>
      </x:c>
      <x:c r="D6" s="17" t="str">
        <x:v>2026년 8차 노원문화재단 노원구립도서관 채용 공고 [기간제-장애인전형]</x:v>
      </x:c>
      <x:c r="E6" s="17" t="str">
        <x:v>서울특별시</x:v>
      </x:c>
      <x:c r="F6" s="17" t="str">
        <x:v>기간제</x:v>
      </x:c>
      <x:c r="G6" s="17" t="str">
        <x:v>2026-09-09</x:v>
      </x:c>
      <x:c r="H6" s="17" t="str">
        <x:v>제한경쟁·조건부</x:v>
      </x:c>
      <x:c r="I6" s="17" t="str">
        <x:v>조건 충족자만</x:v>
      </x:c>
      <x:c r="J6" s="17" t="str">
        <x:v>장애 관련 제한경쟁</x:v>
      </x:c>
      <x:c r="K6" s="17" t="str">
        <x:v>기관 공고 원문 확인</x:v>
      </x:c>
      <x:c r="L6" s="17" t="str">
        <x:v>기관 공고 원문 확인</x:v>
      </x:c>
      <x:c r="M6" s="17" t="str">
        <x:v>포털 목록 확인</x:v>
      </x:c>
      <x:c r="N6" s="17" t="str">
        <x:v>정상</x:v>
      </x:c>
      <x:c r="O6" s="18" t="str">
        <x:v>https://job.cleaneye.go.kr/user/ypRecruitment.do</x:v>
      </x:c>
      <x:c r="P6" s="1"/>
      <x:c r="Q6" s="1"/>
      <x:c r="R6" s="1"/>
      <x:c r="S6" s="1"/>
      <x:c r="T6" s="1"/>
      <x:c r="U6" s="1"/>
      <x:c r="V6" s="1"/>
      <x:c r="W6" s="1"/>
      <x:c r="X6" s="1"/>
      <x:c r="Y6" s="1"/>
      <x:c r="Z6" s="1"/>
    </x:row>
    <x:row r="7" ht="56" customHeight="1">
      <x:c r="A7" s="17" t="n">
        <x:v>3</x:v>
      </x:c>
      <x:c r="B7" s="17" t="str">
        <x:v>JOB-ALIO</x:v>
      </x:c>
      <x:c r="C7" s="17" t="str">
        <x:v>한국동서발전(주)</x:v>
      </x:c>
      <x:c r="D7" s="17" t="str">
        <x:v>한국동서발전(주) 2026년 사회형평 신입직원(대졸수준(보훈/장애)) 선발</x:v>
      </x:c>
      <x:c r="E7" s="17" t="str">
        <x:v>울산 외 6</x:v>
      </x:c>
      <x:c r="F7" s="17" t="str">
        <x:v>정규직</x:v>
      </x:c>
      <x:c r="G7" s="17" t="str">
        <x:v>2026-09-09</x:v>
      </x:c>
      <x:c r="H7" s="17" t="str">
        <x:v>신입·정규직</x:v>
      </x:c>
      <x:c r="I7" s="17" t="str">
        <x:v>우선검토</x:v>
      </x:c>
      <x:c r="J7" s="17" t="str">
        <x:v>제한 문구 미탐지</x:v>
      </x:c>
      <x:c r="K7" s="17" t="str">
        <x:v>상세공고 확인</x:v>
      </x:c>
      <x:c r="L7" s="17" t="str">
        <x:v>상세공고 확인</x:v>
      </x:c>
      <x:c r="M7" s="17" t="str">
        <x:v>목록 항목 확인</x:v>
      </x:c>
      <x:c r="N7" s="17" t="str">
        <x:v>정상</x:v>
      </x:c>
      <x:c r="O7" s="18" t="str">
        <x:v>https://job.alio.go.kr/recruitview.do?idx=304267</x:v>
      </x:c>
      <x:c r="P7" s="1"/>
      <x:c r="Q7" s="1"/>
      <x:c r="R7" s="1"/>
      <x:c r="S7" s="1"/>
      <x:c r="T7" s="1"/>
      <x:c r="U7" s="1"/>
      <x:c r="V7" s="1"/>
      <x:c r="W7" s="1"/>
      <x:c r="X7" s="1"/>
      <x:c r="Y7" s="1"/>
      <x:c r="Z7" s="1"/>
    </x:row>
    <x:row r="8" ht="56" customHeight="1">
      <x:c r="A8" s="17" t="n">
        <x:v>4</x:v>
      </x:c>
      <x:c r="B8" s="17" t="str">
        <x:v>JOB-ALIO</x:v>
      </x:c>
      <x:c r="C8" s="17" t="str">
        <x:v>한국장애인개발원</x:v>
      </x:c>
      <x:c r="D8" s="17" t="str">
        <x:v>[제2026-94호] 2026년도 경영지원부 사회형평적(장애인) 청년인턴 채용 공고</x:v>
      </x:c>
      <x:c r="E8" s="17" t="str">
        <x:v>서울</x:v>
      </x:c>
      <x:c r="F8" s="17" t="str">
        <x:v>청년인턴(체험형)</x:v>
      </x:c>
      <x:c r="G8" s="17" t="str">
        <x:v>2026-09-09</x:v>
      </x:c>
      <x:c r="H8" s="17" t="str">
        <x:v>체험형·청년인턴</x:v>
      </x:c>
      <x:c r="I8" s="17" t="str">
        <x:v>세부조건 확인</x:v>
      </x:c>
      <x:c r="J8" s="17" t="str">
        <x:v>제한 문구 미탐지</x:v>
      </x:c>
      <x:c r="K8" s="17" t="str">
        <x:v>상세공고 확인</x:v>
      </x:c>
      <x:c r="L8" s="17" t="str">
        <x:v>상세공고 확인</x:v>
      </x:c>
      <x:c r="M8" s="17" t="str">
        <x:v>목록 항목 확인</x:v>
      </x:c>
      <x:c r="N8" s="17" t="str">
        <x:v>정상</x:v>
      </x:c>
      <x:c r="O8" s="18" t="str">
        <x:v>https://job.alio.go.kr/recruitview.do?idx=304273</x:v>
      </x:c>
      <x:c r="P8" s="1"/>
      <x:c r="Q8" s="1"/>
      <x:c r="R8" s="1"/>
      <x:c r="S8" s="1"/>
      <x:c r="T8" s="1"/>
      <x:c r="U8" s="1"/>
      <x:c r="V8" s="1"/>
      <x:c r="W8" s="1"/>
      <x:c r="X8" s="1"/>
      <x:c r="Y8" s="1"/>
      <x:c r="Z8" s="1"/>
    </x:row>
    <x:row r="9" ht="56" customHeight="1">
      <x:c r="A9" s="17" t="n">
        <x:v>5</x:v>
      </x:c>
      <x:c r="B9" s="17" t="str">
        <x:v>JOB-ALIO</x:v>
      </x:c>
      <x:c r="C9" s="17" t="str">
        <x:v>한국장애인고용공단</x:v>
      </x:c>
      <x:c r="D9" s="17" t="str">
        <x:v>[한국장애인고용공단 서울지역본부·강원지사] 기간제근로자 통합채용 공고</x:v>
      </x:c>
      <x:c r="E9" s="17" t="str">
        <x:v>서울 외 1</x:v>
      </x:c>
      <x:c r="F9" s="17" t="str">
        <x:v>비정규직 외 1</x:v>
      </x:c>
      <x:c r="G9" s="17" t="str">
        <x:v>2026-09-09</x:v>
      </x:c>
      <x:c r="H9" s="17" t="str">
        <x:v>기간제·비정규</x:v>
      </x:c>
      <x:c r="I9" s="17" t="str">
        <x:v>세부조건 확인</x:v>
      </x:c>
      <x:c r="J9" s="17" t="str">
        <x:v>제한 문구 미탐지</x:v>
      </x:c>
      <x:c r="K9" s="17" t="str">
        <x:v>상세공고 확인</x:v>
      </x:c>
      <x:c r="L9" s="17" t="str">
        <x:v>상세공고 확인</x:v>
      </x:c>
      <x:c r="M9" s="17" t="str">
        <x:v>목록 항목 확인</x:v>
      </x:c>
      <x:c r="N9" s="17" t="str">
        <x:v>정상</x:v>
      </x:c>
      <x:c r="O9" s="18" t="str">
        <x:v>https://job.alio.go.kr/recruitview.do?idx=304323</x:v>
      </x:c>
      <x:c r="P9" s="1"/>
      <x:c r="Q9" s="1"/>
      <x:c r="R9" s="1"/>
      <x:c r="S9" s="1"/>
      <x:c r="T9" s="1"/>
      <x:c r="U9" s="1"/>
      <x:c r="V9" s="1"/>
      <x:c r="W9" s="1"/>
      <x:c r="X9" s="1"/>
      <x:c r="Y9" s="1"/>
      <x:c r="Z9" s="1"/>
    </x:row>
    <x:row r="10" ht="56" customHeight="1">
      <x:c r="A10" s="17" t="n">
        <x:v>6</x:v>
      </x:c>
      <x:c r="B10" s="17" t="str">
        <x:v>JOB-ALIO</x:v>
      </x:c>
      <x:c r="C10" s="17" t="str">
        <x:v>한국전력공사</x:v>
      </x:c>
      <x:c r="D10" s="17" t="str">
        <x:v>2026년 제3차 장애인 체험형 인턴 채용공고 [경기북부본부]</x:v>
      </x:c>
      <x:c r="E10" s="17" t="str">
        <x:v>경기</x:v>
      </x:c>
      <x:c r="F10" s="17" t="str">
        <x:v>청년인턴(체험형)</x:v>
      </x:c>
      <x:c r="G10" s="17" t="str">
        <x:v>2026-09-09</x:v>
      </x:c>
      <x:c r="H10" s="17" t="str">
        <x:v>체험형·청년인턴</x:v>
      </x:c>
      <x:c r="I10" s="17" t="str">
        <x:v>세부조건 확인</x:v>
      </x:c>
      <x:c r="J10" s="17" t="str">
        <x:v>제한 문구 미탐지</x:v>
      </x:c>
      <x:c r="K10" s="17" t="str">
        <x:v>상세공고 확인</x:v>
      </x:c>
      <x:c r="L10" s="17" t="str">
        <x:v>상세공고 확인</x:v>
      </x:c>
      <x:c r="M10" s="17" t="str">
        <x:v>목록 항목 확인</x:v>
      </x:c>
      <x:c r="N10" s="17" t="str">
        <x:v>정상</x:v>
      </x:c>
      <x:c r="O10" s="18" t="str">
        <x:v>https://job.alio.go.kr/recruitview.do?idx=304225</x:v>
      </x:c>
      <x:c r="P10" s="1"/>
      <x:c r="Q10" s="1"/>
      <x:c r="R10" s="1"/>
      <x:c r="S10" s="1"/>
      <x:c r="T10" s="1"/>
      <x:c r="U10" s="1"/>
      <x:c r="V10" s="1"/>
      <x:c r="W10" s="1"/>
      <x:c r="X10" s="1"/>
      <x:c r="Y10" s="1"/>
      <x:c r="Z10" s="1"/>
    </x:row>
    <x:row r="11" ht="56" customHeight="1">
      <x:c r="A11" s="17" t="n">
        <x:v>7</x:v>
      </x:c>
      <x:c r="B11" s="17" t="str">
        <x:v>JOB-ALIO</x:v>
      </x:c>
      <x:c r="C11" s="17" t="str">
        <x:v>경북대학교병원</x:v>
      </x:c>
      <x:c r="D11" s="17" t="str">
        <x:v>칠곡경북대학교병원 2026년 9월 2차 임시직원 채용공고(행정, 사회복지사)</x:v>
      </x:c>
      <x:c r="E11" s="17" t="str">
        <x:v>대구</x:v>
      </x:c>
      <x:c r="F11" s="17" t="str">
        <x:v>비정규직</x:v>
      </x:c>
      <x:c r="G11" s="17" t="str">
        <x:v>2026-09-10</x:v>
      </x:c>
      <x:c r="H11" s="17" t="str">
        <x:v>기간제·비정규</x:v>
      </x:c>
      <x:c r="I11" s="17" t="str">
        <x:v>세부조건 확인</x:v>
      </x:c>
      <x:c r="J11" s="17" t="str">
        <x:v>제한 문구 미탐지</x:v>
      </x:c>
      <x:c r="K11" s="17" t="str">
        <x:v>상세공고 확인</x:v>
      </x:c>
      <x:c r="L11" s="17" t="str">
        <x:v>상세공고 확인</x:v>
      </x:c>
      <x:c r="M11" s="17" t="str">
        <x:v>목록 항목 확인</x:v>
      </x:c>
      <x:c r="N11" s="17" t="str">
        <x:v>정상</x:v>
      </x:c>
      <x:c r="O11" s="18" t="str">
        <x:v>https://job.alio.go.kr/recruitview.do?idx=304662</x:v>
      </x:c>
      <x:c r="P11" s="1"/>
      <x:c r="Q11" s="1"/>
      <x:c r="R11" s="1"/>
      <x:c r="S11" s="1"/>
      <x:c r="T11" s="1"/>
      <x:c r="U11" s="1"/>
      <x:c r="V11" s="1"/>
      <x:c r="W11" s="1"/>
      <x:c r="X11" s="1"/>
      <x:c r="Y11" s="1"/>
      <x:c r="Z11" s="1"/>
    </x:row>
    <x:row r="12" ht="56" customHeight="1">
      <x:c r="A12" s="17" t="n">
        <x:v>8</x:v>
      </x:c>
      <x:c r="B12" s="17" t="str">
        <x:v>JOB-ALIO</x:v>
      </x:c>
      <x:c r="C12" s="17" t="str">
        <x:v>제주대학교병원</x:v>
      </x:c>
      <x:c r="D12" s="17" t="str">
        <x:v>제주대학교병원 사업인력 계약직(권역난임·임산부심리상담센터_임상심리사 또는 사회복지사 또는 간호사, 권역정신응급의료센터_보안인력, 지역장애인보건의료센터_사회복지사) 모집공고</x:v>
      </x:c>
      <x:c r="E12" s="17" t="str">
        <x:v>제주</x:v>
      </x:c>
      <x:c r="F12" s="17" t="str">
        <x:v>비정규직</x:v>
      </x:c>
      <x:c r="G12" s="17" t="str">
        <x:v>2026-09-10</x:v>
      </x:c>
      <x:c r="H12" s="17" t="str">
        <x:v>경력·전문직</x:v>
      </x:c>
      <x:c r="I12" s="17" t="str">
        <x:v>경력·전문 우선</x:v>
      </x:c>
      <x:c r="J12" s="17" t="str">
        <x:v>제한 문구 미탐지</x:v>
      </x:c>
      <x:c r="K12" s="17" t="str">
        <x:v>상세공고 확인</x:v>
      </x:c>
      <x:c r="L12" s="17" t="str">
        <x:v>상세공고 확인</x:v>
      </x:c>
      <x:c r="M12" s="17" t="str">
        <x:v>목록 항목 확인</x:v>
      </x:c>
      <x:c r="N12" s="17" t="str">
        <x:v>정상</x:v>
      </x:c>
      <x:c r="O12" s="18" t="str">
        <x:v>https://job.alio.go.kr/recruitview.do?idx=304673</x:v>
      </x:c>
      <x:c r="P12" s="1"/>
      <x:c r="Q12" s="1"/>
      <x:c r="R12" s="1"/>
      <x:c r="S12" s="1"/>
      <x:c r="T12" s="1"/>
      <x:c r="U12" s="1"/>
      <x:c r="V12" s="1"/>
      <x:c r="W12" s="1"/>
      <x:c r="X12" s="1"/>
      <x:c r="Y12" s="1"/>
      <x:c r="Z12" s="1"/>
    </x:row>
    <x:row r="13" ht="56" customHeight="1">
      <x:c r="A13" s="17" t="n">
        <x:v>9</x:v>
      </x:c>
      <x:c r="B13" s="17" t="str">
        <x:v>JOB-ALIO</x:v>
      </x:c>
      <x:c r="C13" s="17" t="str">
        <x:v>주택관리공단(주)</x:v>
      </x:c>
      <x:c r="D13" s="17" t="str">
        <x:v>채용형 인턴 채용공고(주택관리공단 대구경북지사)</x:v>
      </x:c>
      <x:c r="E13" s="17" t="str">
        <x:v>대구</x:v>
      </x:c>
      <x:c r="F13" s="17" t="str">
        <x:v>청년인턴(채용형)</x:v>
      </x:c>
      <x:c r="G13" s="17" t="str">
        <x:v>2026-09-10</x:v>
      </x:c>
      <x:c r="H13" s="17" t="str">
        <x:v>신입·채용형 인턴</x:v>
      </x:c>
      <x:c r="I13" s="17" t="str">
        <x:v>우선검토</x:v>
      </x:c>
      <x:c r="J13" s="17" t="str">
        <x:v>제한 문구 미탐지</x:v>
      </x:c>
      <x:c r="K13" s="17" t="str">
        <x:v>○ 응시자격 · 학력, 어학, 성별, 연령 : 제한없음 · 병역 : ?병역법? 제76조에서 정한 병역의무 불이행 사실이 없는 자 * 단, 최종 합격자 발표일까지 전역예정자로서 전형절차에 응시 가능자 지원 가능 · 기타 : 공단 직원채용 결격사유에 해당되지 않는 자</x:v>
      </x:c>
      <x:c r="L13" s="17" t="str">
        <x:v>장애인,국민기초생활보장 수급자, 공동주택관리 기술업무 수행에 필요한 자격증 소지자</x:v>
      </x:c>
      <x:c r="M13" s="17" t="str">
        <x:v>상세 페이지 확인</x:v>
      </x:c>
      <x:c r="N13" s="17" t="str">
        <x:v>정상</x:v>
      </x:c>
      <x:c r="O13" s="18" t="str">
        <x:v>https://job.alio.go.kr/recruitview.do?idx=304587</x:v>
      </x:c>
      <x:c r="P13" s="1"/>
      <x:c r="Q13" s="1"/>
      <x:c r="R13" s="1"/>
      <x:c r="S13" s="1"/>
      <x:c r="T13" s="1"/>
      <x:c r="U13" s="1"/>
      <x:c r="V13" s="1"/>
      <x:c r="W13" s="1"/>
      <x:c r="X13" s="1"/>
      <x:c r="Y13" s="1"/>
      <x:c r="Z13" s="1"/>
    </x:row>
    <x:row r="14" ht="56" customHeight="1">
      <x:c r="A14" s="17" t="n">
        <x:v>10</x:v>
      </x:c>
      <x:c r="B14" s="17" t="str">
        <x:v>JOB-ALIO</x:v>
      </x:c>
      <x:c r="C14" s="17" t="str">
        <x:v>중소벤처기업진흥공단</x:v>
      </x:c>
      <x:c r="D14" s="17" t="str">
        <x:v>2026년 하반기 중소벤처기업진흥공단 일반직(신입·경력) 채용 공고</x:v>
      </x:c>
      <x:c r="E14" s="17" t="str">
        <x:v>서울 외 16</x:v>
      </x:c>
      <x:c r="F14" s="17" t="str">
        <x:v>정규직</x:v>
      </x:c>
      <x:c r="G14" s="17" t="str">
        <x:v>2026-09-10</x:v>
      </x:c>
      <x:c r="H14" s="17" t="str">
        <x:v>제한경쟁·조건부</x:v>
      </x:c>
      <x:c r="I14" s="17" t="str">
        <x:v>조건 충족자만</x:v>
      </x:c>
      <x:c r="J14" s="17" t="str">
        <x:v>보훈 관련 제한경쟁</x:v>
      </x:c>
      <x:c r="K14" s="17" t="str">
        <x:v>ㅇ 학력, 전공, 연령, 성별 등에 제한없음 (단, 공고일 기준 만 60세 이상 지원 불가, 만 57세 이상 임금피크제 적용) ㅇ 임용(12월 30일 예정) 즉시 근무 가능한 자(사유불문 입사유예 불가) ㅇ 남성의 경우 병역필(임용예정일 이전 전역예정자 포함) 또는 면제자 ㅇ 「국가공무원법」 제33조(결격사유) 및 「중진공 인사규정」상 채용결격사유에 해당되지 않는 자 ※ 제한경쟁채용 응시자격 1) 준법지원(경력-변호사) : 「변호사법」 제4조에 따른 국내변호사 자격증 소지자로서, 직무경력 3년 이상인 자 2) 회계세무(경력-회계사) : 국내 공인회계사(KICPA) 자격증 소지자로서, 직무경력(회계감사, 세무회계 등) 2년 이상인 자 3) 취업지원대상자(보훈) : 「국가유공자 등 예우 및 지원에 관한 법률」 상 취업지원대상자 ※ 신입·경력 전체 모집분야 중 1개만 지원 가능(중복 지원 불가) ※ 자세한 사항은 채용 공고문 참조</x:v>
      </x:c>
      <x:c r="L14" s="17" t="str">
        <x:v>기초생활수급자·차상위계층, 한부모가족, 경력단절여성, 다문화가족, 북한이탈주민, 자립준비청년, 의사상자, 청년, 장애인, 취업지원대상자(보훈), '24∼’26년 공공기관 청년인턴 근무경력 보유자, 지역인재 등 (자세한 사항은 채용 공고문 참조)</x:v>
      </x:c>
      <x:c r="M14" s="17" t="str">
        <x:v>상세 페이지 확인</x:v>
      </x:c>
      <x:c r="N14" s="17" t="str">
        <x:v>정상</x:v>
      </x:c>
      <x:c r="O14" s="18" t="str">
        <x:v>https://job.alio.go.kr/recruitview.do?idx=304230</x:v>
      </x:c>
      <x:c r="P14" s="1"/>
      <x:c r="Q14" s="1"/>
      <x:c r="R14" s="1"/>
      <x:c r="S14" s="1"/>
      <x:c r="T14" s="1"/>
      <x:c r="U14" s="1"/>
      <x:c r="V14" s="1"/>
      <x:c r="W14" s="1"/>
      <x:c r="X14" s="1"/>
      <x:c r="Y14" s="1"/>
      <x:c r="Z14" s="1"/>
    </x:row>
    <x:row r="15" ht="56" customHeight="1">
      <x:c r="A15" s="17" t="n">
        <x:v>11</x:v>
      </x:c>
      <x:c r="B15" s="17" t="str">
        <x:v>JOB-ALIO</x:v>
      </x:c>
      <x:c r="C15" s="17" t="str">
        <x:v>한국방송통신전파진흥원</x:v>
      </x:c>
      <x:c r="D15" s="17" t="str">
        <x:v>한국방송통신전파진흥원 경력·신입 직원 채용 공고</x:v>
      </x:c>
      <x:c r="E15" s="17" t="str">
        <x:v>대구 외 2</x:v>
      </x:c>
      <x:c r="F15" s="17" t="str">
        <x:v>무기계약직 외 1</x:v>
      </x:c>
      <x:c r="G15" s="17" t="str">
        <x:v>2026-09-10</x:v>
      </x:c>
      <x:c r="H15" s="17" t="str">
        <x:v>제한경쟁·조건부</x:v>
      </x:c>
      <x:c r="I15" s="17" t="str">
        <x:v>조건 충족자만</x:v>
      </x:c>
      <x:c r="J15" s="17" t="str">
        <x:v>보훈 관련 제한경쟁</x:v>
      </x:c>
      <x:c r="K15" s="17" t="str">
        <x:v>□응시자격 ○ 공통사항 - KCA 인사규정 "[별표 1] 직원채용 공통자격기준" 적용 - 성별, 병역 제한 없으며, 임용일 기준 근무가능자 - 임용일 기준 정년 만 60세 미만. 단, 미화(공무직)는 정년 만 65세 미만 - KCA 인사규정 제12조(결격사유)에 해당되지 않는 자 ○ 시설관리(기계) - 기계설비유지관리자(고급) 이상 자격을 보유한 자 ○ 미화(보훈) - 「국가유공자 등 예우 및 지원에 관한 법률」 등 보훈관련 법령에 따라 취업지원대상자 증명서 발급이 가능한 자 ※ 세부내용 채용공고문 참조</x:v>
      </x:c>
      <x:c r="L15" s="17" t="str">
        <x:v>국가보훈대상자,청년인턴 경험자,우수 청년인턴 선발자,장애인,기초생활수급자,지역인재,한국사능력검정시험,북한이탈주민,다문화가족,경력단절여성,자립준비청년</x:v>
      </x:c>
      <x:c r="M15" s="17" t="str">
        <x:v>상세 페이지 확인</x:v>
      </x:c>
      <x:c r="N15" s="17" t="str">
        <x:v>정상</x:v>
      </x:c>
      <x:c r="O15" s="18" t="str">
        <x:v>https://job.alio.go.kr/recruitview.do?idx=304279</x:v>
      </x:c>
      <x:c r="P15" s="1"/>
      <x:c r="Q15" s="1"/>
      <x:c r="R15" s="1"/>
      <x:c r="S15" s="1"/>
      <x:c r="T15" s="1"/>
      <x:c r="U15" s="1"/>
      <x:c r="V15" s="1"/>
      <x:c r="W15" s="1"/>
      <x:c r="X15" s="1"/>
      <x:c r="Y15" s="1"/>
      <x:c r="Z15" s="1"/>
    </x:row>
    <x:row r="16" ht="56" customHeight="1">
      <x:c r="A16" s="17" t="n">
        <x:v>12</x:v>
      </x:c>
      <x:c r="B16" s="17" t="str">
        <x:v>JOB-ALIO</x:v>
      </x:c>
      <x:c r="C16" s="17" t="str">
        <x:v>한국장애인고용공단</x:v>
      </x:c>
      <x:c r="D16" s="17" t="str">
        <x:v>[한국장애인고용공단 전남지사]2026년 체험형 청년인턴(대체근로자) 채용</x:v>
      </x:c>
      <x:c r="E16" s="17" t="str">
        <x:v>전남광주</x:v>
      </x:c>
      <x:c r="F16" s="17" t="str">
        <x:v>비정규직 외 1</x:v>
      </x:c>
      <x:c r="G16" s="17" t="str">
        <x:v>2026-09-10</x:v>
      </x:c>
      <x:c r="H16" s="17" t="str">
        <x:v>체험형·청년인턴</x:v>
      </x:c>
      <x:c r="I16" s="17" t="str">
        <x:v>세부조건 확인</x:v>
      </x:c>
      <x:c r="J16" s="17" t="str">
        <x:v>제한 문구 미탐지</x:v>
      </x:c>
      <x:c r="K16" s="17" t="str">
        <x:v>상세공고 확인</x:v>
      </x:c>
      <x:c r="L16" s="17" t="str">
        <x:v>상세공고 확인</x:v>
      </x:c>
      <x:c r="M16" s="17" t="str">
        <x:v>목록 항목 확인</x:v>
      </x:c>
      <x:c r="N16" s="17" t="str">
        <x:v>정상</x:v>
      </x:c>
      <x:c r="O16" s="18" t="str">
        <x:v>https://job.alio.go.kr/recruitview.do?idx=304505</x:v>
      </x:c>
      <x:c r="P16" s="1"/>
      <x:c r="Q16" s="1"/>
      <x:c r="R16" s="1"/>
      <x:c r="S16" s="1"/>
      <x:c r="T16" s="1"/>
      <x:c r="U16" s="1"/>
      <x:c r="V16" s="1"/>
      <x:c r="W16" s="1"/>
      <x:c r="X16" s="1"/>
      <x:c r="Y16" s="1"/>
      <x:c r="Z16" s="1"/>
    </x:row>
    <x:row r="17" ht="56" customHeight="1">
      <x:c r="A17" s="17" t="n">
        <x:v>13</x:v>
      </x:c>
      <x:c r="B17" s="17" t="str">
        <x:v>Cleaneye Job+</x:v>
      </x:c>
      <x:c r="C17" s="17" t="str">
        <x:v>경북행복재단</x:v>
      </x:c>
      <x:c r="D17" s="17" t="str">
        <x:v>경상북도여성장애인복지관 계약직(경북사회복지공동모금회 전담인력) 채용 재공고(제2026-34호)</x:v>
      </x:c>
      <x:c r="E17" s="17" t="str">
        <x:v>경상북도</x:v>
      </x:c>
      <x:c r="F17" s="17" t="str">
        <x:v>일반계약직</x:v>
      </x:c>
      <x:c r="G17" s="17" t="str">
        <x:v>2026-09-11</x:v>
      </x:c>
      <x:c r="H17" s="17" t="str">
        <x:v>기타 채용</x:v>
      </x:c>
      <x:c r="I17" s="17" t="str">
        <x:v>검토</x:v>
      </x:c>
      <x:c r="J17" s="17" t="str">
        <x:v>제한 문구 미탐지</x:v>
      </x:c>
      <x:c r="K17" s="17" t="str">
        <x:v>기관 공고 원문 확인</x:v>
      </x:c>
      <x:c r="L17" s="17" t="str">
        <x:v>기관 공고 원문 확인</x:v>
      </x:c>
      <x:c r="M17" s="17" t="str">
        <x:v>포털 목록 확인</x:v>
      </x:c>
      <x:c r="N17" s="17" t="str">
        <x:v>정상</x:v>
      </x:c>
      <x:c r="O17" s="18" t="str">
        <x:v>https://job.cleaneye.go.kr/user/ypRecruitment.do</x:v>
      </x:c>
      <x:c r="P17" s="1"/>
      <x:c r="Q17" s="1"/>
      <x:c r="R17" s="1"/>
      <x:c r="S17" s="1"/>
      <x:c r="T17" s="1"/>
      <x:c r="U17" s="1"/>
      <x:c r="V17" s="1"/>
      <x:c r="W17" s="1"/>
      <x:c r="X17" s="1"/>
      <x:c r="Y17" s="1"/>
      <x:c r="Z17" s="1"/>
    </x:row>
    <x:row r="18" ht="56" customHeight="1">
      <x:c r="A18" s="17" t="n">
        <x:v>14</x:v>
      </x:c>
      <x:c r="B18" s="17" t="str">
        <x:v>Cleaneye Job+</x:v>
      </x:c>
      <x:c r="C18" s="17" t="str">
        <x:v>서울의료원</x:v>
      </x:c>
      <x:c r="D18" s="17" t="str">
        <x:v>2026년 제46회 기간제근로자 보조원(장애인 제한경쟁_동료지원인) 직원 모집 공고</x:v>
      </x:c>
      <x:c r="E18" s="17" t="str">
        <x:v>서울특별시</x:v>
      </x:c>
      <x:c r="F18" s="17" t="str">
        <x:v>기간제</x:v>
      </x:c>
      <x:c r="G18" s="17" t="str">
        <x:v>2026-09-11</x:v>
      </x:c>
      <x:c r="H18" s="17" t="str">
        <x:v>제한경쟁·조건부</x:v>
      </x:c>
      <x:c r="I18" s="17" t="str">
        <x:v>조건 충족자만</x:v>
      </x:c>
      <x:c r="J18" s="17" t="str">
        <x:v>장애 관련 제한경쟁</x:v>
      </x:c>
      <x:c r="K18" s="17" t="str">
        <x:v>기관 공고 원문 확인</x:v>
      </x:c>
      <x:c r="L18" s="17" t="str">
        <x:v>기관 공고 원문 확인</x:v>
      </x:c>
      <x:c r="M18" s="17" t="str">
        <x:v>포털 목록 확인</x:v>
      </x:c>
      <x:c r="N18" s="17" t="str">
        <x:v>정상</x:v>
      </x:c>
      <x:c r="O18" s="18" t="str">
        <x:v>https://job.cleaneye.go.kr/user/ypRecruitment.do</x:v>
      </x:c>
      <x:c r="P18" s="1"/>
      <x:c r="Q18" s="1"/>
      <x:c r="R18" s="1"/>
      <x:c r="S18" s="1"/>
      <x:c r="T18" s="1"/>
      <x:c r="U18" s="1"/>
      <x:c r="V18" s="1"/>
      <x:c r="W18" s="1"/>
      <x:c r="X18" s="1"/>
      <x:c r="Y18" s="1"/>
      <x:c r="Z18" s="1"/>
    </x:row>
    <x:row r="19" ht="56" customHeight="1">
      <x:c r="A19" s="17" t="n">
        <x:v>15</x:v>
      </x:c>
      <x:c r="B19" s="17" t="str">
        <x:v>JOB-ALIO</x:v>
      </x:c>
      <x:c r="C19" s="17" t="str">
        <x:v>예금보험공사</x:v>
      </x:c>
      <x:c r="D19" s="17" t="str">
        <x:v>2026년도 예금보험공사 신입직원 채용안내</x:v>
      </x:c>
      <x:c r="E19" s="17" t="str">
        <x:v>서울</x:v>
      </x:c>
      <x:c r="F19" s="17" t="str">
        <x:v>정규직</x:v>
      </x:c>
      <x:c r="G19" s="17" t="str">
        <x:v>2026-09-11</x:v>
      </x:c>
      <x:c r="H19" s="17" t="str">
        <x:v>신입·정규직</x:v>
      </x:c>
      <x:c r="I19" s="17" t="str">
        <x:v>우선검토</x:v>
      </x:c>
      <x:c r="J19" s="17" t="str">
        <x:v>제한 문구 미탐지</x:v>
      </x:c>
      <x:c r="K19" s="17" t="str">
        <x:v>&lt;공통&gt; ① 학력, 연령, 전공 제한 없음 ※ 단 ,입사예정일(’26.12.28.)기준 공사 정년(만 60세) 미만인 자 ② 군필자(’26.12.27일 이전 전역이 가능한 자) 또는 면제자 - 고졸(일반행정) 분야의 경우 해당하지 않음 ③ 공사 내규상 채용 결격사유에 해당하지 않는 자 ④ 채용 확정 후 즉시 근무 가능한 자 ⑤ 채용 분야별 중복지원은 불가 &lt;고졸&gt; ㅇ 다음 조건을 모두 충족하는 자 ① 2027년초 특성화고(마이스터고 등도 포함*) 졸업예정자 * 특성화고·마이스터고 포털 사이트(www.hifive.go.kr)에 등록된 학교 기준 ② 학교장의 추천을 받은 자(학교별 1명*) * 학교별 1명만 추천 가능하며, 2명 이상 추천 시 해당 학교 지원자 모두 불합격 처리</x:v>
      </x:c>
      <x:c r="L19" s="17" t="str">
        <x:v>장애인, 보훈 관련 법률에 따른 취업지원 대상자, 수급자, 한부모가족 지원대상자, 의사상자 등, 북한이탈주민, 다문화가족 구성원, 자립준비청년, 자격증 보유자, 예금보험공사 (우수)인턴 수료자, 비수도권 지역인재</x:v>
      </x:c>
      <x:c r="M19" s="17" t="str">
        <x:v>상세 페이지 확인</x:v>
      </x:c>
      <x:c r="N19" s="17" t="str">
        <x:v>정상</x:v>
      </x:c>
      <x:c r="O19" s="18" t="str">
        <x:v>https://job.alio.go.kr/recruitview.do?idx=304400</x:v>
      </x:c>
      <x:c r="P19" s="1"/>
      <x:c r="Q19" s="1"/>
      <x:c r="R19" s="1"/>
      <x:c r="S19" s="1"/>
      <x:c r="T19" s="1"/>
      <x:c r="U19" s="1"/>
      <x:c r="V19" s="1"/>
      <x:c r="W19" s="1"/>
      <x:c r="X19" s="1"/>
      <x:c r="Y19" s="1"/>
      <x:c r="Z19" s="1"/>
    </x:row>
    <x:row r="20" ht="56" customHeight="1">
      <x:c r="A20" s="17" t="n">
        <x:v>16</x:v>
      </x:c>
      <x:c r="B20" s="17" t="str">
        <x:v>Cleaneye Job+</x:v>
      </x:c>
      <x:c r="C20" s="17" t="str">
        <x:v>중구시설관리공단</x:v>
      </x:c>
      <x:c r="D20" s="17" t="str">
        <x:v>사회서비스시설(보육) 기간제 장애인근로자 채용 공고</x:v>
      </x:c>
      <x:c r="E20" s="17" t="str">
        <x:v>서울특별시</x:v>
      </x:c>
      <x:c r="F20" s="17" t="str">
        <x:v>기간제</x:v>
      </x:c>
      <x:c r="G20" s="17" t="str">
        <x:v>2026-09-11</x:v>
      </x:c>
      <x:c r="H20" s="17" t="str">
        <x:v>기간제·비정규</x:v>
      </x:c>
      <x:c r="I20" s="17" t="str">
        <x:v>검토</x:v>
      </x:c>
      <x:c r="J20" s="17" t="str">
        <x:v>제한 문구 미탐지</x:v>
      </x:c>
      <x:c r="K20" s="17" t="str">
        <x:v>기관 공고 원문 확인</x:v>
      </x:c>
      <x:c r="L20" s="17" t="str">
        <x:v>기관 공고 원문 확인</x:v>
      </x:c>
      <x:c r="M20" s="17" t="str">
        <x:v>포털 목록 확인</x:v>
      </x:c>
      <x:c r="N20" s="17" t="str">
        <x:v>정상</x:v>
      </x:c>
      <x:c r="O20" s="18" t="str">
        <x:v>https://job.cleaneye.go.kr/user/ypRecruitment.do</x:v>
      </x:c>
      <x:c r="P20" s="1"/>
      <x:c r="Q20" s="1"/>
      <x:c r="R20" s="1"/>
      <x:c r="S20" s="1"/>
      <x:c r="T20" s="1"/>
      <x:c r="U20" s="1"/>
      <x:c r="V20" s="1"/>
      <x:c r="W20" s="1"/>
      <x:c r="X20" s="1"/>
      <x:c r="Y20" s="1"/>
      <x:c r="Z20" s="1"/>
    </x:row>
    <x:row r="21" ht="56" customHeight="1">
      <x:c r="A21" s="17" t="n">
        <x:v>17</x:v>
      </x:c>
      <x:c r="B21" s="17" t="str">
        <x:v>JOB-ALIO</x:v>
      </x:c>
      <x:c r="C21" s="17" t="str">
        <x:v>대한적십자사</x:v>
      </x:c>
      <x:c r="D21" s="17" t="str">
        <x:v>[영주적십자병원] 정규직(보험심사, 조리사), 계약직(취사원(고령), 간호사(상근직), 간호조무사(상근직), 사무보조원(장애)), 육아휴직대체 사무보조원 공개채용 공고</x:v>
      </x:c>
      <x:c r="E21" s="17" t="str">
        <x:v>경북</x:v>
      </x:c>
      <x:c r="F21" s="17" t="str">
        <x:v>비정규직 외 1</x:v>
      </x:c>
      <x:c r="G21" s="17" t="str">
        <x:v>2026-09-13</x:v>
      </x:c>
      <x:c r="H21" s="17" t="str">
        <x:v>제한경쟁·조건부</x:v>
      </x:c>
      <x:c r="I21" s="17" t="str">
        <x:v>조건 충족자만</x:v>
      </x:c>
      <x:c r="J21" s="17" t="str">
        <x:v>장애 관련 제한경쟁</x:v>
      </x:c>
      <x:c r="K21" s="17" t="str">
        <x:v>상세공고 확인</x:v>
      </x:c>
      <x:c r="L21" s="17" t="str">
        <x:v>상세공고 확인</x:v>
      </x:c>
      <x:c r="M21" s="17" t="str">
        <x:v>목록 항목 확인</x:v>
      </x:c>
      <x:c r="N21" s="17" t="str">
        <x:v>정상</x:v>
      </x:c>
      <x:c r="O21" s="18" t="str">
        <x:v>https://job.alio.go.kr/recruitview.do?idx=304383</x:v>
      </x:c>
      <x:c r="P21" s="1"/>
      <x:c r="Q21" s="1"/>
      <x:c r="R21" s="1"/>
      <x:c r="S21" s="1"/>
      <x:c r="T21" s="1"/>
      <x:c r="U21" s="1"/>
      <x:c r="V21" s="1"/>
      <x:c r="W21" s="1"/>
      <x:c r="X21" s="1"/>
      <x:c r="Y21" s="1"/>
      <x:c r="Z21" s="1"/>
    </x:row>
    <x:row r="22" ht="56" customHeight="1">
      <x:c r="A22" s="17" t="n">
        <x:v>18</x:v>
      </x:c>
      <x:c r="B22" s="17" t="str">
        <x:v>Cleaneye Job+</x:v>
      </x:c>
      <x:c r="C22" s="17" t="str">
        <x:v>강원특별자치도강릉의료원</x:v>
      </x:c>
      <x:c r="D22" s="17" t="str">
        <x:v>공고2026-66호 기간제 의료보조원(장애인 등록증 소지자)</x:v>
      </x:c>
      <x:c r="E22" s="17" t="str">
        <x:v>강원특별자치도</x:v>
      </x:c>
      <x:c r="F22" s="17" t="str">
        <x:v>기간제</x:v>
      </x:c>
      <x:c r="G22" s="17" t="str">
        <x:v>2026-09-14</x:v>
      </x:c>
      <x:c r="H22" s="17" t="str">
        <x:v>기간제·비정규</x:v>
      </x:c>
      <x:c r="I22" s="17" t="str">
        <x:v>검토</x:v>
      </x:c>
      <x:c r="J22" s="17" t="str">
        <x:v>제한 문구 미탐지</x:v>
      </x:c>
      <x:c r="K22" s="17" t="str">
        <x:v>기관 공고 원문 확인</x:v>
      </x:c>
      <x:c r="L22" s="17" t="str">
        <x:v>기관 공고 원문 확인</x:v>
      </x:c>
      <x:c r="M22" s="17" t="str">
        <x:v>포털 목록 확인</x:v>
      </x:c>
      <x:c r="N22" s="17" t="str">
        <x:v>정상</x:v>
      </x:c>
      <x:c r="O22" s="18" t="str">
        <x:v>https://job.cleaneye.go.kr/user/ypRecruitment.do</x:v>
      </x:c>
      <x:c r="P22" s="1"/>
      <x:c r="Q22" s="1"/>
      <x:c r="R22" s="1"/>
      <x:c r="S22" s="1"/>
      <x:c r="T22" s="1"/>
      <x:c r="U22" s="1"/>
      <x:c r="V22" s="1"/>
      <x:c r="W22" s="1"/>
      <x:c r="X22" s="1"/>
      <x:c r="Y22" s="1"/>
      <x:c r="Z22" s="1"/>
    </x:row>
    <x:row r="23" ht="56" customHeight="1">
      <x:c r="A23" s="17" t="n">
        <x:v>19</x:v>
      </x:c>
      <x:c r="B23" s="17" t="str">
        <x:v>Cleaneye Job+</x:v>
      </x:c>
      <x:c r="C23" s="17" t="str">
        <x:v>강원특별자치도영월의료원</x:v>
      </x:c>
      <x:c r="D23" s="17" t="str">
        <x:v>사회복지사 공개경쟁 채용 재공고(계약직_공공의료과)</x:v>
      </x:c>
      <x:c r="E23" s="17" t="str">
        <x:v>강원특별자치도</x:v>
      </x:c>
      <x:c r="F23" s="17" t="str">
        <x:v>기간제</x:v>
      </x:c>
      <x:c r="G23" s="17" t="str">
        <x:v>2026-09-14</x:v>
      </x:c>
      <x:c r="H23" s="17" t="str">
        <x:v>기간제·비정규</x:v>
      </x:c>
      <x:c r="I23" s="17" t="str">
        <x:v>검토</x:v>
      </x:c>
      <x:c r="J23" s="17" t="str">
        <x:v>제한 문구 미탐지</x:v>
      </x:c>
      <x:c r="K23" s="17" t="str">
        <x:v>기관 공고 원문 확인</x:v>
      </x:c>
      <x:c r="L23" s="17" t="str">
        <x:v>기관 공고 원문 확인</x:v>
      </x:c>
      <x:c r="M23" s="17" t="str">
        <x:v>포털 목록 확인</x:v>
      </x:c>
      <x:c r="N23" s="17" t="str">
        <x:v>정상</x:v>
      </x:c>
      <x:c r="O23" s="18" t="str">
        <x:v>https://job.cleaneye.go.kr/user/ypRecruitment.do</x:v>
      </x:c>
      <x:c r="P23" s="1"/>
      <x:c r="Q23" s="1"/>
      <x:c r="R23" s="1"/>
      <x:c r="S23" s="1"/>
      <x:c r="T23" s="1"/>
      <x:c r="U23" s="1"/>
      <x:c r="V23" s="1"/>
      <x:c r="W23" s="1"/>
      <x:c r="X23" s="1"/>
      <x:c r="Y23" s="1"/>
      <x:c r="Z23" s="1"/>
    </x:row>
    <x:row r="24" ht="56" customHeight="1">
      <x:c r="A24" s="17" t="n">
        <x:v>20</x:v>
      </x:c>
      <x:c r="B24" s="17" t="str">
        <x:v>Cleaneye Job+</x:v>
      </x:c>
      <x:c r="C24" s="17" t="str">
        <x:v>구미전자정보기술원</x:v>
      </x:c>
      <x:c r="D24" s="17" t="str">
        <x:v>구미전자정보기술원 장애인 계약직 직원채용공고(2026-249호)</x:v>
      </x:c>
      <x:c r="E24" s="17" t="str">
        <x:v>경상북도</x:v>
      </x:c>
      <x:c r="F24" s="17" t="str">
        <x:v>기간제</x:v>
      </x:c>
      <x:c r="G24" s="17" t="str">
        <x:v>2026-09-14</x:v>
      </x:c>
      <x:c r="H24" s="17" t="str">
        <x:v>기간제·비정규</x:v>
      </x:c>
      <x:c r="I24" s="17" t="str">
        <x:v>검토</x:v>
      </x:c>
      <x:c r="J24" s="17" t="str">
        <x:v>제한 문구 미탐지</x:v>
      </x:c>
      <x:c r="K24" s="17" t="str">
        <x:v>기관 공고 원문 확인</x:v>
      </x:c>
      <x:c r="L24" s="17" t="str">
        <x:v>기관 공고 원문 확인</x:v>
      </x:c>
      <x:c r="M24" s="17" t="str">
        <x:v>포털 목록 확인</x:v>
      </x:c>
      <x:c r="N24" s="17" t="str">
        <x:v>정상</x:v>
      </x:c>
      <x:c r="O24" s="18" t="str">
        <x:v>https://job.cleaneye.go.kr/user/ypRecruitment.do</x:v>
      </x:c>
      <x:c r="P24" s="1"/>
      <x:c r="Q24" s="1"/>
      <x:c r="R24" s="1"/>
      <x:c r="S24" s="1"/>
      <x:c r="T24" s="1"/>
      <x:c r="U24" s="1"/>
      <x:c r="V24" s="1"/>
      <x:c r="W24" s="1"/>
      <x:c r="X24" s="1"/>
      <x:c r="Y24" s="1"/>
      <x:c r="Z24" s="1"/>
    </x:row>
    <x:row r="25" ht="56" customHeight="1">
      <x:c r="A25" s="17" t="n">
        <x:v>21</x:v>
      </x:c>
      <x:c r="B25" s="17" t="str">
        <x:v>JOB-ALIO</x:v>
      </x:c>
      <x:c r="C25" s="17" t="str">
        <x:v>국토연구원</x:v>
      </x:c>
      <x:c r="D25" s="17" t="str">
        <x:v>국토연구원 2026년 제3차 청년인턴 공개채용(장애인제한경쟁, 일반경쟁)</x:v>
      </x:c>
      <x:c r="E25" s="17" t="str">
        <x:v>세종</x:v>
      </x:c>
      <x:c r="F25" s="17" t="str">
        <x:v>청년인턴(체험형)</x:v>
      </x:c>
      <x:c r="G25" s="17" t="str">
        <x:v>2026-09-14</x:v>
      </x:c>
      <x:c r="H25" s="17" t="str">
        <x:v>제한경쟁·조건부</x:v>
      </x:c>
      <x:c r="I25" s="17" t="str">
        <x:v>조건 충족자만</x:v>
      </x:c>
      <x:c r="J25" s="17" t="str">
        <x:v>장애 관련 제한경쟁</x:v>
      </x:c>
      <x:c r="K25" s="17" t="str">
        <x:v>상세공고 확인</x:v>
      </x:c>
      <x:c r="L25" s="17" t="str">
        <x:v>상세공고 확인</x:v>
      </x:c>
      <x:c r="M25" s="17" t="str">
        <x:v>목록 항목 확인</x:v>
      </x:c>
      <x:c r="N25" s="17" t="str">
        <x:v>정상</x:v>
      </x:c>
      <x:c r="O25" s="18" t="str">
        <x:v>https://job.alio.go.kr/recruitview.do?idx=304413</x:v>
      </x:c>
      <x:c r="P25" s="1"/>
      <x:c r="Q25" s="1"/>
      <x:c r="R25" s="1"/>
      <x:c r="S25" s="1"/>
      <x:c r="T25" s="1"/>
      <x:c r="U25" s="1"/>
      <x:c r="V25" s="1"/>
      <x:c r="W25" s="1"/>
      <x:c r="X25" s="1"/>
      <x:c r="Y25" s="1"/>
      <x:c r="Z25" s="1"/>
    </x:row>
    <x:row r="26" ht="56" customHeight="1">
      <x:c r="A26" s="17" t="n">
        <x:v>22</x:v>
      </x:c>
      <x:c r="B26" s="17" t="str">
        <x:v>Cleaneye Job+</x:v>
      </x:c>
      <x:c r="C26" s="17" t="str">
        <x:v>대구농수산물유통관리공사</x:v>
      </x:c>
      <x:c r="D26" s="17" t="str">
        <x:v>2026년 하반기 대구농수산물유통관리공사 장애인 청년 체험형 인턴 채용공고(~`26.9.14.)</x:v>
      </x:c>
      <x:c r="E26" s="17" t="str">
        <x:v>대구광역시</x:v>
      </x:c>
      <x:c r="F26" s="17" t="str">
        <x:v>인턴</x:v>
      </x:c>
      <x:c r="G26" s="17" t="str">
        <x:v>2026-09-14</x:v>
      </x:c>
      <x:c r="H26" s="17" t="str">
        <x:v>체험형·청년인턴</x:v>
      </x:c>
      <x:c r="I26" s="17" t="str">
        <x:v>검토</x:v>
      </x:c>
      <x:c r="J26" s="17" t="str">
        <x:v>제한 문구 미탐지</x:v>
      </x:c>
      <x:c r="K26" s="17" t="str">
        <x:v>기관 공고 원문 확인</x:v>
      </x:c>
      <x:c r="L26" s="17" t="str">
        <x:v>기관 공고 원문 확인</x:v>
      </x:c>
      <x:c r="M26" s="17" t="str">
        <x:v>포털 목록 확인</x:v>
      </x:c>
      <x:c r="N26" s="17" t="str">
        <x:v>정상</x:v>
      </x:c>
      <x:c r="O26" s="18" t="str">
        <x:v>https://job.cleaneye.go.kr/user/ypRecruitment.do</x:v>
      </x:c>
      <x:c r="P26" s="1"/>
      <x:c r="Q26" s="1"/>
      <x:c r="R26" s="1"/>
      <x:c r="S26" s="1"/>
      <x:c r="T26" s="1"/>
      <x:c r="U26" s="1"/>
      <x:c r="V26" s="1"/>
      <x:c r="W26" s="1"/>
      <x:c r="X26" s="1"/>
      <x:c r="Y26" s="1"/>
      <x:c r="Z26" s="1"/>
    </x:row>
    <x:row r="27" ht="56" customHeight="1">
      <x:c r="A27" s="17" t="n">
        <x:v>23</x:v>
      </x:c>
      <x:c r="B27" s="17" t="str">
        <x:v>JOB-ALIO</x:v>
      </x:c>
      <x:c r="C27" s="17" t="str">
        <x:v>서울대학교치과병원</x:v>
      </x:c>
      <x:c r="D27" s="17" t="str">
        <x:v>서울대학교치과병원 단시간근무자(장애인 제한경쟁) 채용 공고</x:v>
      </x:c>
      <x:c r="E27" s="17" t="str">
        <x:v>서울</x:v>
      </x:c>
      <x:c r="F27" s="17" t="str">
        <x:v>비정규직</x:v>
      </x:c>
      <x:c r="G27" s="17" t="str">
        <x:v>2026-09-14</x:v>
      </x:c>
      <x:c r="H27" s="17" t="str">
        <x:v>제한경쟁·조건부</x:v>
      </x:c>
      <x:c r="I27" s="17" t="str">
        <x:v>조건 충족자만</x:v>
      </x:c>
      <x:c r="J27" s="17" t="str">
        <x:v>장애 관련 제한경쟁</x:v>
      </x:c>
      <x:c r="K27" s="17" t="str">
        <x:v>상세공고 확인</x:v>
      </x:c>
      <x:c r="L27" s="17" t="str">
        <x:v>상세공고 확인</x:v>
      </x:c>
      <x:c r="M27" s="17" t="str">
        <x:v>목록 항목 확인</x:v>
      </x:c>
      <x:c r="N27" s="17" t="str">
        <x:v>정상</x:v>
      </x:c>
      <x:c r="O27" s="18" t="str">
        <x:v>https://job.alio.go.kr/recruitview.do?idx=304412</x:v>
      </x:c>
      <x:c r="P27" s="1"/>
      <x:c r="Q27" s="1"/>
      <x:c r="R27" s="1"/>
      <x:c r="S27" s="1"/>
      <x:c r="T27" s="1"/>
      <x:c r="U27" s="1"/>
      <x:c r="V27" s="1"/>
      <x:c r="W27" s="1"/>
      <x:c r="X27" s="1"/>
      <x:c r="Y27" s="1"/>
      <x:c r="Z27" s="1"/>
    </x:row>
    <x:row r="28" ht="56" customHeight="1">
      <x:c r="A28" s="17" t="n">
        <x:v>24</x:v>
      </x:c>
      <x:c r="B28" s="17" t="str">
        <x:v>Cleaneye Job+</x:v>
      </x:c>
      <x:c r="C28" s="17" t="str">
        <x:v>울진군의료원</x:v>
      </x:c>
      <x:c r="D28" s="17" t="str">
        <x:v>울진군의료원 직원채용 공고(임상병리사 간호조무사, 진료보조, 사회복지사)</x:v>
      </x:c>
      <x:c r="E28" s="17" t="str">
        <x:v>경상북도</x:v>
      </x:c>
      <x:c r="F28" s="17" t="str">
        <x:v>일반정규직</x:v>
      </x:c>
      <x:c r="G28" s="17" t="str">
        <x:v>2026-09-14</x:v>
      </x:c>
      <x:c r="H28" s="17" t="str">
        <x:v>정규직(세부 확인)</x:v>
      </x:c>
      <x:c r="I28" s="17" t="str">
        <x:v>검토</x:v>
      </x:c>
      <x:c r="J28" s="17" t="str">
        <x:v>제한 문구 미탐지</x:v>
      </x:c>
      <x:c r="K28" s="17" t="str">
        <x:v>기관 공고 원문 확인</x:v>
      </x:c>
      <x:c r="L28" s="17" t="str">
        <x:v>기관 공고 원문 확인</x:v>
      </x:c>
      <x:c r="M28" s="17" t="str">
        <x:v>포털 목록 확인</x:v>
      </x:c>
      <x:c r="N28" s="17" t="str">
        <x:v>정상</x:v>
      </x:c>
      <x:c r="O28" s="18" t="str">
        <x:v>https://job.cleaneye.go.kr/user/ypRecruitment.do</x:v>
      </x:c>
      <x:c r="P28" s="1"/>
      <x:c r="Q28" s="1"/>
      <x:c r="R28" s="1"/>
      <x:c r="S28" s="1"/>
      <x:c r="T28" s="1"/>
      <x:c r="U28" s="1"/>
      <x:c r="V28" s="1"/>
      <x:c r="W28" s="1"/>
      <x:c r="X28" s="1"/>
      <x:c r="Y28" s="1"/>
      <x:c r="Z28" s="1"/>
    </x:row>
    <x:row r="29" ht="56" customHeight="1">
      <x:c r="A29" s="17" t="n">
        <x:v>25</x:v>
      </x:c>
      <x:c r="B29" s="17" t="str">
        <x:v>Cleaneye Job+</x:v>
      </x:c>
      <x:c r="C29" s="17" t="str">
        <x:v>전북특별자치도 군산의료원</x:v>
      </x:c>
      <x:c r="D29" s="17" t="str">
        <x:v>군산의료원 주차관리원(단시간) 장애인 제한 채용 공고</x:v>
      </x:c>
      <x:c r="E29" s="17" t="str">
        <x:v>전북특별자치도</x:v>
      </x:c>
      <x:c r="F29" s="17" t="str">
        <x:v>일반정규직</x:v>
      </x:c>
      <x:c r="G29" s="17" t="str">
        <x:v>2026-09-14</x:v>
      </x:c>
      <x:c r="H29" s="17" t="str">
        <x:v>제한경쟁·조건부</x:v>
      </x:c>
      <x:c r="I29" s="17" t="str">
        <x:v>조건 충족자만</x:v>
      </x:c>
      <x:c r="J29" s="17" t="str">
        <x:v>장애 관련 제한경쟁</x:v>
      </x:c>
      <x:c r="K29" s="17" t="str">
        <x:v>기관 공고 원문 확인</x:v>
      </x:c>
      <x:c r="L29" s="17" t="str">
        <x:v>기관 공고 원문 확인</x:v>
      </x:c>
      <x:c r="M29" s="17" t="str">
        <x:v>포털 목록 확인</x:v>
      </x:c>
      <x:c r="N29" s="17" t="str">
        <x:v>정상</x:v>
      </x:c>
      <x:c r="O29" s="18" t="str">
        <x:v>https://job.cleaneye.go.kr/user/ypRecruitment.do</x:v>
      </x:c>
      <x:c r="P29" s="1"/>
      <x:c r="Q29" s="1"/>
      <x:c r="R29" s="1"/>
      <x:c r="S29" s="1"/>
      <x:c r="T29" s="1"/>
      <x:c r="U29" s="1"/>
      <x:c r="V29" s="1"/>
      <x:c r="W29" s="1"/>
      <x:c r="X29" s="1"/>
      <x:c r="Y29" s="1"/>
      <x:c r="Z29" s="1"/>
    </x:row>
    <x:row r="30" ht="56" customHeight="1">
      <x:c r="A30" s="17" t="n">
        <x:v>26</x:v>
      </x:c>
      <x:c r="B30" s="17" t="str">
        <x:v>JOB-ALIO</x:v>
      </x:c>
      <x:c r="C30" s="17" t="str">
        <x:v>중소기업은행</x:v>
      </x:c>
      <x:c r="D30" s="17" t="str">
        <x:v>2026년 하반기 IBK기업은행 신입행원 채용공고</x:v>
      </x:c>
      <x:c r="E30" s="17" t="str">
        <x:v>서울 외 16</x:v>
      </x:c>
      <x:c r="F30" s="17" t="str">
        <x:v>정규직</x:v>
      </x:c>
      <x:c r="G30" s="17" t="str">
        <x:v>2026-09-14</x:v>
      </x:c>
      <x:c r="H30" s="17" t="str">
        <x:v>신입·정규직</x:v>
      </x:c>
      <x:c r="I30" s="17" t="str">
        <x:v>우선검토</x:v>
      </x:c>
      <x:c r="J30" s="17" t="str">
        <x:v>제한 문구 미탐지</x:v>
      </x:c>
      <x:c r="K30" s="17" t="str">
        <x:v>ㅇ 금융일반, 디지털, IT 분야 - 학력, 연령, 성별 등 제한사항 없음 - 남성의 경우 병역필* 또는 면제자* * 2026. 11. 30. 이전 전역 가능한 자 포함. 고졸인재 분야 지원자는 해당 없음 - 채용 확정(12월 초·중순 예정) 후 전일 근무 가능한 자* * 졸업, 재학, 이직 절차, 군 전역 등의 사유로 입행 유예 불가 - 당행 인사규정 「채용의 제한」 대상자 등(공고문 內 “유의사항” 참조)이 아닌 자 ※ 지역인재의 경우, 공고문 참조 ㅇ 고졸인재 분야 - 고등학교 졸업 예정자 (졸업 예정월：’27년 2월) - 채용 확정(12월 초·중순 예정) 후 전일 근무 가능한 자* * 졸업, 재학, 이직 절차, 군 전역 등의 사유로 입행 유예 불가 - 당행 인사규정 「채용의 제한」 대상자 등(공고문 內 “유의사항” 참조)이 아닌 자</x:v>
      </x:c>
      <x:c r="L30" s="17" t="str">
        <x:v>(공통우대) 취업지원대상자(보훈대상자 등), 장애인, IBK청년인턴(우수인턴限), 우대자격증 소지자 / (분야별 별도우대) 석·박사학위, 학교장 추천</x:v>
      </x:c>
      <x:c r="M30" s="17" t="str">
        <x:v>상세 페이지 확인</x:v>
      </x:c>
      <x:c r="N30" s="17" t="str">
        <x:v>정상</x:v>
      </x:c>
      <x:c r="O30" s="18" t="str">
        <x:v>https://job.alio.go.kr/recruitview.do?idx=304338</x:v>
      </x:c>
      <x:c r="P30" s="1"/>
      <x:c r="Q30" s="1"/>
      <x:c r="R30" s="1"/>
      <x:c r="S30" s="1"/>
      <x:c r="T30" s="1"/>
      <x:c r="U30" s="1"/>
      <x:c r="V30" s="1"/>
      <x:c r="W30" s="1"/>
      <x:c r="X30" s="1"/>
      <x:c r="Y30" s="1"/>
      <x:c r="Z30" s="1"/>
    </x:row>
    <x:row r="31" ht="56" customHeight="1">
      <x:c r="A31" s="17" t="n">
        <x:v>27</x:v>
      </x:c>
      <x:c r="B31" s="17" t="str">
        <x:v>JOB-ALIO</x:v>
      </x:c>
      <x:c r="C31" s="17" t="str">
        <x:v>한국보훈복지의료공단</x:v>
      </x:c>
      <x:c r="D31" s="17" t="str">
        <x:v>[전주보훈요양원] 장애인 청년인턴 채용 공고</x:v>
      </x:c>
      <x:c r="E31" s="17" t="str">
        <x:v>전북</x:v>
      </x:c>
      <x:c r="F31" s="17" t="str">
        <x:v>청년인턴(체험형)</x:v>
      </x:c>
      <x:c r="G31" s="17" t="str">
        <x:v>2026-09-14</x:v>
      </x:c>
      <x:c r="H31" s="17" t="str">
        <x:v>체험형·청년인턴</x:v>
      </x:c>
      <x:c r="I31" s="17" t="str">
        <x:v>세부조건 확인</x:v>
      </x:c>
      <x:c r="J31" s="17" t="str">
        <x:v>제한 문구 미탐지</x:v>
      </x:c>
      <x:c r="K31" s="17" t="str">
        <x:v>상세공고 확인</x:v>
      </x:c>
      <x:c r="L31" s="17" t="str">
        <x:v>상세공고 확인</x:v>
      </x:c>
      <x:c r="M31" s="17" t="str">
        <x:v>목록 항목 확인</x:v>
      </x:c>
      <x:c r="N31" s="17" t="str">
        <x:v>정상</x:v>
      </x:c>
      <x:c r="O31" s="18" t="str">
        <x:v>https://job.alio.go.kr/recruitview.do?idx=304633</x:v>
      </x:c>
      <x:c r="P31" s="1"/>
      <x:c r="Q31" s="1"/>
      <x:c r="R31" s="1"/>
      <x:c r="S31" s="1"/>
      <x:c r="T31" s="1"/>
      <x:c r="U31" s="1"/>
      <x:c r="V31" s="1"/>
      <x:c r="W31" s="1"/>
      <x:c r="X31" s="1"/>
      <x:c r="Y31" s="1"/>
      <x:c r="Z31" s="1"/>
    </x:row>
    <x:row r="32" ht="56" customHeight="1">
      <x:c r="A32" s="17" t="n">
        <x:v>28</x:v>
      </x:c>
      <x:c r="B32" s="17" t="str">
        <x:v>JOB-ALIO</x:v>
      </x:c>
      <x:c r="C32" s="17" t="str">
        <x:v>한국산업은행</x:v>
      </x:c>
      <x:c r="D32" s="17" t="str">
        <x:v>한국산업은행 장애인 전문직원(사무관리) 채용공고</x:v>
      </x:c>
      <x:c r="E32" s="17" t="str">
        <x:v>서울 외 15</x:v>
      </x:c>
      <x:c r="F32" s="17" t="str">
        <x:v>무기계약직</x:v>
      </x:c>
      <x:c r="G32" s="17" t="str">
        <x:v>2026-09-14</x:v>
      </x:c>
      <x:c r="H32" s="17" t="str">
        <x:v>경력·전문직</x:v>
      </x:c>
      <x:c r="I32" s="17" t="str">
        <x:v>경력·전문 우선</x:v>
      </x:c>
      <x:c r="J32" s="17" t="str">
        <x:v>제한 문구 미탐지</x:v>
      </x:c>
      <x:c r="K32" s="17" t="str">
        <x:v>상세공고 확인</x:v>
      </x:c>
      <x:c r="L32" s="17" t="str">
        <x:v>상세공고 확인</x:v>
      </x:c>
      <x:c r="M32" s="17" t="str">
        <x:v>목록 항목 확인</x:v>
      </x:c>
      <x:c r="N32" s="17" t="str">
        <x:v>정상</x:v>
      </x:c>
      <x:c r="O32" s="18" t="str">
        <x:v>https://job.alio.go.kr/recruitview.do?idx=304369</x:v>
      </x:c>
      <x:c r="P32" s="1"/>
      <x:c r="Q32" s="1"/>
      <x:c r="R32" s="1"/>
      <x:c r="S32" s="1"/>
      <x:c r="T32" s="1"/>
      <x:c r="U32" s="1"/>
      <x:c r="V32" s="1"/>
      <x:c r="W32" s="1"/>
      <x:c r="X32" s="1"/>
      <x:c r="Y32" s="1"/>
      <x:c r="Z32" s="1"/>
    </x:row>
    <x:row r="33" ht="56" customHeight="1">
      <x:c r="A33" s="17" t="n">
        <x:v>29</x:v>
      </x:c>
      <x:c r="B33" s="17" t="str">
        <x:v>JOB-ALIO</x:v>
      </x:c>
      <x:c r="C33" s="17" t="str">
        <x:v>한국수자원공사</x:v>
      </x:c>
      <x:c r="D33" s="17" t="str">
        <x:v>[한국수자원공사] (2차 재공고) 한강경영처 사회형평적 인재 단기계약근로자(시설관리) 채용 공고(장애인 제한채용)</x:v>
      </x:c>
      <x:c r="E33" s="17" t="str">
        <x:v>경기</x:v>
      </x:c>
      <x:c r="F33" s="17" t="str">
        <x:v>비정규직</x:v>
      </x:c>
      <x:c r="G33" s="17" t="str">
        <x:v>2026-09-14</x:v>
      </x:c>
      <x:c r="H33" s="17" t="str">
        <x:v>제한경쟁·조건부</x:v>
      </x:c>
      <x:c r="I33" s="17" t="str">
        <x:v>조건 충족자만</x:v>
      </x:c>
      <x:c r="J33" s="17" t="str">
        <x:v>장애 관련 제한경쟁</x:v>
      </x:c>
      <x:c r="K33" s="17" t="str">
        <x:v>상세공고 확인</x:v>
      </x:c>
      <x:c r="L33" s="17" t="str">
        <x:v>상세공고 확인</x:v>
      </x:c>
      <x:c r="M33" s="17" t="str">
        <x:v>목록 항목 확인</x:v>
      </x:c>
      <x:c r="N33" s="17" t="str">
        <x:v>정상</x:v>
      </x:c>
      <x:c r="O33" s="18" t="str">
        <x:v>https://job.alio.go.kr/recruitview.do?idx=304406</x:v>
      </x:c>
      <x:c r="P33" s="1"/>
      <x:c r="Q33" s="1"/>
      <x:c r="R33" s="1"/>
      <x:c r="S33" s="1"/>
      <x:c r="T33" s="1"/>
      <x:c r="U33" s="1"/>
      <x:c r="V33" s="1"/>
      <x:c r="W33" s="1"/>
      <x:c r="X33" s="1"/>
      <x:c r="Y33" s="1"/>
      <x:c r="Z33" s="1"/>
    </x:row>
    <x:row r="34" ht="56" customHeight="1">
      <x:c r="A34" s="17" t="n">
        <x:v>30</x:v>
      </x:c>
      <x:c r="B34" s="17" t="str">
        <x:v>JOB-ALIO</x:v>
      </x:c>
      <x:c r="C34" s="17" t="str">
        <x:v>한국지능정보사회진흥원</x:v>
      </x:c>
      <x:c r="D34" s="17" t="str">
        <x:v>2026년 한국지능정보사회진흥원 하반기 정규직 및 무기계약직(일반직) 채용공고</x:v>
      </x:c>
      <x:c r="E34" s="17" t="str">
        <x:v>대구 외 1</x:v>
      </x:c>
      <x:c r="F34" s="17" t="str">
        <x:v>무기계약직 외 1</x:v>
      </x:c>
      <x:c r="G34" s="17" t="str">
        <x:v>2026-09-14</x:v>
      </x:c>
      <x:c r="H34" s="17" t="str">
        <x:v>무기계약·공무직</x:v>
      </x:c>
      <x:c r="I34" s="17" t="str">
        <x:v>검토</x:v>
      </x:c>
      <x:c r="J34" s="17" t="str">
        <x:v>제한 문구 미탐지</x:v>
      </x:c>
      <x:c r="K34" s="17" t="str">
        <x:v>- 블라인드 채용에 따른 학력, 전공, 성별, 어학성적 등 제한없음(단, 지원분야별 조건 상이) [NIA의 일반직 정년(만 60세)을 초과한 자는 지원 불가] - 해외여행에 결격사유가 없는 자 - 채용 즉시 근무가 가능한 자, 전일근무 가능자 - 한국지능정보사회진흥원 인사규정 제6조(결격사유)에 해당하지 않는 자 분야별 자격요건 관련 자세한 내용은 첨부파일의 채용공고문을 참조바람.</x:v>
      </x:c>
      <x:c r="L34" s="17" t="str">
        <x:v>법정취업지원가점(국가유공자 등 취업지원대상자, 등록장애인) 및 공고 참조</x:v>
      </x:c>
      <x:c r="M34" s="17" t="str">
        <x:v>상세 페이지 확인</x:v>
      </x:c>
      <x:c r="N34" s="17" t="str">
        <x:v>정상</x:v>
      </x:c>
      <x:c r="O34" s="18" t="str">
        <x:v>https://job.alio.go.kr/recruitview.do?idx=304405</x:v>
      </x:c>
      <x:c r="P34" s="1"/>
      <x:c r="Q34" s="1"/>
      <x:c r="R34" s="1"/>
      <x:c r="S34" s="1"/>
      <x:c r="T34" s="1"/>
      <x:c r="U34" s="1"/>
      <x:c r="V34" s="1"/>
      <x:c r="W34" s="1"/>
      <x:c r="X34" s="1"/>
      <x:c r="Y34" s="1"/>
      <x:c r="Z34" s="1"/>
    </x:row>
    <x:row r="35" ht="56" customHeight="1">
      <x:c r="A35" s="17" t="n">
        <x:v>31</x:v>
      </x:c>
      <x:c r="B35" s="17" t="str">
        <x:v>JOB-ALIO</x:v>
      </x:c>
      <x:c r="C35" s="17" t="str">
        <x:v>한전KDN</x:v>
      </x:c>
      <x:c r="D35" s="17" t="str">
        <x:v>한전KDN(주) 강원사업처 강릉지사 AMI분야 비정규직(장애인) 모집공고</x:v>
      </x:c>
      <x:c r="E35" s="17" t="str">
        <x:v>강원</x:v>
      </x:c>
      <x:c r="F35" s="17" t="str">
        <x:v>비정규직</x:v>
      </x:c>
      <x:c r="G35" s="17" t="str">
        <x:v>2026-09-14</x:v>
      </x:c>
      <x:c r="H35" s="17" t="str">
        <x:v>기간제·비정규</x:v>
      </x:c>
      <x:c r="I35" s="17" t="str">
        <x:v>세부조건 확인</x:v>
      </x:c>
      <x:c r="J35" s="17" t="str">
        <x:v>제한 문구 미탐지</x:v>
      </x:c>
      <x:c r="K35" s="17" t="str">
        <x:v>상세공고 확인</x:v>
      </x:c>
      <x:c r="L35" s="17" t="str">
        <x:v>상세공고 확인</x:v>
      </x:c>
      <x:c r="M35" s="17" t="str">
        <x:v>목록 항목 확인</x:v>
      </x:c>
      <x:c r="N35" s="17" t="str">
        <x:v>정상</x:v>
      </x:c>
      <x:c r="O35" s="18" t="str">
        <x:v>https://job.alio.go.kr/recruitview.do?idx=304361</x:v>
      </x:c>
      <x:c r="P35" s="1"/>
      <x:c r="Q35" s="1"/>
      <x:c r="R35" s="1"/>
      <x:c r="S35" s="1"/>
      <x:c r="T35" s="1"/>
      <x:c r="U35" s="1"/>
      <x:c r="V35" s="1"/>
      <x:c r="W35" s="1"/>
      <x:c r="X35" s="1"/>
      <x:c r="Y35" s="1"/>
      <x:c r="Z35" s="1"/>
    </x:row>
    <x:row r="36" ht="56" customHeight="1">
      <x:c r="A36" s="17" t="n">
        <x:v>32</x:v>
      </x:c>
      <x:c r="B36" s="17" t="str">
        <x:v>JOB-ALIO</x:v>
      </x:c>
      <x:c r="C36" s="17" t="str">
        <x:v>인천국제공항공사</x:v>
      </x:c>
      <x:c r="D36" s="17" t="str">
        <x:v>2026년 신입직원(일반직, 안전보안직) 채용 공고</x:v>
      </x:c>
      <x:c r="E36" s="17" t="str">
        <x:v>인천</x:v>
      </x:c>
      <x:c r="F36" s="17" t="str">
        <x:v>정규직</x:v>
      </x:c>
      <x:c r="G36" s="17" t="str">
        <x:v>2026-09-15</x:v>
      </x:c>
      <x:c r="H36" s="17" t="str">
        <x:v>제한경쟁·조건부</x:v>
      </x:c>
      <x:c r="I36" s="17" t="str">
        <x:v>조건 충족자만</x:v>
      </x:c>
      <x:c r="J36" s="17" t="str">
        <x:v>장애 관련 제한경쟁</x:v>
      </x:c>
      <x:c r="K36" s="17" t="str">
        <x:v>[공통사항] ㅇ학력, 전공, 연령, 성별, 경력 제한 없음 (단, 연령의 경우 채용예정일 기준 공사 규정에 따른 정년 이내여야 하며 안전보안직의 경우 자격기준에서 임용조건으로 규정하는 연령 경력 조건을 충족하여야 함) ㅇ공사 인사규정 제20조에 따른 임용 결격사유에 해당하지 않는 자 ㅇ최종합격자 발표 이후 즉시 근무 가능한 자 [일반직 사무 및 기술분야] ㅇ공통사항에 해당하는 응시자격을 모두 갖추고 아래의 응시 자격을 모두 충족하는 자에 한해 지원가능 (1) 남자의 경우 채용예정일 기준 군필 또는 면제자 (2) 공인어학성적 : 아래 어학성적기준 중 하나를 충족하는 자 - (영어) TOEIC 800점 이상 또는 TOEFL-IBT 91점 이상 또는 TEPS 309점 이상 - (일본어) JPT 800점 이상 - (중국어) HSK 5급 210점 이상 [일반직 전문 및 사회형평분야] ㅇ일반직 사무 및 기술에 해당하는 응시자격을 모두 갖추고 아래 자격기준에 해당하는 자 (1) 전문분야(관제) : 항공교통관제사 자격증 소지자로서 항공영어구술능력증명 4등급 이상인자 (2) 사회형평(보훈) : 보훈 관계 법령에 의한 취업지원대상자 (3) 사회형평(장애) : 장애인 고용촉진 및 직업재활법 제2조에 의한 장애인 ※ 전문분야(관제)의 경우, 1차면접 당일 유효한 항공신체검사증명서(3종)를 제출하여야 함 ※ 장애분야에 지원한 장애인의 경우 시험별로 TOEIC 650점, TOEFL-IBT 74점, TEPS 245점, JPT 650점, HSK 4급 255점 이상의 기준을 적용 ※ ‘청력을 잃은 장애의 정도가 심한 청각장애인’인 응시자의 어학성적은 붙임5 파일에 규정된 각 어학성적별 ‘어학성적 인정점수’와 ‘제출 원점수’ 중 유리한 점수 적용 [안전보안직] ㅇ공통사항에 해당하는 응시자격을 모두 갖추고 아래의 응시 자격 및 하단의 분야별 자격기준을 모두 충족하는 자에 한해 지원가능 (1)남자의 경우 채용예정일 기준 군필 또는 면제자 (2)공인어학성적 : 아래 어학성적기준 중 하나를 충족하는 자 - (영어) TOEIC 600점 이상 또는 TOEFL-IBT 68점 이상 또는 TEPS 227점 이상 - (일본어) JPT 600점 이상 - (중국어) HSK 4급 210점 이상 ※ 경력기간은 입사지원서에 기재한 직무관련 경력사항을 바탕으로 채용공고일 기준 기산 ㅇ입사지원서 접수 마감일 현재 만 18세 이상의 대한민국 국적인 자로서, 아래의 자격기준…</x:v>
      </x:c>
      <x:c r="L36" s="17" t="str">
        <x:v>(공통) 보훈, 저소득/한부모가정, 다문화가정, 북한이탈주민, 자립준비청년 (일반직) 직무자격증 보유자, 어학스피킹 성적 보유자, 우리공사 우수인턴, 우리공사 장애인턴, 비수도권 지역인재</x:v>
      </x:c>
      <x:c r="M36" s="17" t="str">
        <x:v>상세 페이지 확인</x:v>
      </x:c>
      <x:c r="N36" s="17" t="str">
        <x:v>정상</x:v>
      </x:c>
      <x:c r="O36" s="18" t="str">
        <x:v>https://job.alio.go.kr/recruitview.do?idx=304492</x:v>
      </x:c>
      <x:c r="P36" s="1"/>
      <x:c r="Q36" s="1"/>
      <x:c r="R36" s="1"/>
      <x:c r="S36" s="1"/>
      <x:c r="T36" s="1"/>
      <x:c r="U36" s="1"/>
      <x:c r="V36" s="1"/>
      <x:c r="W36" s="1"/>
      <x:c r="X36" s="1"/>
      <x:c r="Y36" s="1"/>
      <x:c r="Z36" s="1"/>
    </x:row>
    <x:row r="37" ht="56" customHeight="1">
      <x:c r="A37" s="17" t="n">
        <x:v>33</x:v>
      </x:c>
      <x:c r="B37" s="17" t="str">
        <x:v>JOB-ALIO</x:v>
      </x:c>
      <x:c r="C37" s="17" t="str">
        <x:v>주택관리공단(주)</x:v>
      </x:c>
      <x:c r="D37" s="17" t="str">
        <x:v>채용형 인턴 채용공고(주택관리공단 경기북부지사)</x:v>
      </x:c>
      <x:c r="E37" s="17" t="str">
        <x:v>경기</x:v>
      </x:c>
      <x:c r="F37" s="17" t="str">
        <x:v>청년인턴(채용형)</x:v>
      </x:c>
      <x:c r="G37" s="17" t="str">
        <x:v>2026-09-15</x:v>
      </x:c>
      <x:c r="H37" s="17" t="str">
        <x:v>신입·채용형 인턴</x:v>
      </x:c>
      <x:c r="I37" s="17" t="str">
        <x:v>우선검토</x:v>
      </x:c>
      <x:c r="J37" s="17" t="str">
        <x:v>제한 문구 미탐지</x:v>
      </x:c>
      <x:c r="K37" s="17" t="str">
        <x:v>○ 응시자격 · 학력, 어학, 성별, 연령 : 제한없음 · 병역 : ?병역법? 제76조에서 정한 병역의무 불이행 사실이 없는 자 * 단, 최종 합격자 발표일까지 전역예정자로서 전형절차에 응시 가능자 지원 가능 · 기타 : 공단 직원채용 결격사유에 해당되지 않는 자</x:v>
      </x:c>
      <x:c r="L37" s="17" t="str">
        <x:v>장애인,국민기초생활보장 수급자, 공동주택관리 기술업무 수행에 필요한 자격증 소지자</x:v>
      </x:c>
      <x:c r="M37" s="17" t="str">
        <x:v>상세 페이지 확인</x:v>
      </x:c>
      <x:c r="N37" s="17" t="str">
        <x:v>정상</x:v>
      </x:c>
      <x:c r="O37" s="18" t="str">
        <x:v>https://job.alio.go.kr/recruitview.do?idx=304739</x:v>
      </x:c>
      <x:c r="P37" s="1"/>
      <x:c r="Q37" s="1"/>
      <x:c r="R37" s="1"/>
      <x:c r="S37" s="1"/>
      <x:c r="T37" s="1"/>
      <x:c r="U37" s="1"/>
      <x:c r="V37" s="1"/>
      <x:c r="W37" s="1"/>
      <x:c r="X37" s="1"/>
      <x:c r="Y37" s="1"/>
      <x:c r="Z37" s="1"/>
    </x:row>
    <x:row r="38" ht="56" customHeight="1">
      <x:c r="A38" s="17" t="n">
        <x:v>34</x:v>
      </x:c>
      <x:c r="B38" s="17" t="str">
        <x:v>JOB-ALIO</x:v>
      </x:c>
      <x:c r="C38" s="17" t="str">
        <x:v>한국가스공사</x:v>
      </x:c>
      <x:c r="D38" s="17" t="str">
        <x:v>2026년 하반기 일반직(신입, 경력), 연구직 및 별정직 채용공고</x:v>
      </x:c>
      <x:c r="E38" s="17" t="str">
        <x:v>서울 외 14</x:v>
      </x:c>
      <x:c r="F38" s="17" t="str">
        <x:v>정규직</x:v>
      </x:c>
      <x:c r="G38" s="17" t="str">
        <x:v>2026-09-15</x:v>
      </x:c>
      <x:c r="H38" s="17" t="str">
        <x:v>제한경쟁·조건부</x:v>
      </x:c>
      <x:c r="I38" s="17" t="str">
        <x:v>조건 충족자만</x:v>
      </x:c>
      <x:c r="J38" s="17" t="str">
        <x:v>장애 관련 제한경쟁</x:v>
      </x:c>
      <x:c r="K38" s="17" t="str">
        <x:v>&lt;일반직 신입&gt; □ 학력, 전공, 연령 제한 없음(단, 공사 임금피크제도에 따라 만 58세 미만인 자), 유효 어학성적 보유자 □ 『병역법』제76조에서 정한 병역의무 불이행 사실이 없는 자에 한함 &lt;일반직 사회형평(장애)&gt; □ 학력, 전공, 연령 제한 없음(단, 공사 임금피크제도에 따라 만 58세 미만인 자), 유효 어학성적 보유자 □ 장애인고용촉진 및 직업재활법 시행령에 따른 장애인 기준에 해당하는 자 □ 『병역법』제76조에서 정한 병역의무 불이행 사실이 없는 자에 한함 &lt;일반직 사회형평(보훈)&gt; □ 학력, 전공, 연령 제한 없음(단, 공사 임금피크제도에 따라 만 58세 미만인 자), 유효 어학성적 보유자 □ 국가유공자법에 따른 취업지원대상자 □ 『병역법』제76조에서 정한 병역의무 불이행 사실이 없는 자에 한함 &lt;일반직 경력&gt; □ 학력, 전공, 연령 제한없음(단, 공사 임금피크제도에 따라 만 58세 미만인 자), 관련 자격 및 경력 보유자(상세내역은 공고문 참조) □ 『병역법』제76조에서 정한 병역의무 불이행 사실이 없는 자에 한함 &lt;연구직&gt; □ 연령 제한없음(단, 공사 임금피크제도에 따라 만 58세 미만인 자), 유효 어학성적 보유자, 관련 학위 보유자(상세내역은 공고문 참조) □ 『병역법』제76조에서 정한 병역의무 불이행 사실이 없는 자에 한함 &lt;별정직&gt; □ 학력, 전공, 연령 제한없음(단, 공사 임금피크제도에 따라 만 58세 미만인 자), 관련 자격 및 경력 보유자(상세내역은 공고문 참조) □ 『병역법』제76조에서 정한 병역의무 불이행 사실이 없는 자에 한함 ○ 보다 자세한 사항은 첨부파일의 공고문을 참조</x:v>
      </x:c>
      <x:c r="L38" s="17" t="str">
        <x:v>하단 우대 내용 참조</x:v>
      </x:c>
      <x:c r="M38" s="17" t="str">
        <x:v>상세 페이지 확인</x:v>
      </x:c>
      <x:c r="N38" s="17" t="str">
        <x:v>정상</x:v>
      </x:c>
      <x:c r="O38" s="18" t="str">
        <x:v>https://job.alio.go.kr/recruitview.do?idx=304489</x:v>
      </x:c>
      <x:c r="P38" s="1"/>
      <x:c r="Q38" s="1"/>
      <x:c r="R38" s="1"/>
      <x:c r="S38" s="1"/>
      <x:c r="T38" s="1"/>
      <x:c r="U38" s="1"/>
      <x:c r="V38" s="1"/>
      <x:c r="W38" s="1"/>
      <x:c r="X38" s="1"/>
      <x:c r="Y38" s="1"/>
      <x:c r="Z38" s="1"/>
    </x:row>
    <x:row r="39" ht="56" customHeight="1">
      <x:c r="A39" s="17" t="n">
        <x:v>35</x:v>
      </x:c>
      <x:c r="B39" s="17" t="str">
        <x:v>JOB-ALIO</x:v>
      </x:c>
      <x:c r="C39" s="17" t="str">
        <x:v>한국로봇산업진흥원</x:v>
      </x:c>
      <x:c r="D39" s="17" t="str">
        <x:v>2026년 제2차 한국로봇산업진흥원 신규직원 채용</x:v>
      </x:c>
      <x:c r="E39" s="17" t="str">
        <x:v>대구</x:v>
      </x:c>
      <x:c r="F39" s="17" t="str">
        <x:v>무기계약직 외 3</x:v>
      </x:c>
      <x:c r="G39" s="17" t="str">
        <x:v>2026-09-15</x:v>
      </x:c>
      <x:c r="H39" s="17" t="str">
        <x:v>무기계약·공무직</x:v>
      </x:c>
      <x:c r="I39" s="17" t="str">
        <x:v>검토</x:v>
      </x:c>
      <x:c r="J39" s="17" t="str">
        <x:v>제한 문구 미탐지</x:v>
      </x:c>
      <x:c r="K39" s="17" t="str">
        <x:v>ㅇ 학력 : 무관 ㅇ 전공 : 무관 ㅇ 경력 : 무관 ㅇ 연령 : 진흥원의 정년에 의거 만 60세 미만인 자 - 상근계약직(공무직) 경비의 경우 만 65세 미만인 자 ㅇ 병역 : 군필 또는 면제자(현역의 경우 최종합격자 발표일 이전에 전역 가능한 자)</x:v>
      </x:c>
      <x:c r="L39" s="17" t="str">
        <x:v>장애인, 취업지원대상자, 저소득층, 다문화가족, 북한이탈주민, 경력단절여성, 비수도권 지역인재 등</x:v>
      </x:c>
      <x:c r="M39" s="17" t="str">
        <x:v>상세 페이지 확인</x:v>
      </x:c>
      <x:c r="N39" s="17" t="str">
        <x:v>정상</x:v>
      </x:c>
      <x:c r="O39" s="18" t="str">
        <x:v>https://job.alio.go.kr/recruitview.do?idx=304439</x:v>
      </x:c>
      <x:c r="P39" s="1"/>
      <x:c r="Q39" s="1"/>
      <x:c r="R39" s="1"/>
      <x:c r="S39" s="1"/>
      <x:c r="T39" s="1"/>
      <x:c r="U39" s="1"/>
      <x:c r="V39" s="1"/>
      <x:c r="W39" s="1"/>
      <x:c r="X39" s="1"/>
      <x:c r="Y39" s="1"/>
      <x:c r="Z39" s="1"/>
    </x:row>
    <x:row r="40" ht="56" customHeight="1">
      <x:c r="A40" s="17" t="n">
        <x:v>36</x:v>
      </x:c>
      <x:c r="B40" s="17" t="str">
        <x:v>JOB-ALIO</x:v>
      </x:c>
      <x:c r="C40" s="17" t="str">
        <x:v>한국전력기술주식회사</x:v>
      </x:c>
      <x:c r="D40" s="17" t="str">
        <x:v>2026년도 장애인 별도직무(DDCC 문서관리) 기간제 근로자 채용공고</x:v>
      </x:c>
      <x:c r="E40" s="17" t="str">
        <x:v>경북</x:v>
      </x:c>
      <x:c r="F40" s="17" t="str">
        <x:v>비정규직</x:v>
      </x:c>
      <x:c r="G40" s="17" t="str">
        <x:v>2026-09-15</x:v>
      </x:c>
      <x:c r="H40" s="17" t="str">
        <x:v>기간제·비정규</x:v>
      </x:c>
      <x:c r="I40" s="17" t="str">
        <x:v>세부조건 확인</x:v>
      </x:c>
      <x:c r="J40" s="17" t="str">
        <x:v>제한 문구 미탐지</x:v>
      </x:c>
      <x:c r="K40" s="17" t="str">
        <x:v>상세공고 확인</x:v>
      </x:c>
      <x:c r="L40" s="17" t="str">
        <x:v>상세공고 확인</x:v>
      </x:c>
      <x:c r="M40" s="17" t="str">
        <x:v>목록 항목 확인</x:v>
      </x:c>
      <x:c r="N40" s="17" t="str">
        <x:v>정상</x:v>
      </x:c>
      <x:c r="O40" s="18" t="str">
        <x:v>https://job.alio.go.kr/recruitview.do?idx=304416</x:v>
      </x:c>
      <x:c r="P40" s="1"/>
      <x:c r="Q40" s="1"/>
      <x:c r="R40" s="1"/>
      <x:c r="S40" s="1"/>
      <x:c r="T40" s="1"/>
      <x:c r="U40" s="1"/>
      <x:c r="V40" s="1"/>
      <x:c r="W40" s="1"/>
      <x:c r="X40" s="1"/>
      <x:c r="Y40" s="1"/>
      <x:c r="Z40" s="1"/>
    </x:row>
    <x:row r="41" ht="56" customHeight="1">
      <x:c r="A41" s="17" t="n">
        <x:v>37</x:v>
      </x:c>
      <x:c r="B41" s="17" t="str">
        <x:v>JOB-ALIO</x:v>
      </x:c>
      <x:c r="C41" s="17" t="str">
        <x:v>한국해양진흥공사</x:v>
      </x:c>
      <x:c r="D41" s="17" t="str">
        <x:v>한국해양진흥공사 하반기 정규직(신입사원) 채용</x:v>
      </x:c>
      <x:c r="E41" s="17" t="str">
        <x:v>부산</x:v>
      </x:c>
      <x:c r="F41" s="17" t="str">
        <x:v>정규직</x:v>
      </x:c>
      <x:c r="G41" s="17" t="str">
        <x:v>2026-09-15</x:v>
      </x:c>
      <x:c r="H41" s="17" t="str">
        <x:v>제한경쟁·조건부</x:v>
      </x:c>
      <x:c r="I41" s="17" t="str">
        <x:v>조건 충족자만</x:v>
      </x:c>
      <x:c r="J41" s="17" t="str">
        <x:v>보훈 관련 제한경쟁</x:v>
      </x:c>
      <x:c r="K41" s="17" t="str">
        <x:v>(공통자격) · 성별·연령별 제한 없음(단, 임용예정일 기준 공사 정년(만60세) 미만인자) · 남성의 경우 병역필 또는 면제자 · 「국가공무원법」 제33조 각 호의 어느 하나에 해당하지 않는 자 · 한국해양진흥공사 「인사규정」 제7조(결격사유)에 해당되지 않는 자 · 해외여행에 결격사유가 없으며, 채용 확정 후 즉시 업무 종사가 가능한 자 · 일정 수준의 어학능력 보유자 - TOEIC 700점 이상, NEW TEPS 340점 이상, TOEFL iBT 79점 이상, TOEIC-S IM2 이상, IELTS 5.5 이상, 오픽(영어) IM2 중 하나에 해당하는 자 (채용분야별 자격기준) 1. 일반(공통) 및 정보기술(IT) · 공통자격 기준을 모두 충족하는 자 · 경력 무관. 단, 일정 수준의 어학능력 보유자 2. 일반(보훈) · 공통자격 기준을 모두 충족하는 자 · 경력 무관. 단, 일정 수준의 어학능력 보유자 · 취업지원대상자에 해당하는 자(증명서 발급이 가능한 자)</x:v>
      </x:c>
      <x:c r="L41" s="17" t="str">
        <x:v>취업지원대상자, 등록장애인, 기초생활수급자 및 차상위계층, 북한이탈주민, 다문화가족구성원, 자립준비청년(보호종료아동), 비수도권지역인재, 경력단절여성, 전문자격증 소지자, 우수인턴</x:v>
      </x:c>
      <x:c r="M41" s="17" t="str">
        <x:v>상세 페이지 확인</x:v>
      </x:c>
      <x:c r="N41" s="17" t="str">
        <x:v>정상</x:v>
      </x:c>
      <x:c r="O41" s="18" t="str">
        <x:v>https://job.alio.go.kr/recruitview.do?idx=304450</x:v>
      </x:c>
      <x:c r="P41" s="1"/>
      <x:c r="Q41" s="1"/>
      <x:c r="R41" s="1"/>
      <x:c r="S41" s="1"/>
      <x:c r="T41" s="1"/>
      <x:c r="U41" s="1"/>
      <x:c r="V41" s="1"/>
      <x:c r="W41" s="1"/>
      <x:c r="X41" s="1"/>
      <x:c r="Y41" s="1"/>
      <x:c r="Z41" s="1"/>
    </x:row>
    <x:row r="42" ht="56" customHeight="1">
      <x:c r="A42" s="17" t="n">
        <x:v>38</x:v>
      </x:c>
      <x:c r="B42" s="17" t="str">
        <x:v>JOB-ALIO</x:v>
      </x:c>
      <x:c r="C42" s="17" t="str">
        <x:v>경북대학교병원</x:v>
      </x:c>
      <x:c r="D42" s="17" t="str">
        <x:v>2026년 제4차 정규직 공개채용 공고</x:v>
      </x:c>
      <x:c r="E42" s="17" t="str">
        <x:v>대구</x:v>
      </x:c>
      <x:c r="F42" s="17" t="str">
        <x:v>정규직</x:v>
      </x:c>
      <x:c r="G42" s="17" t="str">
        <x:v>2026-09-16</x:v>
      </x:c>
      <x:c r="H42" s="17" t="str">
        <x:v>정규직(세부 확인)</x:v>
      </x:c>
      <x:c r="I42" s="17" t="str">
        <x:v>검토</x:v>
      </x:c>
      <x:c r="J42" s="17" t="str">
        <x:v>제한 문구 미탐지</x:v>
      </x:c>
      <x:c r="K42" s="17" t="str">
        <x:v>○ 행정직(법무), 별정직, 의료기술직, 시설기술직, 원무직, 간호조무직, 운영지원직 : 직무별 해당자격 소지자(세부사항 공고문 참조)</x:v>
      </x:c>
      <x:c r="L42" s="17" t="str">
        <x:v>취업지원대상자, 장애인, 공고문 상 우대자격 소지자 등(세부사항 공고문 참조)</x:v>
      </x:c>
      <x:c r="M42" s="17" t="str">
        <x:v>상세 페이지 확인</x:v>
      </x:c>
      <x:c r="N42" s="17" t="str">
        <x:v>정상</x:v>
      </x:c>
      <x:c r="O42" s="18" t="str">
        <x:v>https://job.alio.go.kr/recruitview.do?idx=304548</x:v>
      </x:c>
      <x:c r="P42" s="1"/>
      <x:c r="Q42" s="1"/>
      <x:c r="R42" s="1"/>
      <x:c r="S42" s="1"/>
      <x:c r="T42" s="1"/>
      <x:c r="U42" s="1"/>
      <x:c r="V42" s="1"/>
      <x:c r="W42" s="1"/>
      <x:c r="X42" s="1"/>
      <x:c r="Y42" s="1"/>
      <x:c r="Z42" s="1"/>
    </x:row>
    <x:row r="43" ht="56" customHeight="1">
      <x:c r="A43" s="17" t="n">
        <x:v>39</x:v>
      </x:c>
      <x:c r="B43" s="17" t="str">
        <x:v>JOB-ALIO</x:v>
      </x:c>
      <x:c r="C43" s="17" t="str">
        <x:v>한국마사회</x:v>
      </x:c>
      <x:c r="D43" s="17" t="str">
        <x:v>2026년 제2차 한국마사회 체험형 청년인턴 채용공고(장애인, 사회형평, 말산업 전문)</x:v>
      </x:c>
      <x:c r="E43" s="17" t="str">
        <x:v>부산 외 2</x:v>
      </x:c>
      <x:c r="F43" s="17" t="str">
        <x:v>청년인턴(체험형)</x:v>
      </x:c>
      <x:c r="G43" s="17" t="str">
        <x:v>2026-09-16</x:v>
      </x:c>
      <x:c r="H43" s="17" t="str">
        <x:v>체험형·청년인턴</x:v>
      </x:c>
      <x:c r="I43" s="17" t="str">
        <x:v>세부조건 확인</x:v>
      </x:c>
      <x:c r="J43" s="17" t="str">
        <x:v>제한 문구 미탐지</x:v>
      </x:c>
      <x:c r="K43" s="17" t="str">
        <x:v>상세공고 확인</x:v>
      </x:c>
      <x:c r="L43" s="17" t="str">
        <x:v>상세공고 확인</x:v>
      </x:c>
      <x:c r="M43" s="17" t="str">
        <x:v>목록 항목 확인</x:v>
      </x:c>
      <x:c r="N43" s="17" t="str">
        <x:v>정상</x:v>
      </x:c>
      <x:c r="O43" s="18" t="str">
        <x:v>https://job.alio.go.kr/recruitview.do?idx=304403</x:v>
      </x:c>
      <x:c r="P43" s="1"/>
      <x:c r="Q43" s="1"/>
      <x:c r="R43" s="1"/>
      <x:c r="S43" s="1"/>
      <x:c r="T43" s="1"/>
      <x:c r="U43" s="1"/>
      <x:c r="V43" s="1"/>
      <x:c r="W43" s="1"/>
      <x:c r="X43" s="1"/>
      <x:c r="Y43" s="1"/>
      <x:c r="Z43" s="1"/>
    </x:row>
    <x:row r="44" ht="56" customHeight="1">
      <x:c r="A44" s="17" t="n">
        <x:v>40</x:v>
      </x:c>
      <x:c r="B44" s="17" t="str">
        <x:v>JOB-ALIO</x:v>
      </x:c>
      <x:c r="C44" s="17" t="str">
        <x:v>한국전력공사</x:v>
      </x:c>
      <x:c r="D44" s="17" t="str">
        <x:v>2026년도 하반기 4직급 대졸수준 신입사원 채용공고</x:v>
      </x:c>
      <x:c r="E44" s="17" t="str">
        <x:v>서울 외 15</x:v>
      </x:c>
      <x:c r="F44" s="17" t="str">
        <x:v>정규직</x:v>
      </x:c>
      <x:c r="G44" s="17" t="str">
        <x:v>2026-09-16</x:v>
      </x:c>
      <x:c r="H44" s="17" t="str">
        <x:v>신입·정규직</x:v>
      </x:c>
      <x:c r="I44" s="17" t="str">
        <x:v>우선검토</x:v>
      </x:c>
      <x:c r="J44" s="17" t="str">
        <x:v>제한 문구 미탐지</x:v>
      </x:c>
      <x:c r="K44" s="17" t="str">
        <x:v>1. 학력·전공 ○ 사무 : 제한 없음 ○ 기술 : 해당분야 전공자 또는 관련분야 자격증 보유자 2. 외국어 ○ 영어, 일어, 중국어 700점 이상 (TOEIC 기준) ○ 유효성적 : '24. 11. 28.부터 응시하고 접수 마감일까지 발표한 국내 정기시험 성적만 인정 (단, TOEIC, TOEIC-S, OPIc, TEPS, TEPS-S, JPT, HSK는 국가공무원 채용시스템에 등록된 어학성적에 한하여 유효기간을 시험의 실시연도 +5년까지 인정) ○ 고급자격증 보유자는 외국어 성적 면제 ○ 해외학위자도 국내 외국어 유효성적을 보유해야 지원 가능 3. 연령 : 제한없음(단, 공사 정년(60세)에 도달한 자는 지원불가) 4. 병역 : 병역법 제76조에서 정한 병역의무 불이행 사실이 없는 자 5. 기타 ○ 당사 인사관리규정 제11조 신규채용자의 결격사유가 없는 자 ○ 지원서 접수마감일 현재 한전 4직급 직원으로 재직 중이지 않은 자(단, 상위 채용수준으로는 지원가능) ○ 입사일부터 근무 가능한 자 ○ 전국권(이전지역인재) 지원시 전남광주 소재 학교(대학까지의 최종학력 기준, 대학원 이상 제외) 졸업(예정)·중퇴·재학·휴학중인 자만 지원 가능 ○ 보훈 분야는 「국가유공자법」에서 정한 취업지원대상자만 지원 가능 ○ 장애인 분야(사무)는 「장애인고용법」에서 정한 장애인만 지원 가능 ※ 자세한 사항은 첨부파일의 공고문 참조</x:v>
      </x:c>
      <x:c r="L44" s="17" t="str">
        <x:v>취업지원대상자, 장애인, 고급자격증 보유자, 한전전기공학 장학생(배전, 송변전 분야에 한함), 비수도권 및 본사 이전지역인재, 한전 장애인 인턴(장애인 제한경쟁에 한함), 양성평등, 한전 체험형인턴, 기초생활수급자, 한전 기간제 근로자, 한전 시간선택제 근로자, KEPCO 프렌즈 우수활동자(舊대학생 서포터즈), 전력데이터 활용 신서비스 개발 경진대회 입상자, 한전 발명기술혁신대전 입상자, 한전 청년청렴 Auditor 우수활동자, 북한이탈주민, 다문화가족, 자립준비청년 등 ※ 자세한 사항은 첨부파일의 공고문 참조</x:v>
      </x:c>
      <x:c r="M44" s="17" t="str">
        <x:v>상세 페이지 확인</x:v>
      </x:c>
      <x:c r="N44" s="17" t="str">
        <x:v>정상</x:v>
      </x:c>
      <x:c r="O44" s="18" t="str">
        <x:v>https://job.alio.go.kr/recruitview.do?idx=304551</x:v>
      </x:c>
      <x:c r="P44" s="1"/>
      <x:c r="Q44" s="1"/>
      <x:c r="R44" s="1"/>
      <x:c r="S44" s="1"/>
      <x:c r="T44" s="1"/>
      <x:c r="U44" s="1"/>
      <x:c r="V44" s="1"/>
      <x:c r="W44" s="1"/>
      <x:c r="X44" s="1"/>
      <x:c r="Y44" s="1"/>
      <x:c r="Z44" s="1"/>
    </x:row>
    <x:row r="45" ht="56" customHeight="1">
      <x:c r="A45" s="17" t="n">
        <x:v>41</x:v>
      </x:c>
      <x:c r="B45" s="17" t="str">
        <x:v>Cleaneye Job+</x:v>
      </x:c>
      <x:c r="C45" s="17" t="str">
        <x:v>경기주택도시공사</x:v>
      </x:c>
      <x:c r="D45" s="17" t="str">
        <x:v>2026년 하반기 경기주택도시공사 장애인 청년인턴사원 공개채용 공고</x:v>
      </x:c>
      <x:c r="E45" s="17" t="str">
        <x:v>경기도</x:v>
      </x:c>
      <x:c r="F45" s="17" t="str">
        <x:v>인턴</x:v>
      </x:c>
      <x:c r="G45" s="17" t="str">
        <x:v>2026-09-17</x:v>
      </x:c>
      <x:c r="H45" s="17" t="str">
        <x:v>체험형·청년인턴</x:v>
      </x:c>
      <x:c r="I45" s="17" t="str">
        <x:v>검토</x:v>
      </x:c>
      <x:c r="J45" s="17" t="str">
        <x:v>제한 문구 미탐지</x:v>
      </x:c>
      <x:c r="K45" s="17" t="str">
        <x:v>기관 공고 원문 확인</x:v>
      </x:c>
      <x:c r="L45" s="17" t="str">
        <x:v>기관 공고 원문 확인</x:v>
      </x:c>
      <x:c r="M45" s="17" t="str">
        <x:v>포털 목록 확인</x:v>
      </x:c>
      <x:c r="N45" s="17" t="str">
        <x:v>정상</x:v>
      </x:c>
      <x:c r="O45" s="18" t="str">
        <x:v>https://job.cleaneye.go.kr/user/ypRecruitment.do</x:v>
      </x:c>
      <x:c r="P45" s="1"/>
      <x:c r="Q45" s="1"/>
      <x:c r="R45" s="1"/>
      <x:c r="S45" s="1"/>
      <x:c r="T45" s="1"/>
      <x:c r="U45" s="1"/>
      <x:c r="V45" s="1"/>
      <x:c r="W45" s="1"/>
      <x:c r="X45" s="1"/>
      <x:c r="Y45" s="1"/>
      <x:c r="Z45" s="1"/>
    </x:row>
    <x:row r="46" ht="56" customHeight="1">
      <x:c r="A46" s="17" t="n">
        <x:v>42</x:v>
      </x:c>
      <x:c r="B46" s="17" t="str">
        <x:v>JOB-ALIO</x:v>
      </x:c>
      <x:c r="C46" s="17" t="str">
        <x:v>부산항만공사</x:v>
      </x:c>
      <x:c r="D46" s="17" t="str">
        <x:v>부산항만공사 정규직(신입) 채용 공고</x:v>
      </x:c>
      <x:c r="E46" s="17" t="str">
        <x:v>부산</x:v>
      </x:c>
      <x:c r="F46" s="17" t="str">
        <x:v>정규직</x:v>
      </x:c>
      <x:c r="G46" s="17" t="str">
        <x:v>2026-09-17</x:v>
      </x:c>
      <x:c r="H46" s="17" t="str">
        <x:v>신입·정규직</x:v>
      </x:c>
      <x:c r="I46" s="17" t="str">
        <x:v>우선검토</x:v>
      </x:c>
      <x:c r="J46" s="17" t="str">
        <x:v>제한 문구 미탐지</x:v>
      </x:c>
      <x:c r="K46" s="17" t="str">
        <x:v>[공통] ○ 블라인드 채용 가이드라인에 따라 학력ㆍ성별ㆍ전공 등 제한 없음- 단, 임용예정일(2026.11.30.) 기준 공사 정년(60세) 미만인 자 ○ 남성의 경우 병역필 또는 면제자- 고졸 분야 지원 시 병역 미필자 가능, 현역인 경우 최종합격자 발표일 이전 전역 가능한 자 ○ 부산항만공사 취업규칙 제9조 등에 따른 채용 결격사유가 없는 자 ○ 임용 즉시 근무 가능한 자 ○ 모집분야별 중복지원 불가 및 중복지원 시 불합격 처리 ○ [한국사] 국사편찬위원회 한국사능력검정시험 3급 이상 합격자- 유효기간 해당사항 없음 [사무(일반, 취업지원), 기술(토목,건축)] 공인 영어성적 기준 점수(TOEIC 기준 700점 등) 이상인 자 [사무] ㅇ 사무(고졸) : 최종학력이 고등학교 졸업 또는 졸업예정인 자, 공고마감일(2026.9.17.) 기준 고졸 검정고시 합격일로부터 1년이 경과하지 않은 자 ㅇ 사무(취업지원) : 「국가유공자 등 예우 및 지원에 관한 법률」 등 보훈관계법률에 의한 취업지원(보호) 대상자 [기술] ㅇ 기술(토목) : 「국가기술자격법」에서 정하는 토목산업기사 이상 자격증 보유자 ㅇ 기술(건축) : 「국가기술자격법」에서 정하는 건축산업기사 이상 자격증 보유자</x:v>
      </x:c>
      <x:c r="L46" s="17" t="str">
        <x:v>취업지원대상자, 장애인, 중증장애인, 저소득층, 다문화가족, 북한이탈주민, 자립준비청년, 우수인턴</x:v>
      </x:c>
      <x:c r="M46" s="17" t="str">
        <x:v>상세 페이지 확인</x:v>
      </x:c>
      <x:c r="N46" s="17" t="str">
        <x:v>정상</x:v>
      </x:c>
      <x:c r="O46" s="18" t="str">
        <x:v>https://job.alio.go.kr/recruitview.do?idx=304555</x:v>
      </x:c>
      <x:c r="P46" s="1"/>
      <x:c r="Q46" s="1"/>
      <x:c r="R46" s="1"/>
      <x:c r="S46" s="1"/>
      <x:c r="T46" s="1"/>
      <x:c r="U46" s="1"/>
      <x:c r="V46" s="1"/>
      <x:c r="W46" s="1"/>
      <x:c r="X46" s="1"/>
      <x:c r="Y46" s="1"/>
      <x:c r="Z46" s="1"/>
    </x:row>
    <x:row r="47" ht="56" customHeight="1">
      <x:c r="A47" s="17" t="n">
        <x:v>43</x:v>
      </x:c>
      <x:c r="B47" s="17" t="str">
        <x:v>JOB-ALIO</x:v>
      </x:c>
      <x:c r="C47" s="17" t="str">
        <x:v>한국보훈복지의료공단</x:v>
      </x:c>
      <x:c r="D47" s="17" t="str">
        <x:v>[원주보훈요양원] 2026년 제2차 체험형 청년인턴(장애인) 채용</x:v>
      </x:c>
      <x:c r="E47" s="17" t="str">
        <x:v>강원</x:v>
      </x:c>
      <x:c r="F47" s="17" t="str">
        <x:v>청년인턴(체험형)</x:v>
      </x:c>
      <x:c r="G47" s="17" t="str">
        <x:v>2026-09-17</x:v>
      </x:c>
      <x:c r="H47" s="17" t="str">
        <x:v>체험형·청년인턴</x:v>
      </x:c>
      <x:c r="I47" s="17" t="str">
        <x:v>세부조건 확인</x:v>
      </x:c>
      <x:c r="J47" s="17" t="str">
        <x:v>제한 문구 미탐지</x:v>
      </x:c>
      <x:c r="K47" s="17" t="str">
        <x:v>상세공고 확인</x:v>
      </x:c>
      <x:c r="L47" s="17" t="str">
        <x:v>상세공고 확인</x:v>
      </x:c>
      <x:c r="M47" s="17" t="str">
        <x:v>목록 항목 확인</x:v>
      </x:c>
      <x:c r="N47" s="17" t="str">
        <x:v>정상</x:v>
      </x:c>
      <x:c r="O47" s="18" t="str">
        <x:v>https://job.alio.go.kr/recruitview.do?idx=304546</x:v>
      </x:c>
      <x:c r="P47" s="1"/>
      <x:c r="Q47" s="1"/>
      <x:c r="R47" s="1"/>
      <x:c r="S47" s="1"/>
      <x:c r="T47" s="1"/>
      <x:c r="U47" s="1"/>
      <x:c r="V47" s="1"/>
      <x:c r="W47" s="1"/>
      <x:c r="X47" s="1"/>
      <x:c r="Y47" s="1"/>
      <x:c r="Z47" s="1"/>
    </x:row>
    <x:row r="48" ht="56" customHeight="1">
      <x:c r="A48" s="17" t="n">
        <x:v>44</x:v>
      </x:c>
      <x:c r="B48" s="17" t="str">
        <x:v>JOB-ALIO</x:v>
      </x:c>
      <x:c r="C48" s="17" t="str">
        <x:v>한국장애인개발원</x:v>
      </x:c>
      <x:c r="D48" s="17" t="str">
        <x:v>[제2026-95호]2026년도 직업재활부(사업평가팀) 사회형평적(장애인) 청년인턴 채용 공고</x:v>
      </x:c>
      <x:c r="E48" s="17" t="str">
        <x:v>서울</x:v>
      </x:c>
      <x:c r="F48" s="17" t="str">
        <x:v>청년인턴(체험형)</x:v>
      </x:c>
      <x:c r="G48" s="17" t="str">
        <x:v>2026-09-17</x:v>
      </x:c>
      <x:c r="H48" s="17" t="str">
        <x:v>체험형·청년인턴</x:v>
      </x:c>
      <x:c r="I48" s="17" t="str">
        <x:v>세부조건 확인</x:v>
      </x:c>
      <x:c r="J48" s="17" t="str">
        <x:v>제한 문구 미탐지</x:v>
      </x:c>
      <x:c r="K48" s="17" t="str">
        <x:v>상세공고 확인</x:v>
      </x:c>
      <x:c r="L48" s="17" t="str">
        <x:v>상세공고 확인</x:v>
      </x:c>
      <x:c r="M48" s="17" t="str">
        <x:v>목록 항목 확인</x:v>
      </x:c>
      <x:c r="N48" s="17" t="str">
        <x:v>정상</x:v>
      </x:c>
      <x:c r="O48" s="18" t="str">
        <x:v>https://job.alio.go.kr/recruitview.do?idx=304570</x:v>
      </x:c>
      <x:c r="P48" s="1"/>
      <x:c r="Q48" s="1"/>
      <x:c r="R48" s="1"/>
      <x:c r="S48" s="1"/>
      <x:c r="T48" s="1"/>
      <x:c r="U48" s="1"/>
      <x:c r="V48" s="1"/>
      <x:c r="W48" s="1"/>
      <x:c r="X48" s="1"/>
      <x:c r="Y48" s="1"/>
      <x:c r="Z48" s="1"/>
    </x:row>
    <x:row r="49" ht="56" customHeight="1">
      <x:c r="A49" s="17" t="n">
        <x:v>45</x:v>
      </x:c>
      <x:c r="B49" s="17" t="str">
        <x:v>Cleaneye Job+</x:v>
      </x:c>
      <x:c r="C49" s="17" t="str">
        <x:v>경기연구원</x:v>
      </x:c>
      <x:c r="D49" s="17" t="str">
        <x:v>경기연구원 계약직 행정원 모집(단시간근로자/장애인 제한)</x:v>
      </x:c>
      <x:c r="E49" s="17" t="str">
        <x:v>경기도</x:v>
      </x:c>
      <x:c r="F49" s="17" t="str">
        <x:v>일반계약직</x:v>
      </x:c>
      <x:c r="G49" s="17" t="str">
        <x:v>2026-09-18</x:v>
      </x:c>
      <x:c r="H49" s="17" t="str">
        <x:v>제한경쟁·조건부</x:v>
      </x:c>
      <x:c r="I49" s="17" t="str">
        <x:v>조건 충족자만</x:v>
      </x:c>
      <x:c r="J49" s="17" t="str">
        <x:v>장애 관련 제한경쟁</x:v>
      </x:c>
      <x:c r="K49" s="17" t="str">
        <x:v>기관 공고 원문 확인</x:v>
      </x:c>
      <x:c r="L49" s="17" t="str">
        <x:v>기관 공고 원문 확인</x:v>
      </x:c>
      <x:c r="M49" s="17" t="str">
        <x:v>포털 목록 확인</x:v>
      </x:c>
      <x:c r="N49" s="17" t="str">
        <x:v>정상</x:v>
      </x:c>
      <x:c r="O49" s="18" t="str">
        <x:v>https://job.cleaneye.go.kr/user/ypRecruitment.do</x:v>
      </x:c>
      <x:c r="P49" s="1"/>
      <x:c r="Q49" s="1"/>
      <x:c r="R49" s="1"/>
      <x:c r="S49" s="1"/>
      <x:c r="T49" s="1"/>
      <x:c r="U49" s="1"/>
      <x:c r="V49" s="1"/>
      <x:c r="W49" s="1"/>
      <x:c r="X49" s="1"/>
      <x:c r="Y49" s="1"/>
      <x:c r="Z49" s="1"/>
    </x:row>
    <x:row r="50" ht="56" customHeight="1">
      <x:c r="A50" s="17" t="n">
        <x:v>46</x:v>
      </x:c>
      <x:c r="B50" s="17" t="str">
        <x:v>JOB-ALIO</x:v>
      </x:c>
      <x:c r="C50" s="17" t="str">
        <x:v>국민연금공단</x:v>
      </x:c>
      <x:c r="D50" s="17" t="str">
        <x:v>2026년도 하반기 일반직 신입직원 공개채용 공고</x:v>
      </x:c>
      <x:c r="E50" s="17" t="str">
        <x:v>서울 외 15</x:v>
      </x:c>
      <x:c r="F50" s="17" t="str">
        <x:v>정규직</x:v>
      </x:c>
      <x:c r="G50" s="17" t="str">
        <x:v>2026-09-18</x:v>
      </x:c>
      <x:c r="H50" s="17" t="str">
        <x:v>제한경쟁·조건부</x:v>
      </x:c>
      <x:c r="I50" s="17" t="str">
        <x:v>조건 충족자만</x:v>
      </x:c>
      <x:c r="J50" s="17" t="str">
        <x:v>기타 제한경쟁 가능</x:v>
      </x:c>
      <x:c r="K50" s="17" t="str">
        <x:v>(공통) 성별, 연령, 학력(사무직 6급보 제외) 제한 없음 [임용일 기준 공단 정년(60세) 이상자는 제외] 대한민국 국적을 보유한 사람 공단이 정한 임용일부터 교육 입소 및 근무가 가능한 사람 공단 인사규정 제11조(결격사유)에 해당하지 않는 사람 (6급 사무직 일반) 공통 지원자격 외 별도의 응시자격 없음 (6급 사무직 취업지원) 「국가유공자 등 예우 및 지원에 관한 법률」 등 보훈관계법률에 따른 취업지원대상자에 해당하는 사람 (6급 사무직 장애인) 「장애인고용촉진 및 직업재활법 시행령」 제3조 및 제4조에 따른 장애인에 해당하는 사람 (6급 사무직 사회형평) 국민기초생활수급자, 한부모가족, 북한이탈주민, 다문화가족, 자립준비청년, 의사상자 중 1가지 이상에 해당하는 사람 (6급 심사직) 간호사, 물리치료사, 임상병리사, 작업치료사 면허증 소지자로 면허 취득 이후 관련 업무 1년 이상 경력자* *「의료법」 제3조제2항제3호에 따른 병원급 의료기관의 임상 경력 또는 우리 공단 심사 경력(기초근평 의학적 평가 포함) ※ 경력환산은 365일을 1년으로 산정함 (6급 기술직 전기) 전기기사, 전기공사기사, 건축전기설비기술사 자격증 중 하나 이상 소지자로, 해당 자격증 취득 이후 관련분야 1년 이상 경력자 ※ 경력환산은 365일을 1년으로 산정함 (6급보 사무직 일반) 최종학력이 고등학교 졸업인 자 또는 이에 준하는 학력자 (6급보 사무직 사회형평) 최종학력이 고등학교 졸업인 자 또는 이에 준하는 학력자이면서 국민기초생활수급자, 한부모가족, 북한이탈주민, 다문화가족, 자립준비청년, 의사상자 중 1가지 이상에 해당하는 사람 * 자세한 사항은 첨부파일의 채용공고문을 참조</x:v>
      </x:c>
      <x:c r="L50" s="17" t="str">
        <x:v>취업지원대상자, 장애인, 국민기초생활수급자, 한부모가족, 북한이탈주민, 다문화가족, 자립준비청년, 의사상자, 2025년 국민연금공단 청년인턴으로 3개월 이상 근무한 사람, 국민연금 대학생 홍보대사 수료자, 국민연금공단 6급 시간선택제 근로자로 6개월 이상 근무한 사람, 국민연금공단 특정 직렬 공무직으로 6개월 이상 근무한 사람, 이전지역(전북특별자치도) 인재</x:v>
      </x:c>
      <x:c r="M50" s="17" t="str">
        <x:v>상세 페이지 확인</x:v>
      </x:c>
      <x:c r="N50" s="17" t="str">
        <x:v>정상</x:v>
      </x:c>
      <x:c r="O50" s="18" t="str">
        <x:v>https://job.alio.go.kr/recruitview.do?idx=304656</x:v>
      </x:c>
      <x:c r="P50" s="1"/>
      <x:c r="Q50" s="1"/>
      <x:c r="R50" s="1"/>
      <x:c r="S50" s="1"/>
      <x:c r="T50" s="1"/>
      <x:c r="U50" s="1"/>
      <x:c r="V50" s="1"/>
      <x:c r="W50" s="1"/>
      <x:c r="X50" s="1"/>
      <x:c r="Y50" s="1"/>
      <x:c r="Z50" s="1"/>
    </x:row>
    <x:row r="51" ht="56" customHeight="1">
      <x:c r="A51" s="17" t="n">
        <x:v>47</x:v>
      </x:c>
      <x:c r="B51" s="17" t="str">
        <x:v>JOB-ALIO</x:v>
      </x:c>
      <x:c r="C51" s="17" t="str">
        <x:v>대한적십자사</x:v>
      </x:c>
      <x:c r="D51" s="17" t="str">
        <x:v>대한적십자사 서울남부혈액원 비정규직 장애인 한시적 근로자 채용 공고</x:v>
      </x:c>
      <x:c r="E51" s="17" t="str">
        <x:v>서울</x:v>
      </x:c>
      <x:c r="F51" s="17" t="str">
        <x:v>비정규직</x:v>
      </x:c>
      <x:c r="G51" s="17" t="str">
        <x:v>2026-09-18</x:v>
      </x:c>
      <x:c r="H51" s="17" t="str">
        <x:v>기간제·비정규</x:v>
      </x:c>
      <x:c r="I51" s="17" t="str">
        <x:v>세부조건 확인</x:v>
      </x:c>
      <x:c r="J51" s="17" t="str">
        <x:v>제한 문구 미탐지</x:v>
      </x:c>
      <x:c r="K51" s="17" t="str">
        <x:v>상세공고 확인</x:v>
      </x:c>
      <x:c r="L51" s="17" t="str">
        <x:v>상세공고 확인</x:v>
      </x:c>
      <x:c r="M51" s="17" t="str">
        <x:v>목록 항목 확인</x:v>
      </x:c>
      <x:c r="N51" s="17" t="str">
        <x:v>정상</x:v>
      </x:c>
      <x:c r="O51" s="18" t="str">
        <x:v>https://job.alio.go.kr/recruitview.do?idx=304624</x:v>
      </x:c>
      <x:c r="P51" s="1"/>
      <x:c r="Q51" s="1"/>
      <x:c r="R51" s="1"/>
      <x:c r="S51" s="1"/>
      <x:c r="T51" s="1"/>
      <x:c r="U51" s="1"/>
      <x:c r="V51" s="1"/>
      <x:c r="W51" s="1"/>
      <x:c r="X51" s="1"/>
      <x:c r="Y51" s="1"/>
      <x:c r="Z51" s="1"/>
    </x:row>
    <x:row r="52" ht="56" customHeight="1">
      <x:c r="A52" s="17" t="n">
        <x:v>48</x:v>
      </x:c>
      <x:c r="B52" s="17" t="str">
        <x:v>Cleaneye Job+</x:v>
      </x:c>
      <x:c r="C52" s="17" t="str">
        <x:v>부산여성가족과 평생교육진흥원</x:v>
      </x:c>
      <x:c r="D52" s="17" t="str">
        <x:v>기간제 근로자(장애인 평생교육이용권 지원사업) 채용 공고</x:v>
      </x:c>
      <x:c r="E52" s="17" t="str">
        <x:v>부산광역시</x:v>
      </x:c>
      <x:c r="F52" s="17" t="str">
        <x:v>기간제</x:v>
      </x:c>
      <x:c r="G52" s="17" t="str">
        <x:v>2026-09-18</x:v>
      </x:c>
      <x:c r="H52" s="17" t="str">
        <x:v>기간제·비정규</x:v>
      </x:c>
      <x:c r="I52" s="17" t="str">
        <x:v>검토</x:v>
      </x:c>
      <x:c r="J52" s="17" t="str">
        <x:v>제한 문구 미탐지</x:v>
      </x:c>
      <x:c r="K52" s="17" t="str">
        <x:v>기관 공고 원문 확인</x:v>
      </x:c>
      <x:c r="L52" s="17" t="str">
        <x:v>기관 공고 원문 확인</x:v>
      </x:c>
      <x:c r="M52" s="17" t="str">
        <x:v>포털 목록 확인</x:v>
      </x:c>
      <x:c r="N52" s="17" t="str">
        <x:v>정상</x:v>
      </x:c>
      <x:c r="O52" s="18" t="str">
        <x:v>https://job.cleaneye.go.kr/user/ypRecruitment.do</x:v>
      </x:c>
      <x:c r="P52" s="1"/>
      <x:c r="Q52" s="1"/>
      <x:c r="R52" s="1"/>
      <x:c r="S52" s="1"/>
      <x:c r="T52" s="1"/>
      <x:c r="U52" s="1"/>
      <x:c r="V52" s="1"/>
      <x:c r="W52" s="1"/>
      <x:c r="X52" s="1"/>
      <x:c r="Y52" s="1"/>
      <x:c r="Z52" s="1"/>
    </x:row>
    <x:row r="53" ht="56" customHeight="1">
      <x:c r="A53" s="17" t="n">
        <x:v>49</x:v>
      </x:c>
      <x:c r="B53" s="17" t="str">
        <x:v>JOB-ALIO</x:v>
      </x:c>
      <x:c r="C53" s="17" t="str">
        <x:v>한국투자공사</x:v>
      </x:c>
      <x:c r="D53" s="17" t="str">
        <x:v>한국투자공사 2026년 신입직원 채용</x:v>
      </x:c>
      <x:c r="E53" s="17" t="str">
        <x:v>서울</x:v>
      </x:c>
      <x:c r="F53" s="17" t="str">
        <x:v>정규직</x:v>
      </x:c>
      <x:c r="G53" s="17" t="str">
        <x:v>2026-09-18</x:v>
      </x:c>
      <x:c r="H53" s="17" t="str">
        <x:v>신입·정규직</x:v>
      </x:c>
      <x:c r="I53" s="17" t="str">
        <x:v>우선검토</x:v>
      </x:c>
      <x:c r="J53" s="17" t="str">
        <x:v>제한 문구 미탐지</x:v>
      </x:c>
      <x:c r="K53" s="17" t="str">
        <x:v>- 학력, 연령, 성별 등에 관계없이 지원 가능(채용 확정 후 즉시 근무 가능한 자) - 남자의 경우 병역 기피 사실이 없는 자 - 국가공무원법 제33조 각호 및 공사 인사규정에 명시된 채용 결격사유에 해당되지 않는 자 - 해외투자 전문기관인 공사의 직무수행에 필수적인 아래의 어학요건을 최소 1개 이상 충족하는 등 모집부문별 자격요건을 만족하는 자 * 투자분야 : TOEIC 900점(또는 New TEPS 370점, TOEFL(IBT) 105점, TOEIC Speaking 160점(AL), OPIc (IH)) 이상 * 리스크분야/경영분야/IT분야 : TOEIC 850점(또는 New TEPS 336점, TOEFL(IBT) 98점, TOEIC Speaking 140점(IH), OPIc (IM3)) 이상</x:v>
      </x:c>
      <x:c r="L53" s="17" t="str">
        <x:v>취업지원대상자(보훈), 장애인, 비수도권 지역인재, 직무유관 자격증 보유자, 어학 구사능력 우수자, 한국투자공사 청년인턴 우수 수료자</x:v>
      </x:c>
      <x:c r="M53" s="17" t="str">
        <x:v>상세 페이지 확인</x:v>
      </x:c>
      <x:c r="N53" s="17" t="str">
        <x:v>정상</x:v>
      </x:c>
      <x:c r="O53" s="18" t="str">
        <x:v>https://job.alio.go.kr/recruitview.do?idx=304335</x:v>
      </x:c>
      <x:c r="P53" s="1"/>
      <x:c r="Q53" s="1"/>
      <x:c r="R53" s="1"/>
      <x:c r="S53" s="1"/>
      <x:c r="T53" s="1"/>
      <x:c r="U53" s="1"/>
      <x:c r="V53" s="1"/>
      <x:c r="W53" s="1"/>
      <x:c r="X53" s="1"/>
      <x:c r="Y53" s="1"/>
      <x:c r="Z53" s="1"/>
    </x:row>
    <x:row r="54" ht="56" customHeight="1">
      <x:c r="A54" s="17" t="n">
        <x:v>50</x:v>
      </x:c>
      <x:c r="B54" s="17" t="str">
        <x:v>JOB-ALIO</x:v>
      </x:c>
      <x:c r="C54" s="17" t="str">
        <x:v>한식진흥원</x:v>
      </x:c>
      <x:c r="D54" s="17" t="str">
        <x:v>2026년 제4차 한식진흥원 공개채용 공고</x:v>
      </x:c>
      <x:c r="E54" s="17" t="str">
        <x:v>서울 외 1</x:v>
      </x:c>
      <x:c r="F54" s="17" t="str">
        <x:v>정규직</x:v>
      </x:c>
      <x:c r="G54" s="17" t="str">
        <x:v>2026-09-18</x:v>
      </x:c>
      <x:c r="H54" s="17" t="str">
        <x:v>정규직(세부 확인)</x:v>
      </x:c>
      <x:c r="I54" s="17" t="str">
        <x:v>검토</x:v>
      </x:c>
      <x:c r="J54" s="17" t="str">
        <x:v>제한 문구 미탐지</x:v>
      </x:c>
      <x:c r="K54" s="17" t="str">
        <x:v>(공통) 1. 임용일 기준 개인사업, 타 기관, 기업에 재직하는 등 겸직 사실이 없는 자 2. 만 18세 이상이고, 접수마감일 기준 정년(만60세) 이하인 자 3. 채용 확정 후 즉시 근무가 가능한 자(임용 예정일 변경 및 유예 불가) * 채용직무별 자격사항은 첨부된 채용공고문 참고</x:v>
      </x:c>
      <x:c r="L54" s="17" t="str">
        <x:v>취업지원대상자, 장애인, 정부권장정책에 해당하는 경우</x:v>
      </x:c>
      <x:c r="M54" s="17" t="str">
        <x:v>상세 페이지 확인</x:v>
      </x:c>
      <x:c r="N54" s="17" t="str">
        <x:v>정상</x:v>
      </x:c>
      <x:c r="O54" s="18" t="str">
        <x:v>https://job.alio.go.kr/recruitview.do?idx=304529</x:v>
      </x:c>
      <x:c r="P54" s="1"/>
      <x:c r="Q54" s="1"/>
      <x:c r="R54" s="1"/>
      <x:c r="S54" s="1"/>
      <x:c r="T54" s="1"/>
      <x:c r="U54" s="1"/>
      <x:c r="V54" s="1"/>
      <x:c r="W54" s="1"/>
      <x:c r="X54" s="1"/>
      <x:c r="Y54" s="1"/>
      <x:c r="Z54" s="1"/>
    </x:row>
    <x:row r="55" ht="56" customHeight="1">
      <x:c r="A55" s="17" t="n">
        <x:v>51</x:v>
      </x:c>
      <x:c r="B55" s="17" t="str">
        <x:v>JOB-ALIO</x:v>
      </x:c>
      <x:c r="C55" s="17" t="str">
        <x:v>경제인문사회연구회</x:v>
      </x:c>
      <x:c r="D55" s="17" t="str">
        <x:v>2026년도 제9차 직원채용 공고(정규직 부전문위원)</x:v>
      </x:c>
      <x:c r="E55" s="17" t="str">
        <x:v>세종</x:v>
      </x:c>
      <x:c r="F55" s="17" t="str">
        <x:v>정규직</x:v>
      </x:c>
      <x:c r="G55" s="17" t="str">
        <x:v>2026-09-21</x:v>
      </x:c>
      <x:c r="H55" s="17" t="str">
        <x:v>정규직(세부 확인)</x:v>
      </x:c>
      <x:c r="I55" s="17" t="str">
        <x:v>검토</x:v>
      </x:c>
      <x:c r="J55" s="17" t="str">
        <x:v>제한 문구 미탐지</x:v>
      </x:c>
      <x:c r="K55" s="17" t="str">
        <x:v>▶ 만 60세 미만인 사람 ▶ 고등학교 졸업 후 4년 이상 교육 또는 해당 분야 실무 경력 가진 사람 - 상기 요건과 동등한 자격이 있다고 인정되는 사람 ▶ 연구회 「인사규정」 제24조(결격사유)에 해당되지 않는 사람</x:v>
      </x:c>
      <x:c r="L55" s="17" t="str">
        <x:v>취업지원대상자, 장애인, 저소득층, 지역인재, 청년인턴</x:v>
      </x:c>
      <x:c r="M55" s="17" t="str">
        <x:v>상세 페이지 확인</x:v>
      </x:c>
      <x:c r="N55" s="17" t="str">
        <x:v>정상</x:v>
      </x:c>
      <x:c r="O55" s="18" t="str">
        <x:v>https://job.alio.go.kr/recruitview.do?idx=304682</x:v>
      </x:c>
      <x:c r="P55" s="1"/>
      <x:c r="Q55" s="1"/>
      <x:c r="R55" s="1"/>
      <x:c r="S55" s="1"/>
      <x:c r="T55" s="1"/>
      <x:c r="U55" s="1"/>
      <x:c r="V55" s="1"/>
      <x:c r="W55" s="1"/>
      <x:c r="X55" s="1"/>
      <x:c r="Y55" s="1"/>
      <x:c r="Z55" s="1"/>
    </x:row>
    <x:row r="56" ht="56" customHeight="1">
      <x:c r="A56" s="17" t="n">
        <x:v>52</x:v>
      </x:c>
      <x:c r="B56" s="17" t="str">
        <x:v>JOB-ALIO</x:v>
      </x:c>
      <x:c r="C56" s="17" t="str">
        <x:v>에너지경제연구원</x:v>
      </x:c>
      <x:c r="D56" s="17" t="str">
        <x:v>[에너지경제연구원] 공공기관 청년인턴(장애인제한경쟁) 채용 공고(운영지원팀)</x:v>
      </x:c>
      <x:c r="E56" s="17" t="str">
        <x:v>울산</x:v>
      </x:c>
      <x:c r="F56" s="17" t="str">
        <x:v>청년인턴(체험형)</x:v>
      </x:c>
      <x:c r="G56" s="17" t="str">
        <x:v>2026-09-21</x:v>
      </x:c>
      <x:c r="H56" s="17" t="str">
        <x:v>제한경쟁·조건부</x:v>
      </x:c>
      <x:c r="I56" s="17" t="str">
        <x:v>조건 충족자만</x:v>
      </x:c>
      <x:c r="J56" s="17" t="str">
        <x:v>장애 관련 제한경쟁</x:v>
      </x:c>
      <x:c r="K56" s="17" t="str">
        <x:v>상세공고 확인</x:v>
      </x:c>
      <x:c r="L56" s="17" t="str">
        <x:v>상세공고 확인</x:v>
      </x:c>
      <x:c r="M56" s="17" t="str">
        <x:v>목록 항목 확인</x:v>
      </x:c>
      <x:c r="N56" s="17" t="str">
        <x:v>정상</x:v>
      </x:c>
      <x:c r="O56" s="18" t="str">
        <x:v>https://job.alio.go.kr/recruitview.do?idx=304658</x:v>
      </x:c>
      <x:c r="P56" s="1"/>
      <x:c r="Q56" s="1"/>
      <x:c r="R56" s="1"/>
      <x:c r="S56" s="1"/>
      <x:c r="T56" s="1"/>
      <x:c r="U56" s="1"/>
      <x:c r="V56" s="1"/>
      <x:c r="W56" s="1"/>
      <x:c r="X56" s="1"/>
      <x:c r="Y56" s="1"/>
      <x:c r="Z56" s="1"/>
    </x:row>
    <x:row r="57" ht="56" customHeight="1">
      <x:c r="A57" s="17" t="n">
        <x:v>53</x:v>
      </x:c>
      <x:c r="B57" s="17" t="str">
        <x:v>JOB-ALIO</x:v>
      </x:c>
      <x:c r="C57" s="17" t="str">
        <x:v>한국발명진흥회</x:v>
      </x:c>
      <x:c r="D57" s="17" t="str">
        <x:v>2026년 제3차 한국발명진흥회 체험형 인턴 채용(장애인 제한경쟁 및 일반)</x:v>
      </x:c>
      <x:c r="E57" s="17" t="str">
        <x:v>서울</x:v>
      </x:c>
      <x:c r="F57" s="17" t="str">
        <x:v>청년인턴(체험형)</x:v>
      </x:c>
      <x:c r="G57" s="17" t="str">
        <x:v>2026-09-21</x:v>
      </x:c>
      <x:c r="H57" s="17" t="str">
        <x:v>제한경쟁·조건부</x:v>
      </x:c>
      <x:c r="I57" s="17" t="str">
        <x:v>조건 충족자만</x:v>
      </x:c>
      <x:c r="J57" s="17" t="str">
        <x:v>장애 관련 제한경쟁</x:v>
      </x:c>
      <x:c r="K57" s="17" t="str">
        <x:v>상세공고 확인</x:v>
      </x:c>
      <x:c r="L57" s="17" t="str">
        <x:v>상세공고 확인</x:v>
      </x:c>
      <x:c r="M57" s="17" t="str">
        <x:v>목록 항목 확인</x:v>
      </x:c>
      <x:c r="N57" s="17" t="str">
        <x:v>정상</x:v>
      </x:c>
      <x:c r="O57" s="18" t="str">
        <x:v>https://job.alio.go.kr/recruitview.do?idx=304703</x:v>
      </x:c>
      <x:c r="P57" s="1"/>
      <x:c r="Q57" s="1"/>
      <x:c r="R57" s="1"/>
      <x:c r="S57" s="1"/>
      <x:c r="T57" s="1"/>
      <x:c r="U57" s="1"/>
      <x:c r="V57" s="1"/>
      <x:c r="W57" s="1"/>
      <x:c r="X57" s="1"/>
      <x:c r="Y57" s="1"/>
      <x:c r="Z57" s="1"/>
    </x:row>
    <x:row r="58" ht="56" customHeight="1">
      <x:c r="A58" s="17" t="n">
        <x:v>54</x:v>
      </x:c>
      <x:c r="B58" s="17" t="str">
        <x:v>JOB-ALIO</x:v>
      </x:c>
      <x:c r="C58" s="17" t="str">
        <x:v>한국수목원정원관리원</x:v>
      </x:c>
      <x:c r="D58" s="17" t="str">
        <x:v>한국수목원정원관리원 2026년 제3차 신규직원 채용 공고</x:v>
      </x:c>
      <x:c r="E58" s="17" t="str">
        <x:v>강원 외 3</x:v>
      </x:c>
      <x:c r="F58" s="17" t="str">
        <x:v>무기계약직 외 1</x:v>
      </x:c>
      <x:c r="G58" s="17" t="str">
        <x:v>2026-09-21</x:v>
      </x:c>
      <x:c r="H58" s="17" t="str">
        <x:v>무기계약·공무직</x:v>
      </x:c>
      <x:c r="I58" s="17" t="str">
        <x:v>검토</x:v>
      </x:c>
      <x:c r="J58" s="17" t="str">
        <x:v>제한 문구 미탐지</x:v>
      </x:c>
      <x:c r="K58" s="17" t="str">
        <x:v>(일반직) - 4급 : 1. 정부, 공공기관, 사기업 등에서 채용예정 직무 관련 3년 이상 경력이 있는 자 2. 채용직무별 필수자격 사항을 충족하는 자 (일반직, 전시직) - 5급가 : 채용예정 직무를 수행할 수 있다고 인정되는 자(채용직무별 필수자격 및 우대사항 참조) - 5급나 : 공고시작일 기준 최종 학력이 고등학교 졸업(예정)자 중에서 대학에 진학한 적이 없고 학교장 추천을 받은 자 (전문직) - 5급가 : 채용예정 직무 분야와 관련하여 석사학위 이상 취득자 (공무직) - 채용예정 직무를 수행할 수 있다고 인정되는 자(채용직무별 필수자격 및 우대사항 참조) ※ 보다 자세한 사항은 첨부된 채용공고문 참조</x:v>
      </x:c>
      <x:c r="L58" s="17" t="str">
        <x:v>취업지원대상자, 장애인 및 취업보호대상자, 정부권장정책(국민기초생활수급자, 차상위계층, 한부모가족 세대주, 북한이탈주민 보호대상자, 다문화가족의 자녀, 경력단절여성, 자립준비청년 등), 한국사능력검정시험 3급 이상 취득자 등(* 보다 자세한 사항은 첨부파일의 채용공고문 참조)</x:v>
      </x:c>
      <x:c r="M58" s="17" t="str">
        <x:v>상세 페이지 확인</x:v>
      </x:c>
      <x:c r="N58" s="17" t="str">
        <x:v>정상</x:v>
      </x:c>
      <x:c r="O58" s="18" t="str">
        <x:v>https://job.alio.go.kr/recruitview.do?idx=304713</x:v>
      </x:c>
      <x:c r="P58" s="1"/>
      <x:c r="Q58" s="1"/>
      <x:c r="R58" s="1"/>
      <x:c r="S58" s="1"/>
      <x:c r="T58" s="1"/>
      <x:c r="U58" s="1"/>
      <x:c r="V58" s="1"/>
      <x:c r="W58" s="1"/>
      <x:c r="X58" s="1"/>
      <x:c r="Y58" s="1"/>
      <x:c r="Z58" s="1"/>
    </x:row>
    <x:row r="59" ht="56" customHeight="1">
      <x:c r="A59" s="17" t="n">
        <x:v>55</x:v>
      </x:c>
      <x:c r="B59" s="17" t="str">
        <x:v>JOB-ALIO</x:v>
      </x:c>
      <x:c r="C59" s="17" t="str">
        <x:v>서울대학교병원</x:v>
      </x:c>
      <x:c r="D59" s="17" t="str">
        <x:v>서울대학교병원 블라인드 직원채용 (대체근로자) 공고 (장애인 특별우대)</x:v>
      </x:c>
      <x:c r="E59" s="17" t="str">
        <x:v>서울</x:v>
      </x:c>
      <x:c r="F59" s="17" t="str">
        <x:v>비정규직</x:v>
      </x:c>
      <x:c r="G59" s="17" t="str">
        <x:v>2026-09-22</x:v>
      </x:c>
      <x:c r="H59" s="17" t="str">
        <x:v>기간제·비정규</x:v>
      </x:c>
      <x:c r="I59" s="17" t="str">
        <x:v>세부조건 확인</x:v>
      </x:c>
      <x:c r="J59" s="17" t="str">
        <x:v>제한 문구 미탐지</x:v>
      </x:c>
      <x:c r="K59" s="17" t="str">
        <x:v>상세공고 확인</x:v>
      </x:c>
      <x:c r="L59" s="17" t="str">
        <x:v>상세공고 확인</x:v>
      </x:c>
      <x:c r="M59" s="17" t="str">
        <x:v>목록 항목 확인</x:v>
      </x:c>
      <x:c r="N59" s="17" t="str">
        <x:v>정상</x:v>
      </x:c>
      <x:c r="O59" s="18" t="str">
        <x:v>https://job.alio.go.kr/recruitview.do?idx=304766</x:v>
      </x:c>
      <x:c r="P59" s="1"/>
      <x:c r="Q59" s="1"/>
      <x:c r="R59" s="1"/>
      <x:c r="S59" s="1"/>
      <x:c r="T59" s="1"/>
      <x:c r="U59" s="1"/>
      <x:c r="V59" s="1"/>
      <x:c r="W59" s="1"/>
      <x:c r="X59" s="1"/>
      <x:c r="Y59" s="1"/>
      <x:c r="Z59" s="1"/>
    </x:row>
    <x:row r="60" ht="56" customHeight="1">
      <x:c r="A60" s="17" t="n">
        <x:v>56</x:v>
      </x:c>
      <x:c r="B60" s="17" t="str">
        <x:v>JOB-ALIO</x:v>
      </x:c>
      <x:c r="C60" s="17" t="str">
        <x:v>한국교통안전공단</x:v>
      </x:c>
      <x:c r="D60" s="17" t="str">
        <x:v>2026년 제4차 한국교통안전공단 기간제근로자(자동차정보처 사무보조_장애) 채용</x:v>
      </x:c>
      <x:c r="E60" s="17" t="str">
        <x:v>경북</x:v>
      </x:c>
      <x:c r="F60" s="17" t="str">
        <x:v>청년인턴(체험형)</x:v>
      </x:c>
      <x:c r="G60" s="17" t="str">
        <x:v>2026-09-22</x:v>
      </x:c>
      <x:c r="H60" s="17" t="str">
        <x:v>제한경쟁·조건부</x:v>
      </x:c>
      <x:c r="I60" s="17" t="str">
        <x:v>조건 충족자만</x:v>
      </x:c>
      <x:c r="J60" s="17" t="str">
        <x:v>장애 관련 제한경쟁</x:v>
      </x:c>
      <x:c r="K60" s="17" t="str">
        <x:v>상세공고 확인</x:v>
      </x:c>
      <x:c r="L60" s="17" t="str">
        <x:v>상세공고 확인</x:v>
      </x:c>
      <x:c r="M60" s="17" t="str">
        <x:v>목록 항목 확인</x:v>
      </x:c>
      <x:c r="N60" s="17" t="str">
        <x:v>정상</x:v>
      </x:c>
      <x:c r="O60" s="18" t="str">
        <x:v>https://job.alio.go.kr/recruitview.do?idx=304634</x:v>
      </x:c>
      <x:c r="P60" s="1"/>
      <x:c r="Q60" s="1"/>
      <x:c r="R60" s="1"/>
      <x:c r="S60" s="1"/>
      <x:c r="T60" s="1"/>
      <x:c r="U60" s="1"/>
      <x:c r="V60" s="1"/>
      <x:c r="W60" s="1"/>
      <x:c r="X60" s="1"/>
      <x:c r="Y60" s="1"/>
      <x:c r="Z60" s="1"/>
    </x:row>
    <x:row r="61" ht="56" customHeight="1">
      <x:c r="A61" s="17" t="n">
        <x:v>57</x:v>
      </x:c>
      <x:c r="B61" s="17" t="str">
        <x:v>JOB-ALIO</x:v>
      </x:c>
      <x:c r="C61" s="17" t="str">
        <x:v>한국교통안전공단</x:v>
      </x:c>
      <x:c r="D61" s="17" t="str">
        <x:v>2026년 제4차 한국교통안전공단 울산본부 기간제근로자 청년인턴(사무_장애) 채용공고</x:v>
      </x:c>
      <x:c r="E61" s="17" t="str">
        <x:v>울산</x:v>
      </x:c>
      <x:c r="F61" s="17" t="str">
        <x:v>청년인턴(체험형)</x:v>
      </x:c>
      <x:c r="G61" s="17" t="str">
        <x:v>2026-09-22</x:v>
      </x:c>
      <x:c r="H61" s="17" t="str">
        <x:v>제한경쟁·조건부</x:v>
      </x:c>
      <x:c r="I61" s="17" t="str">
        <x:v>조건 충족자만</x:v>
      </x:c>
      <x:c r="J61" s="17" t="str">
        <x:v>장애 관련 제한경쟁</x:v>
      </x:c>
      <x:c r="K61" s="17" t="str">
        <x:v>상세공고 확인</x:v>
      </x:c>
      <x:c r="L61" s="17" t="str">
        <x:v>상세공고 확인</x:v>
      </x:c>
      <x:c r="M61" s="17" t="str">
        <x:v>목록 항목 확인</x:v>
      </x:c>
      <x:c r="N61" s="17" t="str">
        <x:v>정상</x:v>
      </x:c>
      <x:c r="O61" s="18" t="str">
        <x:v>https://job.alio.go.kr/recruitview.do?idx=304593</x:v>
      </x:c>
      <x:c r="P61" s="1"/>
      <x:c r="Q61" s="1"/>
      <x:c r="R61" s="1"/>
      <x:c r="S61" s="1"/>
      <x:c r="T61" s="1"/>
      <x:c r="U61" s="1"/>
      <x:c r="V61" s="1"/>
      <x:c r="W61" s="1"/>
      <x:c r="X61" s="1"/>
      <x:c r="Y61" s="1"/>
      <x:c r="Z61" s="1"/>
    </x:row>
    <x:row r="62" ht="56" customHeight="1">
      <x:c r="A62" s="17" t="n">
        <x:v>58</x:v>
      </x:c>
      <x:c r="B62" s="17" t="str">
        <x:v>JOB-ALIO</x:v>
      </x:c>
      <x:c r="C62" s="17" t="str">
        <x:v>한국교통안전공단</x:v>
      </x:c>
      <x:c r="D62" s="17" t="str">
        <x:v>2026년 제4차 한국교통안전공단 대전세종충남본부 기간제근로자(청년인턴(사무_장애)) 채용공고</x:v>
      </x:c>
      <x:c r="E62" s="17" t="str">
        <x:v>대전 외 2</x:v>
      </x:c>
      <x:c r="F62" s="17" t="str">
        <x:v>청년인턴(체험형)</x:v>
      </x:c>
      <x:c r="G62" s="17" t="str">
        <x:v>2026-09-22</x:v>
      </x:c>
      <x:c r="H62" s="17" t="str">
        <x:v>제한경쟁·조건부</x:v>
      </x:c>
      <x:c r="I62" s="17" t="str">
        <x:v>조건 충족자만</x:v>
      </x:c>
      <x:c r="J62" s="17" t="str">
        <x:v>장애 관련 제한경쟁</x:v>
      </x:c>
      <x:c r="K62" s="17" t="str">
        <x:v>상세공고 확인</x:v>
      </x:c>
      <x:c r="L62" s="17" t="str">
        <x:v>상세공고 확인</x:v>
      </x:c>
      <x:c r="M62" s="17" t="str">
        <x:v>목록 항목 확인</x:v>
      </x:c>
      <x:c r="N62" s="17" t="str">
        <x:v>정상</x:v>
      </x:c>
      <x:c r="O62" s="18" t="str">
        <x:v>https://job.alio.go.kr/recruitview.do?idx=304550</x:v>
      </x:c>
      <x:c r="P62" s="1"/>
      <x:c r="Q62" s="1"/>
      <x:c r="R62" s="1"/>
      <x:c r="S62" s="1"/>
      <x:c r="T62" s="1"/>
      <x:c r="U62" s="1"/>
      <x:c r="V62" s="1"/>
      <x:c r="W62" s="1"/>
      <x:c r="X62" s="1"/>
      <x:c r="Y62" s="1"/>
      <x:c r="Z62" s="1"/>
    </x:row>
    <x:row r="63" ht="56" customHeight="1">
      <x:c r="A63" s="17" t="n">
        <x:v>59</x:v>
      </x:c>
      <x:c r="B63" s="17" t="str">
        <x:v>JOB-ALIO</x:v>
      </x:c>
      <x:c r="C63" s="17" t="str">
        <x:v>한국도로공사</x:v>
      </x:c>
      <x:c r="D63" s="17" t="str">
        <x:v>2026년 하반기 한국도로공사 일반직 신입(인턴)사원 채용 공고</x:v>
      </x:c>
      <x:c r="E63" s="17" t="str">
        <x:v>인천 외 11</x:v>
      </x:c>
      <x:c r="F63" s="17" t="str">
        <x:v>청년인턴(채용형)</x:v>
      </x:c>
      <x:c r="G63" s="17" t="str">
        <x:v>2026-09-22</x:v>
      </x:c>
      <x:c r="H63" s="17" t="str">
        <x:v>제한경쟁·조건부</x:v>
      </x:c>
      <x:c r="I63" s="17" t="str">
        <x:v>조건 충족자만</x:v>
      </x:c>
      <x:c r="J63" s="17" t="str">
        <x:v>장애 관련 제한경쟁</x:v>
      </x:c>
      <x:c r="K63" s="17" t="str">
        <x:v>○ 5급 공채 [공통] o 공사 인사규정 제8조의 결격사유가 없는 자 o 학력, 성별, 연령 제한 없음 (단, 공사 정년에 도달하는 자 제외) o 인턴계약일(2026년 11월 중 예정)로부터 근무 가능자(사업장 전국 소재) o 병역사항 : 남자의 경우 병역필 또는 면제자(병역특례 근무 중인 자 제외) ※ 인턴계약일(2026년 11월 중 예정) 이전 전역 예정자 포함 [일반] o 어학성적 토익 700점 이상 등 (사회형평대상자 토익 500점 이상 등) o (AI인재, 기술직) 선발 분야의 기사 자격증 등 소지자 [보훈전형] o 「국가유공자 등 예우 및 지원에 관한 법률」등에 따른 취업지원대상자로서 취업지원대상자 증명서 발급 가능한 자 [장애인전형] o 「장애인고용촉진 및 직업재활법 시행령」 제3조에 따른 장애인으로 동시행령 제3조제2항의 증빙서류 제출이 가능한 자 ○ 8급공채 [공통] o 공사 인사규정 제8조의 결격사유가 없는 자 o 성별, 연령(자립준비청년전형 제외), 병역사항 및 어학성적 제한 없음 (단, 공사 정년에 도달하는 자 제외) ※ 병역 : 병역의무 기피한 자는 채용결격사유에 해당 o 인턴계약일(2026년 11월 중 예정)로 부터 근무 가능자(사업장 전국 소재) o 선발분야 기능사 이상 자격증 소지자 [고졸일반] o 원서접수 마감일 현재 최종학력이 고등학교 졸업(예정)인 자 ※ 전문대 이상 졸업(예정)자(최종학기를 이수(등록)한 자 등)는 지원 불가 ※ 고등학교 졸업예정자는 원서접수 마감일 현재 졸업예정증명서 발급이 가능한 자 [보훈전형] o 「국가유공자 등 예우 및 지원에 관한 법률」등에 따른 취업지원대상자로서 취업지원대상자 증명서 발급 가능한 자 [장애인전형] o 「장애인고용촉진 및 직업재활법 시행령」 제3조에 따른 장애인으로 동시행령 제3조제2항의 증빙서류 제출이 가능한 자 [자립준비청년전형] o 「아동복지법」 제16조 또는 제16조의3에 따라 보호조치가 종료되거나 해당 시설을 퇴소한 사람 중 만 34세 이하인 자</x:v>
      </x:c>
      <x:c r="L63" s="17" t="str">
        <x:v>관련 자격증 소지자, 사회형평대상자(취업지원대상자, 장애인 등) 등</x:v>
      </x:c>
      <x:c r="M63" s="17" t="str">
        <x:v>상세 페이지 확인</x:v>
      </x:c>
      <x:c r="N63" s="17" t="str">
        <x:v>정상</x:v>
      </x:c>
      <x:c r="O63" s="18" t="str">
        <x:v>https://job.alio.go.kr/recruitview.do?idx=304761</x:v>
      </x:c>
      <x:c r="P63" s="1"/>
      <x:c r="Q63" s="1"/>
      <x:c r="R63" s="1"/>
      <x:c r="S63" s="1"/>
      <x:c r="T63" s="1"/>
      <x:c r="U63" s="1"/>
      <x:c r="V63" s="1"/>
      <x:c r="W63" s="1"/>
      <x:c r="X63" s="1"/>
      <x:c r="Y63" s="1"/>
      <x:c r="Z63" s="1"/>
    </x:row>
    <x:row r="64" ht="56" customHeight="1">
      <x:c r="A64" s="17" t="n">
        <x:v>60</x:v>
      </x:c>
      <x:c r="B64" s="17" t="str">
        <x:v>JOB-ALIO</x:v>
      </x:c>
      <x:c r="C64" s="17" t="str">
        <x:v>한국보훈복지의료공단</x:v>
      </x:c>
      <x:c r="D64" s="17" t="str">
        <x:v>[인천보훈병원] 2026-14차 직원 제한경쟁채용(장애인 청년인턴) 공고</x:v>
      </x:c>
      <x:c r="E64" s="17" t="str">
        <x:v>인천</x:v>
      </x:c>
      <x:c r="F64" s="17" t="str">
        <x:v>청년인턴(체험형)</x:v>
      </x:c>
      <x:c r="G64" s="17" t="str">
        <x:v>2026-09-22</x:v>
      </x:c>
      <x:c r="H64" s="17" t="str">
        <x:v>제한경쟁·조건부</x:v>
      </x:c>
      <x:c r="I64" s="17" t="str">
        <x:v>조건 충족자만</x:v>
      </x:c>
      <x:c r="J64" s="17" t="str">
        <x:v>제한경쟁</x:v>
      </x:c>
      <x:c r="K64" s="17" t="str">
        <x:v>상세공고 확인</x:v>
      </x:c>
      <x:c r="L64" s="17" t="str">
        <x:v>상세공고 확인</x:v>
      </x:c>
      <x:c r="M64" s="17" t="str">
        <x:v>목록 항목 확인</x:v>
      </x:c>
      <x:c r="N64" s="17" t="str">
        <x:v>정상</x:v>
      </x:c>
      <x:c r="O64" s="18" t="str">
        <x:v>https://job.alio.go.kr/recruitview.do?idx=304754</x:v>
      </x:c>
      <x:c r="P64" s="1"/>
      <x:c r="Q64" s="1"/>
      <x:c r="R64" s="1"/>
      <x:c r="S64" s="1"/>
      <x:c r="T64" s="1"/>
      <x:c r="U64" s="1"/>
      <x:c r="V64" s="1"/>
      <x:c r="W64" s="1"/>
      <x:c r="X64" s="1"/>
      <x:c r="Y64" s="1"/>
      <x:c r="Z64" s="1"/>
    </x:row>
    <x:row r="65" ht="56" customHeight="1">
      <x:c r="A65" s="17" t="n">
        <x:v>61</x:v>
      </x:c>
      <x:c r="B65" s="17" t="str">
        <x:v>JOB-ALIO</x:v>
      </x:c>
      <x:c r="C65" s="17" t="str">
        <x:v>한국장애인개발원</x:v>
      </x:c>
      <x:c r="D65" s="17" t="str">
        <x:v>[제2026-98호]2026년도 제4차 전남광주통합특별시전남장애아동·발달장애인지원센터 청년인턴 채용 공고</x:v>
      </x:c>
      <x:c r="E65" s="17" t="str">
        <x:v>전남광주</x:v>
      </x:c>
      <x:c r="F65" s="17" t="str">
        <x:v>청년인턴(체험형)</x:v>
      </x:c>
      <x:c r="G65" s="17" t="str">
        <x:v>2026-09-22</x:v>
      </x:c>
      <x:c r="H65" s="17" t="str">
        <x:v>체험형·청년인턴</x:v>
      </x:c>
      <x:c r="I65" s="17" t="str">
        <x:v>세부조건 확인</x:v>
      </x:c>
      <x:c r="J65" s="17" t="str">
        <x:v>제한 문구 미탐지</x:v>
      </x:c>
      <x:c r="K65" s="17" t="str">
        <x:v>상세공고 확인</x:v>
      </x:c>
      <x:c r="L65" s="17" t="str">
        <x:v>상세공고 확인</x:v>
      </x:c>
      <x:c r="M65" s="17" t="str">
        <x:v>목록 항목 확인</x:v>
      </x:c>
      <x:c r="N65" s="17" t="str">
        <x:v>정상</x:v>
      </x:c>
      <x:c r="O65" s="18" t="str">
        <x:v>https://job.alio.go.kr/recruitview.do?idx=304760</x:v>
      </x:c>
      <x:c r="P65" s="1"/>
      <x:c r="Q65" s="1"/>
      <x:c r="R65" s="1"/>
      <x:c r="S65" s="1"/>
      <x:c r="T65" s="1"/>
      <x:c r="U65" s="1"/>
      <x:c r="V65" s="1"/>
      <x:c r="W65" s="1"/>
      <x:c r="X65" s="1"/>
      <x:c r="Y65" s="1"/>
      <x:c r="Z65" s="1"/>
    </x:row>
    <x:row r="66" ht="56" customHeight="1">
      <x:c r="A66" s="17" t="n">
        <x:v>62</x:v>
      </x:c>
      <x:c r="B66" s="17" t="str">
        <x:v>JOB-ALIO</x:v>
      </x:c>
      <x:c r="C66" s="17" t="str">
        <x:v>한국장애인개발원</x:v>
      </x:c>
      <x:c r="D66" s="17" t="str">
        <x:v>[제2026-99호] 2026년도 제5차 충청남도장애아동·발달장애인지원센터 장애아동 운영지원팀 기간제 계약직 및 장애아동지원팀 사회형평적 청년인턴 채용 공고</x:v>
      </x:c>
      <x:c r="E66" s="17" t="str">
        <x:v>충남</x:v>
      </x:c>
      <x:c r="F66" s="17" t="str">
        <x:v>비정규직 외 1</x:v>
      </x:c>
      <x:c r="G66" s="17" t="str">
        <x:v>2026-09-22</x:v>
      </x:c>
      <x:c r="H66" s="17" t="str">
        <x:v>체험형·청년인턴</x:v>
      </x:c>
      <x:c r="I66" s="17" t="str">
        <x:v>세부조건 확인</x:v>
      </x:c>
      <x:c r="J66" s="17" t="str">
        <x:v>제한 문구 미탐지</x:v>
      </x:c>
      <x:c r="K66" s="17" t="str">
        <x:v>상세공고 확인</x:v>
      </x:c>
      <x:c r="L66" s="17" t="str">
        <x:v>상세공고 확인</x:v>
      </x:c>
      <x:c r="M66" s="17" t="str">
        <x:v>목록 항목 확인</x:v>
      </x:c>
      <x:c r="N66" s="17" t="str">
        <x:v>정상</x:v>
      </x:c>
      <x:c r="O66" s="18" t="str">
        <x:v>https://job.alio.go.kr/recruitview.do?idx=304751</x:v>
      </x:c>
      <x:c r="P66" s="1"/>
      <x:c r="Q66" s="1"/>
      <x:c r="R66" s="1"/>
      <x:c r="S66" s="1"/>
      <x:c r="T66" s="1"/>
      <x:c r="U66" s="1"/>
      <x:c r="V66" s="1"/>
      <x:c r="W66" s="1"/>
      <x:c r="X66" s="1"/>
      <x:c r="Y66" s="1"/>
      <x:c r="Z66" s="1"/>
    </x:row>
    <x:row r="67" ht="56" customHeight="1">
      <x:c r="A67" s="17" t="n">
        <x:v>63</x:v>
      </x:c>
      <x:c r="B67" s="17" t="str">
        <x:v>JOB-ALIO</x:v>
      </x:c>
      <x:c r="C67" s="17" t="str">
        <x:v>한국전기안전공사</x:v>
      </x:c>
      <x:c r="D67" s="17" t="str">
        <x:v>2026년 하반기 채용형 인턴 채용</x:v>
      </x:c>
      <x:c r="E67" s="17" t="str">
        <x:v>서울 외 13</x:v>
      </x:c>
      <x:c r="F67" s="17" t="str">
        <x:v>청년인턴(채용형)</x:v>
      </x:c>
      <x:c r="G67" s="17" t="str">
        <x:v>2026-09-22</x:v>
      </x:c>
      <x:c r="H67" s="17" t="str">
        <x:v>제한경쟁·조건부</x:v>
      </x:c>
      <x:c r="I67" s="17" t="str">
        <x:v>조건 충족자만</x:v>
      </x:c>
      <x:c r="J67" s="17" t="str">
        <x:v>보훈 관련 제한경쟁</x:v>
      </x:c>
      <x:c r="K67" s="17" t="str">
        <x:v>1. 공통사항 - 성별, 연령 제한 없음 (단, 임용일 기준 공사 연령정년인 만 60세 초과자 제외) - 입사일 당일부터 근무 가능자 (입사연기 불가) - 공사 「인사규정」 제6조의 결격사유에 해당하지 않는 자 - 「병역법」 제76조에 정한 병역의무 불이행 사실이 없는 자 - 모집분야별, 근무지별 중복지원 불가 / 중복지원 시 불합격 처리 2. 경영관리(보훈) : 「국가유공자 등 예우 및 지원에 관한 법률」 제29조에 의한 취업지원대상자 3. 경영관리(일반) : 제한 없음 4. 기술(보훈) : 가, 나에 해당하는 자격을 모두 갖춘 자 가. 「국가유공자 등 예우 및 지원에 관한 법률」 제29조에 의한 취업지원대상자 나. 다음 중 1개 이상의 자격을 갖춘 자 - 전기분야 기능사 이상 자격이 있는 사람 - 고등학교에서 전기 관련 학과를 졸업한 자 또는 이와 같은 수준 이상의 학력이 있는 자 5. 기술(일반) : 다음 중 1개 이상의 자격을 갖춘 자 - 전기분야 기능사 이상 자격이 있는 사람 - 고등학교에서 전기 관련 학과를 졸업한 자 또는 이와 같은 수준 이상의 학력이 있는 자</x:v>
      </x:c>
      <x:c r="L67" s="17" t="str">
        <x:v>취업지원대상자, 장애인, 기초생활수급자, 한부모가족, 북한이탈주민, 다문화가족 자녀, 자립준비청년, 한국전기안전공사 체험형 인턴 수료자, 한국전기안전공사 주관 대국민 공모전 입상자(장관상 이상)</x:v>
      </x:c>
      <x:c r="M67" s="17" t="str">
        <x:v>상세 페이지 확인</x:v>
      </x:c>
      <x:c r="N67" s="17" t="str">
        <x:v>정상</x:v>
      </x:c>
      <x:c r="O67" s="18" t="str">
        <x:v>https://job.alio.go.kr/recruitview.do?idx=304762</x:v>
      </x:c>
      <x:c r="P67" s="1"/>
      <x:c r="Q67" s="1"/>
      <x:c r="R67" s="1"/>
      <x:c r="S67" s="1"/>
      <x:c r="T67" s="1"/>
      <x:c r="U67" s="1"/>
      <x:c r="V67" s="1"/>
      <x:c r="W67" s="1"/>
      <x:c r="X67" s="1"/>
      <x:c r="Y67" s="1"/>
      <x:c r="Z67" s="1"/>
    </x:row>
    <x:row r="68" ht="56" customHeight="1">
      <x:c r="A68" s="17" t="n">
        <x:v>64</x:v>
      </x:c>
      <x:c r="B68" s="17" t="str">
        <x:v>JOB-ALIO</x:v>
      </x:c>
      <x:c r="C68" s="17" t="str">
        <x:v>한국특허기술진흥원</x:v>
      </x:c>
      <x:c r="D68" s="17" t="str">
        <x:v>한국특허기술진흥원 기간제계약직(영문에디터(휴직대체), 청소원(장애인제한경쟁, 재공고)) 채용 안내</x:v>
      </x:c>
      <x:c r="E68" s="17" t="str">
        <x:v>서울 외 1</x:v>
      </x:c>
      <x:c r="F68" s="17" t="str">
        <x:v>비정규직</x:v>
      </x:c>
      <x:c r="G68" s="17" t="str">
        <x:v>2026-09-22</x:v>
      </x:c>
      <x:c r="H68" s="17" t="str">
        <x:v>제한경쟁·조건부</x:v>
      </x:c>
      <x:c r="I68" s="17" t="str">
        <x:v>조건 충족자만</x:v>
      </x:c>
      <x:c r="J68" s="17" t="str">
        <x:v>장애 관련 제한경쟁</x:v>
      </x:c>
      <x:c r="K68" s="17" t="str">
        <x:v>상세공고 확인</x:v>
      </x:c>
      <x:c r="L68" s="17" t="str">
        <x:v>상세공고 확인</x:v>
      </x:c>
      <x:c r="M68" s="17" t="str">
        <x:v>목록 항목 확인</x:v>
      </x:c>
      <x:c r="N68" s="17" t="str">
        <x:v>정상</x:v>
      </x:c>
      <x:c r="O68" s="18" t="str">
        <x:v>https://job.alio.go.kr/recruitview.do?idx=304720</x:v>
      </x:c>
      <x:c r="P68" s="1"/>
      <x:c r="Q68" s="1"/>
      <x:c r="R68" s="1"/>
      <x:c r="S68" s="1"/>
      <x:c r="T68" s="1"/>
      <x:c r="U68" s="1"/>
      <x:c r="V68" s="1"/>
      <x:c r="W68" s="1"/>
      <x:c r="X68" s="1"/>
      <x:c r="Y68" s="1"/>
      <x:c r="Z68" s="1"/>
    </x:row>
    <x:row r="69" ht="56" customHeight="1">
      <x:c r="A69" s="17" t="n">
        <x:v>65</x:v>
      </x:c>
      <x:c r="B69" s="17" t="str">
        <x:v>JOB-ALIO</x:v>
      </x:c>
      <x:c r="C69" s="17" t="str">
        <x:v>해양환경공단</x:v>
      </x:c>
      <x:c r="D69" s="17" t="str">
        <x:v>2026년 하반기 해양환경공단 체험형 청년인턴(장애인 제한) 채용 공고</x:v>
      </x:c>
      <x:c r="E69" s="17" t="str">
        <x:v>서울 외 1</x:v>
      </x:c>
      <x:c r="F69" s="17" t="str">
        <x:v>청년인턴(체험형)</x:v>
      </x:c>
      <x:c r="G69" s="17" t="str">
        <x:v>2026-09-22</x:v>
      </x:c>
      <x:c r="H69" s="17" t="str">
        <x:v>제한경쟁·조건부</x:v>
      </x:c>
      <x:c r="I69" s="17" t="str">
        <x:v>조건 충족자만</x:v>
      </x:c>
      <x:c r="J69" s="17" t="str">
        <x:v>장애 관련 제한경쟁</x:v>
      </x:c>
      <x:c r="K69" s="17" t="str">
        <x:v>상세공고 확인</x:v>
      </x:c>
      <x:c r="L69" s="17" t="str">
        <x:v>상세공고 확인</x:v>
      </x:c>
      <x:c r="M69" s="17" t="str">
        <x:v>목록 항목 확인</x:v>
      </x:c>
      <x:c r="N69" s="17" t="str">
        <x:v>정상</x:v>
      </x:c>
      <x:c r="O69" s="18" t="str">
        <x:v>https://job.alio.go.kr/recruitview.do?idx=304738</x:v>
      </x:c>
      <x:c r="P69" s="1"/>
      <x:c r="Q69" s="1"/>
      <x:c r="R69" s="1"/>
      <x:c r="S69" s="1"/>
      <x:c r="T69" s="1"/>
      <x:c r="U69" s="1"/>
      <x:c r="V69" s="1"/>
      <x:c r="W69" s="1"/>
      <x:c r="X69" s="1"/>
      <x:c r="Y69" s="1"/>
      <x:c r="Z69" s="1"/>
    </x:row>
    <x:row r="70" ht="56" customHeight="1">
      <x:c r="A70" s="17" t="n">
        <x:v>66</x:v>
      </x:c>
      <x:c r="B70" s="17" t="str">
        <x:v>JOB-ALIO</x:v>
      </x:c>
      <x:c r="C70" s="17" t="str">
        <x:v>산업연구원</x:v>
      </x:c>
      <x:c r="D70" s="17" t="str">
        <x:v>2026년 제6차 청년인턴 채용공고(장애인 제한경쟁)</x:v>
      </x:c>
      <x:c r="E70" s="17" t="str">
        <x:v>세종</x:v>
      </x:c>
      <x:c r="F70" s="17" t="str">
        <x:v>청년인턴(체험형)</x:v>
      </x:c>
      <x:c r="G70" s="17" t="str">
        <x:v>2026-09-23</x:v>
      </x:c>
      <x:c r="H70" s="17" t="str">
        <x:v>제한경쟁·조건부</x:v>
      </x:c>
      <x:c r="I70" s="17" t="str">
        <x:v>조건 충족자만</x:v>
      </x:c>
      <x:c r="J70" s="17" t="str">
        <x:v>장애 관련 제한경쟁</x:v>
      </x:c>
      <x:c r="K70" s="17" t="str">
        <x:v>상세공고 확인</x:v>
      </x:c>
      <x:c r="L70" s="17" t="str">
        <x:v>상세공고 확인</x:v>
      </x:c>
      <x:c r="M70" s="17" t="str">
        <x:v>목록 항목 확인</x:v>
      </x:c>
      <x:c r="N70" s="17" t="str">
        <x:v>정상</x:v>
      </x:c>
      <x:c r="O70" s="18" t="str">
        <x:v>https://job.alio.go.kr/recruitview.do?idx=304769</x:v>
      </x:c>
      <x:c r="P70" s="1"/>
      <x:c r="Q70" s="1"/>
      <x:c r="R70" s="1"/>
      <x:c r="S70" s="1"/>
      <x:c r="T70" s="1"/>
      <x:c r="U70" s="1"/>
      <x:c r="V70" s="1"/>
      <x:c r="W70" s="1"/>
      <x:c r="X70" s="1"/>
      <x:c r="Y70" s="1"/>
      <x:c r="Z70" s="1"/>
    </x:row>
    <x:row r="71" ht="56" customHeight="1">
      <x:c r="A71" s="17" t="n">
        <x:v>67</x:v>
      </x:c>
      <x:c r="B71" s="17" t="str">
        <x:v>JOB-ALIO</x:v>
      </x:c>
      <x:c r="C71" s="17" t="str">
        <x:v>창업진흥원</x:v>
      </x:c>
      <x:c r="D71" s="17" t="str">
        <x:v>2026년 창업진흥원 제5차 체험형 청년인턴(장애) 채용 공고</x:v>
      </x:c>
      <x:c r="E71" s="17" t="str">
        <x:v>서울 외 2</x:v>
      </x:c>
      <x:c r="F71" s="17" t="str">
        <x:v>청년인턴(체험형)</x:v>
      </x:c>
      <x:c r="G71" s="17" t="str">
        <x:v>2026-09-23</x:v>
      </x:c>
      <x:c r="H71" s="17" t="str">
        <x:v>제한경쟁·조건부</x:v>
      </x:c>
      <x:c r="I71" s="17" t="str">
        <x:v>조건 충족자만</x:v>
      </x:c>
      <x:c r="J71" s="17" t="str">
        <x:v>장애 관련 제한경쟁</x:v>
      </x:c>
      <x:c r="K71" s="17" t="str">
        <x:v>상세공고 확인</x:v>
      </x:c>
      <x:c r="L71" s="17" t="str">
        <x:v>상세공고 확인</x:v>
      </x:c>
      <x:c r="M71" s="17" t="str">
        <x:v>목록 항목 확인</x:v>
      </x:c>
      <x:c r="N71" s="17" t="str">
        <x:v>정상</x:v>
      </x:c>
      <x:c r="O71" s="18" t="str">
        <x:v>https://job.alio.go.kr/recruitview.do?idx=304736</x:v>
      </x:c>
      <x:c r="P71" s="1"/>
      <x:c r="Q71" s="1"/>
      <x:c r="R71" s="1"/>
      <x:c r="S71" s="1"/>
      <x:c r="T71" s="1"/>
      <x:c r="U71" s="1"/>
      <x:c r="V71" s="1"/>
      <x:c r="W71" s="1"/>
      <x:c r="X71" s="1"/>
      <x:c r="Y71" s="1"/>
      <x:c r="Z71" s="1"/>
    </x:row>
    <x:row r="72" ht="56" customHeight="1">
      <x:c r="A72" s="17" t="n">
        <x:v>68</x:v>
      </x:c>
      <x:c r="B72" s="17" t="str">
        <x:v>JOB-ALIO</x:v>
      </x:c>
      <x:c r="C72" s="17" t="str">
        <x:v>한국장애인개발원</x:v>
      </x:c>
      <x:c r="D72" s="17" t="str">
        <x:v>[제2026-97호] 2026년도 제6차 대구광역시장애아동·발달장애인지원센터 청년인턴(장애인 제한경쟁) 채용 공고</x:v>
      </x:c>
      <x:c r="E72" s="17" t="str">
        <x:v>대구</x:v>
      </x:c>
      <x:c r="F72" s="17" t="str">
        <x:v>청년인턴(체험형)</x:v>
      </x:c>
      <x:c r="G72" s="17" t="str">
        <x:v>2026-09-23</x:v>
      </x:c>
      <x:c r="H72" s="17" t="str">
        <x:v>제한경쟁·조건부</x:v>
      </x:c>
      <x:c r="I72" s="17" t="str">
        <x:v>조건 충족자만</x:v>
      </x:c>
      <x:c r="J72" s="17" t="str">
        <x:v>장애 관련 제한경쟁</x:v>
      </x:c>
      <x:c r="K72" s="17" t="str">
        <x:v>상세공고 확인</x:v>
      </x:c>
      <x:c r="L72" s="17" t="str">
        <x:v>상세공고 확인</x:v>
      </x:c>
      <x:c r="M72" s="17" t="str">
        <x:v>목록 항목 확인</x:v>
      </x:c>
      <x:c r="N72" s="17" t="str">
        <x:v>정상</x:v>
      </x:c>
      <x:c r="O72" s="18" t="str">
        <x:v>https://job.alio.go.kr/recruitview.do?idx=304743</x:v>
      </x:c>
      <x:c r="P72" s="1"/>
      <x:c r="Q72" s="1"/>
      <x:c r="R72" s="1"/>
      <x:c r="S72" s="1"/>
      <x:c r="T72" s="1"/>
      <x:c r="U72" s="1"/>
      <x:c r="V72" s="1"/>
      <x:c r="W72" s="1"/>
      <x:c r="X72" s="1"/>
      <x:c r="Y72" s="1"/>
      <x:c r="Z72" s="1"/>
    </x:row>
    <x:row r="73" ht="56" customHeight="1">
      <x:c r="A73" s="17" t="n">
        <x:v>69</x:v>
      </x:c>
      <x:c r="B73" s="17" t="str">
        <x:v>JOB-ALIO</x:v>
      </x:c>
      <x:c r="C73" s="17" t="str">
        <x:v>한국콘텐츠진흥원</x:v>
      </x:c>
      <x:c r="D73" s="17" t="str">
        <x:v>2026년 4분기 한국콘텐츠진흥원 신입직원 채용 공고</x:v>
      </x:c>
      <x:c r="E73" s="17" t="str">
        <x:v>전남광주</x:v>
      </x:c>
      <x:c r="F73" s="17" t="str">
        <x:v>정규직</x:v>
      </x:c>
      <x:c r="G73" s="17" t="str">
        <x:v>2026-09-28</x:v>
      </x:c>
      <x:c r="H73" s="17" t="str">
        <x:v>신입·정규직</x:v>
      </x:c>
      <x:c r="I73" s="17" t="str">
        <x:v>우선검토</x:v>
      </x:c>
      <x:c r="J73" s="17" t="str">
        <x:v>제한 문구 미탐지</x:v>
      </x:c>
      <x:c r="K73" s="17" t="str">
        <x:v>- 연령, 성별, 학력, 전공 제한 없음 (단, 입사예정일 기준 우리원 정년(만 60세)에 도달하는 자는 지원 불가 - 병역법 제 76조에서 정한 병역의무 불이행 사실이 없는 자 - 직무기술서에 따른 업무가 가능한 자 - 입사일 즉시 근무 가능한 자 - 콘진원 인사규정 제 8조의 결격사유에 해당하지 않는 자</x:v>
      </x:c>
      <x:c r="L73" s="17" t="str">
        <x:v>취업지원대상자, 장애인, 청년, 경력단절여성, 기초생활수급자, 우수인턴, 전문자격증 소지자</x:v>
      </x:c>
      <x:c r="M73" s="17" t="str">
        <x:v>상세 페이지 확인</x:v>
      </x:c>
      <x:c r="N73" s="17" t="str">
        <x:v>정상</x:v>
      </x:c>
      <x:c r="O73" s="18" t="str">
        <x:v>https://job.alio.go.kr/recruitview.do?idx=304527</x:v>
      </x:c>
      <x:c r="P73" s="1"/>
      <x:c r="Q73" s="1"/>
      <x:c r="R73" s="1"/>
      <x:c r="S73" s="1"/>
      <x:c r="T73" s="1"/>
      <x:c r="U73" s="1"/>
      <x:c r="V73" s="1"/>
      <x:c r="W73" s="1"/>
      <x:c r="X73" s="1"/>
      <x:c r="Y73" s="1"/>
      <x:c r="Z73" s="1"/>
    </x:row>
    <x:row r="74" ht="56" customHeight="1">
      <x:c r="A74" s="17" t="n">
        <x:v>70</x:v>
      </x:c>
      <x:c r="B74" s="17" t="str">
        <x:v>Cleaneye Job+</x:v>
      </x:c>
      <x:c r="C74" s="17" t="str">
        <x:v>재단법인 대전광역시 사회서비스원</x:v>
      </x:c>
      <x:c r="D74" s="17" t="str">
        <x:v>「대전광역시사회서비스원」 2026년 대전시사회복지대체인력지원센터 인력풀 모집</x:v>
      </x:c>
      <x:c r="E74" s="17" t="str">
        <x:v>대전광역시</x:v>
      </x:c>
      <x:c r="F74" s="17" t="str">
        <x:v>기간제</x:v>
      </x:c>
      <x:c r="G74" s="17" t="str">
        <x:v>2026-11-12</x:v>
      </x:c>
      <x:c r="H74" s="17" t="str">
        <x:v>기간제·비정규</x:v>
      </x:c>
      <x:c r="I74" s="17" t="str">
        <x:v>검토</x:v>
      </x:c>
      <x:c r="J74" s="17" t="str">
        <x:v>제한 문구 미탐지</x:v>
      </x:c>
      <x:c r="K74" s="17" t="str">
        <x:v>기관 공고 원문 확인</x:v>
      </x:c>
      <x:c r="L74" s="17" t="str">
        <x:v>기관 공고 원문 확인</x:v>
      </x:c>
      <x:c r="M74" s="17" t="str">
        <x:v>포털 목록 확인</x:v>
      </x:c>
      <x:c r="N74" s="17" t="str">
        <x:v>정상</x:v>
      </x:c>
      <x:c r="O74" s="18" t="str">
        <x:v>https://job.cleaneye.go.kr/user/ypRecruitment.do</x:v>
      </x:c>
      <x:c r="P74" s="1"/>
      <x:c r="Q74" s="1"/>
      <x:c r="R74" s="1"/>
      <x:c r="S74" s="1"/>
      <x:c r="T74" s="1"/>
      <x:c r="U74" s="1"/>
      <x:c r="V74" s="1"/>
      <x:c r="W74" s="1"/>
      <x:c r="X74" s="1"/>
      <x:c r="Y74" s="1"/>
      <x:c r="Z74" s="1"/>
    </x:row>
    <x:row r="75" ht="56" customHeight="1">
      <x:c r="A75" s="17" t="n">
        <x:v>71</x:v>
      </x:c>
      <x:c r="B75" s="17" t="str">
        <x:v>Cleaneye Job+</x:v>
      </x:c>
      <x:c r="C75" s="17" t="str">
        <x:v>서귀포의료원</x:v>
      </x:c>
      <x:c r="D75" s="17" t="str">
        <x:v>직원 수시모집 공고 - 기간제(정신건강사회복지사)</x:v>
      </x:c>
      <x:c r="E75" s="17" t="str">
        <x:v>제주특별자치도</x:v>
      </x:c>
      <x:c r="F75" s="17" t="str">
        <x:v>기간제</x:v>
      </x:c>
      <x:c r="G75" s="17" t="str">
        <x:v>2026-12-31</x:v>
      </x:c>
      <x:c r="H75" s="17" t="str">
        <x:v>기간제·비정규</x:v>
      </x:c>
      <x:c r="I75" s="17" t="str">
        <x:v>검토</x:v>
      </x:c>
      <x:c r="J75" s="17" t="str">
        <x:v>제한 문구 미탐지</x:v>
      </x:c>
      <x:c r="K75" s="17" t="str">
        <x:v>기관 공고 원문 확인</x:v>
      </x:c>
      <x:c r="L75" s="17" t="str">
        <x:v>기관 공고 원문 확인</x:v>
      </x:c>
      <x:c r="M75" s="17" t="str">
        <x:v>포털 목록 확인</x:v>
      </x:c>
      <x:c r="N75" s="17" t="str">
        <x:v>정상</x:v>
      </x:c>
      <x:c r="O75" s="18" t="str">
        <x:v>https://job.cleaneye.go.kr/user/ypRecruitment.do</x:v>
      </x:c>
      <x:c r="P75" s="1"/>
      <x:c r="Q75" s="1"/>
      <x:c r="R75" s="1"/>
      <x:c r="S75" s="1"/>
      <x:c r="T75" s="1"/>
      <x:c r="U75" s="1"/>
      <x:c r="V75" s="1"/>
      <x:c r="W75" s="1"/>
      <x:c r="X75" s="1"/>
      <x:c r="Y75" s="1"/>
      <x:c r="Z75" s="1"/>
    </x:row>
    <x:row r="76" ht="56" customHeight="1">
      <x:c r="A76" s="17" t="n">
        <x:v>72</x:v>
      </x:c>
      <x:c r="B76" s="17" t="str">
        <x:v>Cleaneye Job+</x:v>
      </x:c>
      <x:c r="C76" s="17" t="str">
        <x:v>경북행복재단</x:v>
      </x:c>
      <x:c r="D76" s="17" t="str">
        <x:v>경상북도 사회복지대체인력지원센터 직원 공개모집 재공고</x:v>
      </x:c>
      <x:c r="E76" s="17" t="str">
        <x:v>경상북도</x:v>
      </x:c>
      <x:c r="F76" s="17" t="str">
        <x:v>일반계약직</x:v>
      </x:c>
      <x:c r="G76" s="17" t="str">
        <x:v>2054-07-10</x:v>
      </x:c>
      <x:c r="H76" s="17" t="str">
        <x:v>기간제·비정규</x:v>
      </x:c>
      <x:c r="I76" s="17" t="str">
        <x:v>검토</x:v>
      </x:c>
      <x:c r="J76" s="17" t="str">
        <x:v>제한 문구 미탐지</x:v>
      </x:c>
      <x:c r="K76" s="17" t="str">
        <x:v>기관 공고 원문 확인</x:v>
      </x:c>
      <x:c r="L76" s="17" t="str">
        <x:v>기관 공고 원문 확인</x:v>
      </x:c>
      <x:c r="M76" s="17" t="str">
        <x:v>포털 목록 확인</x:v>
      </x:c>
      <x:c r="N76" s="17" t="str">
        <x:v>장기 미마감(원문 확인)</x:v>
      </x:c>
      <x:c r="O76" s="18" t="str">
        <x:v>https://job.cleaneye.go.kr/user/ypRecruitment.do</x:v>
      </x:c>
      <x:c r="P76" s="1"/>
      <x:c r="Q76" s="1"/>
      <x:c r="R76" s="1"/>
      <x:c r="S76" s="1"/>
      <x:c r="T76" s="1"/>
      <x:c r="U76" s="1"/>
      <x:c r="V76" s="1"/>
      <x:c r="W76" s="1"/>
      <x:c r="X76" s="1"/>
      <x:c r="Y76" s="1"/>
      <x:c r="Z76" s="1"/>
    </x:row>
    <x:row r="77" ht="56" customHeight="1">
      <x:c r="A77" s="17" t="n">
        <x:v>73</x:v>
      </x:c>
      <x:c r="B77" s="17" t="str">
        <x:v>Cleaneye Job+</x:v>
      </x:c>
      <x:c r="C77" s="17" t="str">
        <x:v>서산의료원</x:v>
      </x:c>
      <x:c r="D77" s="17" t="str">
        <x:v>직원채용(기간제 업무보조-장애인제한경쟁)재공고</x:v>
      </x:c>
      <x:c r="E77" s="17" t="str">
        <x:v>충청남도</x:v>
      </x:c>
      <x:c r="F77" s="17" t="str">
        <x:v>기간제</x:v>
      </x:c>
      <x:c r="G77" s="17" t="str">
        <x:v>2400-03-19</x:v>
      </x:c>
      <x:c r="H77" s="17" t="str">
        <x:v>제한경쟁·조건부</x:v>
      </x:c>
      <x:c r="I77" s="17" t="str">
        <x:v>조건 충족자만</x:v>
      </x:c>
      <x:c r="J77" s="17" t="str">
        <x:v>장애 관련 제한경쟁</x:v>
      </x:c>
      <x:c r="K77" s="17" t="str">
        <x:v>기관 공고 원문 확인</x:v>
      </x:c>
      <x:c r="L77" s="17" t="str">
        <x:v>기관 공고 원문 확인</x:v>
      </x:c>
      <x:c r="M77" s="17" t="str">
        <x:v>포털 목록 확인</x:v>
      </x:c>
      <x:c r="N77" s="17" t="str">
        <x:v>장기 미마감(원문 확인)</x:v>
      </x:c>
      <x:c r="O77" s="18" t="str">
        <x:v>https://job.cleaneye.go.kr/user/ypRecruitment.do</x:v>
      </x:c>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1:O1"/>
    <x:mergeCell ref="A2:O2"/>
  </x:mergeCells>
  <x:conditionalFormatting sqref="J5:J77">
    <x:cfRule type="containsText" dxfId="15" priority="1" operator="containsText" text="제한경쟁"/>
  </x:conditionalFormatting>
  <x:pageMargins left="0.7" right="0.7" top="0.75" bottom="0.75" header="0.3" footer="0.3"/>
  <x:tableParts count="1">
    <x:tablePart xmlns:r="http://schemas.openxmlformats.org/officeDocument/2006/relationships" r:id="R8e3b9d7167a1417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7" hidden="0" customWidth="1"/>
    <x:col min="2" max="2" width="26" hidden="0" customWidth="1"/>
    <x:col min="3" max="3" width="56" hidden="0" customWidth="1"/>
    <x:col min="4" max="4" width="14" hidden="0" customWidth="1"/>
    <x:col min="5" max="5" width="20" hidden="0" customWidth="1"/>
    <x:col min="6" max="6" width="14" hidden="0" customWidth="1"/>
    <x:col min="7" max="7" width="18" hidden="0" customWidth="1"/>
    <x:col min="8" max="8" width="20" hidden="0" customWidth="1"/>
    <x:col min="9" max="9" width="20" hidden="0" customWidth="1"/>
    <x:col min="10" max="10" width="18" hidden="0" customWidth="1"/>
    <x:col min="11" max="11" width="14" hidden="0" customWidth="1"/>
    <x:col min="12" max="12" width="18" hidden="0" customWidth="1"/>
    <x:col min="13" max="13" width="38" hidden="0" customWidth="1"/>
    <x:col min="14" max="14" width="52" hidden="0" customWidth="1"/>
  </x:cols>
  <x:sheetData>
    <x:row r="1" ht="32" customHeight="1">
      <x:c r="A1" s="4" t="str">
        <x:v>지원관리 — 우선후보 50건</x:v>
      </x:c>
      <x:c r="B1" s="4"/>
      <x:c r="C1" s="4"/>
      <x:c r="D1" s="4"/>
      <x:c r="E1" s="4"/>
      <x:c r="F1" s="4"/>
      <x:c r="G1" s="4"/>
      <x:c r="H1" s="4"/>
      <x:c r="I1" s="4"/>
      <x:c r="J1" s="4"/>
      <x:c r="K1" s="4"/>
      <x:c r="L1" s="4"/>
      <x:c r="M1" s="4"/>
      <x:c r="N1" s="4"/>
      <x:c r="O1" s="1"/>
      <x:c r="P1" s="1"/>
      <x:c r="Q1" s="1"/>
      <x:c r="R1" s="1"/>
      <x:c r="S1" s="1"/>
      <x:c r="T1" s="1"/>
      <x:c r="U1" s="1"/>
      <x:c r="V1" s="1"/>
      <x:c r="W1" s="1"/>
      <x:c r="X1" s="1"/>
      <x:c r="Y1" s="1"/>
      <x:c r="Z1" s="1"/>
    </x:row>
    <x:row r="2" ht="38" customHeight="1">
      <x:c r="A2" s="8" t="str">
        <x:v>G~K열을 직접 수정하세요. 필수·지역·일정 중 하나라도 ‘아니오’면 수식이 ‘지원 제외’로 표시합니다. 공고 원문 확인 후에만 ‘예’로 바꾸세요.</x:v>
      </x:c>
      <x:c r="B2" s="8"/>
      <x:c r="C2" s="8"/>
      <x:c r="D2" s="8"/>
      <x:c r="E2" s="8"/>
      <x:c r="F2" s="8"/>
      <x:c r="G2" s="8"/>
      <x:c r="H2" s="8"/>
      <x:c r="I2" s="8"/>
      <x:c r="J2" s="8"/>
      <x:c r="K2" s="8"/>
      <x:c r="L2" s="8"/>
      <x:c r="M2" s="8"/>
      <x:c r="N2" s="8"/>
      <x:c r="O2" s="1"/>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ht="36" customHeight="1">
      <x:c r="A4" s="14" t="str">
        <x:v>순번</x:v>
      </x:c>
      <x:c r="B4" s="14" t="str">
        <x:v>기관명</x:v>
      </x:c>
      <x:c r="C4" s="14" t="str">
        <x:v>공고명</x:v>
      </x:c>
      <x:c r="D4" s="14" t="str">
        <x:v>출처</x:v>
      </x:c>
      <x:c r="E4" s="14" t="str">
        <x:v>근무지역</x:v>
      </x:c>
      <x:c r="F4" s="14" t="str">
        <x:v>마감일</x:v>
      </x:c>
      <x:c r="G4" s="14" t="str">
        <x:v>진행상태</x:v>
      </x:c>
      <x:c r="H4" s="14" t="str">
        <x:v>필수자격 충족</x:v>
      </x:c>
      <x:c r="I4" s="14" t="str">
        <x:v>지역조건 충족</x:v>
      </x:c>
      <x:c r="J4" s="14" t="str">
        <x:v>일정 가능</x:v>
      </x:c>
      <x:c r="K4" s="14" t="str">
        <x:v>관심도(1~5)</x:v>
      </x:c>
      <x:c r="L4" s="14" t="str">
        <x:v>지원판정</x:v>
      </x:c>
      <x:c r="M4" s="14" t="str">
        <x:v>메모</x:v>
      </x:c>
      <x:c r="N4" s="14" t="str">
        <x:v>공식 링크</x:v>
      </x:c>
      <x:c r="O4" s="1"/>
      <x:c r="P4" s="1"/>
      <x:c r="Q4" s="1"/>
      <x:c r="R4" s="1"/>
      <x:c r="S4" s="1"/>
      <x:c r="T4" s="1"/>
      <x:c r="U4" s="1"/>
      <x:c r="V4" s="1"/>
      <x:c r="W4" s="1"/>
      <x:c r="X4" s="1"/>
      <x:c r="Y4" s="1"/>
      <x:c r="Z4" s="1"/>
    </x:row>
    <x:row r="5" ht="50" customHeight="1">
      <x:c r="A5" s="17" t="n">
        <x:v>1</x:v>
      </x:c>
      <x:c r="B5" s="17" t="str">
        <x:v>예금보험공사</x:v>
      </x:c>
      <x:c r="C5" s="17" t="str">
        <x:v>2026년도 예금보험공사 신입직원 채용안내</x:v>
      </x:c>
      <x:c r="D5" s="17" t="str">
        <x:v>JOB-ALIO</x:v>
      </x:c>
      <x:c r="E5" s="17" t="str">
        <x:v>서울</x:v>
      </x:c>
      <x:c r="F5" s="17" t="str">
        <x:v>2026-09-11</x:v>
      </x:c>
      <x:c r="G5" s="17" t="str">
        <x:v>관심</x:v>
      </x:c>
      <x:c r="H5" s="17" t="str">
        <x:v>확인 필요</x:v>
      </x:c>
      <x:c r="I5" s="17" t="str">
        <x:v>확인 필요</x:v>
      </x:c>
      <x:c r="J5" s="17" t="str">
        <x:v>확인 필요</x:v>
      </x:c>
      <x:c r="K5" s="17" t="n">
        <x:v>3</x:v>
      </x:c>
      <x:c r="L5" s="17" t="str">
        <x:f>IF(OR(H5="아니오",I5="아니오",J5="아니오"),"지원 제외",IF(AND(H5="예",I5="예",J5="예",K5&gt;=4),"우선 지원","추가 확인"))</x:f>
        <x:v>추가 확인</x:v>
      </x:c>
      <x:c r="M5" s="17" t="str"/>
      <x:c r="N5" s="18" t="str">
        <x:v>https://job.alio.go.kr/recruitview.do?idx=304400</x:v>
      </x:c>
      <x:c r="O5" s="1"/>
      <x:c r="P5" s="1"/>
      <x:c r="Q5" s="1"/>
      <x:c r="R5" s="1"/>
      <x:c r="S5" s="1"/>
      <x:c r="T5" s="1"/>
      <x:c r="U5" s="1"/>
      <x:c r="V5" s="1"/>
      <x:c r="W5" s="1"/>
      <x:c r="X5" s="1"/>
      <x:c r="Y5" s="1"/>
      <x:c r="Z5" s="1"/>
    </x:row>
    <x:row r="6" ht="50" customHeight="1">
      <x:c r="A6" s="17" t="n">
        <x:v>2</x:v>
      </x:c>
      <x:c r="B6" s="17" t="str">
        <x:v>중소기업은행</x:v>
      </x:c>
      <x:c r="C6" s="17" t="str">
        <x:v>2026년 하반기 IBK기업은행 신입행원 채용공고</x:v>
      </x:c>
      <x:c r="D6" s="17" t="str">
        <x:v>JOB-ALIO</x:v>
      </x:c>
      <x:c r="E6" s="17" t="str">
        <x:v>서울 외 16</x:v>
      </x:c>
      <x:c r="F6" s="17" t="str">
        <x:v>2026-09-14</x:v>
      </x:c>
      <x:c r="G6" s="17" t="str">
        <x:v>관심</x:v>
      </x:c>
      <x:c r="H6" s="17" t="str">
        <x:v>확인 필요</x:v>
      </x:c>
      <x:c r="I6" s="17" t="str">
        <x:v>확인 필요</x:v>
      </x:c>
      <x:c r="J6" s="17" t="str">
        <x:v>확인 필요</x:v>
      </x:c>
      <x:c r="K6" s="17" t="n">
        <x:v>3</x:v>
      </x:c>
      <x:c r="L6" s="17" t="str">
        <x:f>IF(OR(H6="아니오",I6="아니오",J6="아니오"),"지원 제외",IF(AND(H6="예",I6="예",J6="예",K6&gt;=4),"우선 지원","추가 확인"))</x:f>
        <x:v>추가 확인</x:v>
      </x:c>
      <x:c r="M6" s="17" t="str"/>
      <x:c r="N6" s="18" t="str">
        <x:v>https://job.alio.go.kr/recruitview.do?idx=304338</x:v>
      </x:c>
      <x:c r="O6" s="1"/>
      <x:c r="P6" s="1"/>
      <x:c r="Q6" s="1"/>
      <x:c r="R6" s="1"/>
      <x:c r="S6" s="1"/>
      <x:c r="T6" s="1"/>
      <x:c r="U6" s="1"/>
      <x:c r="V6" s="1"/>
      <x:c r="W6" s="1"/>
      <x:c r="X6" s="1"/>
      <x:c r="Y6" s="1"/>
      <x:c r="Z6" s="1"/>
    </x:row>
    <x:row r="7" ht="50" customHeight="1">
      <x:c r="A7" s="17" t="n">
        <x:v>3</x:v>
      </x:c>
      <x:c r="B7" s="17" t="str">
        <x:v>한국산업은행</x:v>
      </x:c>
      <x:c r="C7" s="17" t="str">
        <x:v>한국산업은행 2027년 5급 신입행원(일반) 채용공고</x:v>
      </x:c>
      <x:c r="D7" s="17" t="str">
        <x:v>JOB-ALIO</x:v>
      </x:c>
      <x:c r="E7" s="17" t="str">
        <x:v>서울 외 15</x:v>
      </x:c>
      <x:c r="F7" s="17" t="str">
        <x:v>2026-09-14</x:v>
      </x:c>
      <x:c r="G7" s="17" t="str">
        <x:v>관심</x:v>
      </x:c>
      <x:c r="H7" s="17" t="str">
        <x:v>확인 필요</x:v>
      </x:c>
      <x:c r="I7" s="17" t="str">
        <x:v>확인 필요</x:v>
      </x:c>
      <x:c r="J7" s="17" t="str">
        <x:v>확인 필요</x:v>
      </x:c>
      <x:c r="K7" s="17" t="n">
        <x:v>3</x:v>
      </x:c>
      <x:c r="L7" s="17" t="str">
        <x:f>IF(OR(H7="아니오",I7="아니오",J7="아니오"),"지원 제외",IF(AND(H7="예",I7="예",J7="예",K7&gt;=4),"우선 지원","추가 확인"))</x:f>
        <x:v>추가 확인</x:v>
      </x:c>
      <x:c r="M7" s="17" t="str"/>
      <x:c r="N7" s="18" t="str">
        <x:v>https://job.alio.go.kr/recruitview.do?idx=304398</x:v>
      </x:c>
      <x:c r="O7" s="1"/>
      <x:c r="P7" s="1"/>
      <x:c r="Q7" s="1"/>
      <x:c r="R7" s="1"/>
      <x:c r="S7" s="1"/>
      <x:c r="T7" s="1"/>
      <x:c r="U7" s="1"/>
      <x:c r="V7" s="1"/>
      <x:c r="W7" s="1"/>
      <x:c r="X7" s="1"/>
      <x:c r="Y7" s="1"/>
      <x:c r="Z7" s="1"/>
    </x:row>
    <x:row r="8" ht="50" customHeight="1">
      <x:c r="A8" s="17" t="n">
        <x:v>4</x:v>
      </x:c>
      <x:c r="B8" s="17" t="str">
        <x:v>신용보증기금</x:v>
      </x:c>
      <x:c r="C8" s="17" t="str">
        <x:v>2026년도 하반기 신용보증기금 신입직원 채용</x:v>
      </x:c>
      <x:c r="D8" s="17" t="str">
        <x:v>JOB-ALIO</x:v>
      </x:c>
      <x:c r="E8" s="17" t="str">
        <x:v>서울 외 15</x:v>
      </x:c>
      <x:c r="F8" s="17" t="str">
        <x:v>2026-09-16</x:v>
      </x:c>
      <x:c r="G8" s="17" t="str">
        <x:v>관심</x:v>
      </x:c>
      <x:c r="H8" s="17" t="str">
        <x:v>확인 필요</x:v>
      </x:c>
      <x:c r="I8" s="17" t="str">
        <x:v>확인 필요</x:v>
      </x:c>
      <x:c r="J8" s="17" t="str">
        <x:v>확인 필요</x:v>
      </x:c>
      <x:c r="K8" s="17" t="n">
        <x:v>3</x:v>
      </x:c>
      <x:c r="L8" s="17" t="str">
        <x:f>IF(OR(H8="아니오",I8="아니오",J8="아니오"),"지원 제외",IF(AND(H8="예",I8="예",J8="예",K8&gt;=4),"우선 지원","추가 확인"))</x:f>
        <x:v>추가 확인</x:v>
      </x:c>
      <x:c r="M8" s="17" t="str"/>
      <x:c r="N8" s="18" t="str">
        <x:v>https://job.alio.go.kr/recruitview.do?idx=304432</x:v>
      </x:c>
      <x:c r="O8" s="1"/>
      <x:c r="P8" s="1"/>
      <x:c r="Q8" s="1"/>
      <x:c r="R8" s="1"/>
      <x:c r="S8" s="1"/>
      <x:c r="T8" s="1"/>
      <x:c r="U8" s="1"/>
      <x:c r="V8" s="1"/>
      <x:c r="W8" s="1"/>
      <x:c r="X8" s="1"/>
      <x:c r="Y8" s="1"/>
      <x:c r="Z8" s="1"/>
    </x:row>
    <x:row r="9" ht="50" customHeight="1">
      <x:c r="A9" s="17" t="n">
        <x:v>5</x:v>
      </x:c>
      <x:c r="B9" s="17" t="str">
        <x:v>한국전력공사</x:v>
      </x:c>
      <x:c r="C9" s="17" t="str">
        <x:v>2026년도 하반기 4직급 대졸수준 신입사원 채용공고</x:v>
      </x:c>
      <x:c r="D9" s="17" t="str">
        <x:v>JOB-ALIO</x:v>
      </x:c>
      <x:c r="E9" s="17" t="str">
        <x:v>서울 외 15</x:v>
      </x:c>
      <x:c r="F9" s="17" t="str">
        <x:v>2026-09-16</x:v>
      </x:c>
      <x:c r="G9" s="17" t="str">
        <x:v>관심</x:v>
      </x:c>
      <x:c r="H9" s="17" t="str">
        <x:v>확인 필요</x:v>
      </x:c>
      <x:c r="I9" s="17" t="str">
        <x:v>확인 필요</x:v>
      </x:c>
      <x:c r="J9" s="17" t="str">
        <x:v>확인 필요</x:v>
      </x:c>
      <x:c r="K9" s="17" t="n">
        <x:v>3</x:v>
      </x:c>
      <x:c r="L9" s="17" t="str">
        <x:f>IF(OR(H9="아니오",I9="아니오",J9="아니오"),"지원 제외",IF(AND(H9="예",I9="예",J9="예",K9&gt;=4),"우선 지원","추가 확인"))</x:f>
        <x:v>추가 확인</x:v>
      </x:c>
      <x:c r="M9" s="17" t="str"/>
      <x:c r="N9" s="18" t="str">
        <x:v>https://job.alio.go.kr/recruitview.do?idx=304551</x:v>
      </x:c>
      <x:c r="O9" s="1"/>
      <x:c r="P9" s="1"/>
      <x:c r="Q9" s="1"/>
      <x:c r="R9" s="1"/>
      <x:c r="S9" s="1"/>
      <x:c r="T9" s="1"/>
      <x:c r="U9" s="1"/>
      <x:c r="V9" s="1"/>
      <x:c r="W9" s="1"/>
      <x:c r="X9" s="1"/>
      <x:c r="Y9" s="1"/>
      <x:c r="Z9" s="1"/>
    </x:row>
    <x:row r="10" ht="50" customHeight="1">
      <x:c r="A10" s="17" t="n">
        <x:v>6</x:v>
      </x:c>
      <x:c r="B10" s="17" t="str">
        <x:v>부산항만공사</x:v>
      </x:c>
      <x:c r="C10" s="17" t="str">
        <x:v>부산항만공사 정규직(신입) 채용 공고</x:v>
      </x:c>
      <x:c r="D10" s="17" t="str">
        <x:v>JOB-ALIO</x:v>
      </x:c>
      <x:c r="E10" s="17" t="str">
        <x:v>부산</x:v>
      </x:c>
      <x:c r="F10" s="17" t="str">
        <x:v>2026-09-17</x:v>
      </x:c>
      <x:c r="G10" s="17" t="str">
        <x:v>관심</x:v>
      </x:c>
      <x:c r="H10" s="17" t="str">
        <x:v>확인 필요</x:v>
      </x:c>
      <x:c r="I10" s="17" t="str">
        <x:v>확인 필요</x:v>
      </x:c>
      <x:c r="J10" s="17" t="str">
        <x:v>확인 필요</x:v>
      </x:c>
      <x:c r="K10" s="17" t="n">
        <x:v>3</x:v>
      </x:c>
      <x:c r="L10" s="17" t="str">
        <x:f>IF(OR(H10="아니오",I10="아니오",J10="아니오"),"지원 제외",IF(AND(H10="예",I10="예",J10="예",K10&gt;=4),"우선 지원","추가 확인"))</x:f>
        <x:v>추가 확인</x:v>
      </x:c>
      <x:c r="M10" s="17" t="str"/>
      <x:c r="N10" s="18" t="str">
        <x:v>https://job.alio.go.kr/recruitview.do?idx=304555</x:v>
      </x:c>
      <x:c r="O10" s="1"/>
      <x:c r="P10" s="1"/>
      <x:c r="Q10" s="1"/>
      <x:c r="R10" s="1"/>
      <x:c r="S10" s="1"/>
      <x:c r="T10" s="1"/>
      <x:c r="U10" s="1"/>
      <x:c r="V10" s="1"/>
      <x:c r="W10" s="1"/>
      <x:c r="X10" s="1"/>
      <x:c r="Y10" s="1"/>
      <x:c r="Z10" s="1"/>
    </x:row>
    <x:row r="11" ht="50" customHeight="1">
      <x:c r="A11" s="17" t="n">
        <x:v>7</x:v>
      </x:c>
      <x:c r="B11" s="17" t="str">
        <x:v>한국투자공사</x:v>
      </x:c>
      <x:c r="C11" s="17" t="str">
        <x:v>한국투자공사 2026년 신입직원 채용</x:v>
      </x:c>
      <x:c r="D11" s="17" t="str">
        <x:v>JOB-ALIO</x:v>
      </x:c>
      <x:c r="E11" s="17" t="str">
        <x:v>서울</x:v>
      </x:c>
      <x:c r="F11" s="17" t="str">
        <x:v>2026-09-18</x:v>
      </x:c>
      <x:c r="G11" s="17" t="str">
        <x:v>관심</x:v>
      </x:c>
      <x:c r="H11" s="17" t="str">
        <x:v>확인 필요</x:v>
      </x:c>
      <x:c r="I11" s="17" t="str">
        <x:v>확인 필요</x:v>
      </x:c>
      <x:c r="J11" s="17" t="str">
        <x:v>확인 필요</x:v>
      </x:c>
      <x:c r="K11" s="17" t="n">
        <x:v>3</x:v>
      </x:c>
      <x:c r="L11" s="17" t="str">
        <x:f>IF(OR(H11="아니오",I11="아니오",J11="아니오"),"지원 제외",IF(AND(H11="예",I11="예",J11="예",K11&gt;=4),"우선 지원","추가 확인"))</x:f>
        <x:v>추가 확인</x:v>
      </x:c>
      <x:c r="M11" s="17" t="str"/>
      <x:c r="N11" s="18" t="str">
        <x:v>https://job.alio.go.kr/recruitview.do?idx=304335</x:v>
      </x:c>
      <x:c r="O11" s="1"/>
      <x:c r="P11" s="1"/>
      <x:c r="Q11" s="1"/>
      <x:c r="R11" s="1"/>
      <x:c r="S11" s="1"/>
      <x:c r="T11" s="1"/>
      <x:c r="U11" s="1"/>
      <x:c r="V11" s="1"/>
      <x:c r="W11" s="1"/>
      <x:c r="X11" s="1"/>
      <x:c r="Y11" s="1"/>
      <x:c r="Z11" s="1"/>
    </x:row>
    <x:row r="12" ht="50" customHeight="1">
      <x:c r="A12" s="17" t="n">
        <x:v>8</x:v>
      </x:c>
      <x:c r="B12" s="17" t="str">
        <x:v>중소기업은행</x:v>
      </x:c>
      <x:c r="C12" s="17" t="str">
        <x:v>2026년 하반기 IBK기업은행 일반직원(정규직) 수시채용 공고</x:v>
      </x:c>
      <x:c r="D12" s="17" t="str">
        <x:v>JOB-ALIO</x:v>
      </x:c>
      <x:c r="E12" s="17" t="str">
        <x:v>서울 외 16</x:v>
      </x:c>
      <x:c r="F12" s="17" t="str">
        <x:v>2026-09-21</x:v>
      </x:c>
      <x:c r="G12" s="17" t="str">
        <x:v>관심</x:v>
      </x:c>
      <x:c r="H12" s="17" t="str">
        <x:v>확인 필요</x:v>
      </x:c>
      <x:c r="I12" s="17" t="str">
        <x:v>확인 필요</x:v>
      </x:c>
      <x:c r="J12" s="17" t="str">
        <x:v>확인 필요</x:v>
      </x:c>
      <x:c r="K12" s="17" t="n">
        <x:v>3</x:v>
      </x:c>
      <x:c r="L12" s="17" t="str">
        <x:f>IF(OR(H12="아니오",I12="아니오",J12="아니오"),"지원 제외",IF(AND(H12="예",I12="예",J12="예",K12&gt;=4),"우선 지원","추가 확인"))</x:f>
        <x:v>추가 확인</x:v>
      </x:c>
      <x:c r="M12" s="17" t="str"/>
      <x:c r="N12" s="18" t="str">
        <x:v>https://job.alio.go.kr/recruitview.do?idx=304557</x:v>
      </x:c>
      <x:c r="O12" s="1"/>
      <x:c r="P12" s="1"/>
      <x:c r="Q12" s="1"/>
      <x:c r="R12" s="1"/>
      <x:c r="S12" s="1"/>
      <x:c r="T12" s="1"/>
      <x:c r="U12" s="1"/>
      <x:c r="V12" s="1"/>
      <x:c r="W12" s="1"/>
      <x:c r="X12" s="1"/>
      <x:c r="Y12" s="1"/>
      <x:c r="Z12" s="1"/>
    </x:row>
    <x:row r="13" ht="50" customHeight="1">
      <x:c r="A13" s="17" t="n">
        <x:v>9</x:v>
      </x:c>
      <x:c r="B13" s="17" t="str">
        <x:v>한국전력기술주식회사</x:v>
      </x:c>
      <x:c r="C13" s="17" t="str">
        <x:v>2026년도 하반기 정규직(신입사원) 채용공고</x:v>
      </x:c>
      <x:c r="D13" s="17" t="str">
        <x:v>JOB-ALIO</x:v>
      </x:c>
      <x:c r="E13" s="17" t="str">
        <x:v>경북</x:v>
      </x:c>
      <x:c r="F13" s="17" t="str">
        <x:v>2026-09-22</x:v>
      </x:c>
      <x:c r="G13" s="17" t="str">
        <x:v>관심</x:v>
      </x:c>
      <x:c r="H13" s="17" t="str">
        <x:v>확인 필요</x:v>
      </x:c>
      <x:c r="I13" s="17" t="str">
        <x:v>확인 필요</x:v>
      </x:c>
      <x:c r="J13" s="17" t="str">
        <x:v>확인 필요</x:v>
      </x:c>
      <x:c r="K13" s="17" t="n">
        <x:v>3</x:v>
      </x:c>
      <x:c r="L13" s="17" t="str">
        <x:f>IF(OR(H13="아니오",I13="아니오",J13="아니오"),"지원 제외",IF(AND(H13="예",I13="예",J13="예",K13&gt;=4),"우선 지원","추가 확인"))</x:f>
        <x:v>추가 확인</x:v>
      </x:c>
      <x:c r="M13" s="17" t="str"/>
      <x:c r="N13" s="18" t="str">
        <x:v>https://job.alio.go.kr/recruitview.do?idx=304717</x:v>
      </x:c>
      <x:c r="O13" s="1"/>
      <x:c r="P13" s="1"/>
      <x:c r="Q13" s="1"/>
      <x:c r="R13" s="1"/>
      <x:c r="S13" s="1"/>
      <x:c r="T13" s="1"/>
      <x:c r="U13" s="1"/>
      <x:c r="V13" s="1"/>
      <x:c r="W13" s="1"/>
      <x:c r="X13" s="1"/>
      <x:c r="Y13" s="1"/>
      <x:c r="Z13" s="1"/>
    </x:row>
    <x:row r="14" ht="50" customHeight="1">
      <x:c r="A14" s="17" t="n">
        <x:v>10</x:v>
      </x:c>
      <x:c r="B14" s="17" t="str">
        <x:v>한국콘텐츠진흥원</x:v>
      </x:c>
      <x:c r="C14" s="17" t="str">
        <x:v>2026년 4분기 한국콘텐츠진흥원 신입직원 채용 공고</x:v>
      </x:c>
      <x:c r="D14" s="17" t="str">
        <x:v>JOB-ALIO</x:v>
      </x:c>
      <x:c r="E14" s="17" t="str">
        <x:v>전남광주</x:v>
      </x:c>
      <x:c r="F14" s="17" t="str">
        <x:v>2026-09-28</x:v>
      </x:c>
      <x:c r="G14" s="17" t="str">
        <x:v>관심</x:v>
      </x:c>
      <x:c r="H14" s="17" t="str">
        <x:v>확인 필요</x:v>
      </x:c>
      <x:c r="I14" s="17" t="str">
        <x:v>확인 필요</x:v>
      </x:c>
      <x:c r="J14" s="17" t="str">
        <x:v>확인 필요</x:v>
      </x:c>
      <x:c r="K14" s="17" t="n">
        <x:v>3</x:v>
      </x:c>
      <x:c r="L14" s="17" t="str">
        <x:f>IF(OR(H14="아니오",I14="아니오",J14="아니오"),"지원 제외",IF(AND(H14="예",I14="예",J14="예",K14&gt;=4),"우선 지원","추가 확인"))</x:f>
        <x:v>추가 확인</x:v>
      </x:c>
      <x:c r="M14" s="17" t="str"/>
      <x:c r="N14" s="18" t="str">
        <x:v>https://job.alio.go.kr/recruitview.do?idx=304527</x:v>
      </x:c>
      <x:c r="O14" s="1"/>
      <x:c r="P14" s="1"/>
      <x:c r="Q14" s="1"/>
      <x:c r="R14" s="1"/>
      <x:c r="S14" s="1"/>
      <x:c r="T14" s="1"/>
      <x:c r="U14" s="1"/>
      <x:c r="V14" s="1"/>
      <x:c r="W14" s="1"/>
      <x:c r="X14" s="1"/>
      <x:c r="Y14" s="1"/>
      <x:c r="Z14" s="1"/>
    </x:row>
    <x:row r="15" ht="50" customHeight="1">
      <x:c r="A15" s="17" t="n">
        <x:v>11</x:v>
      </x:c>
      <x:c r="B15" s="17" t="str">
        <x:v>주택관리공단(주)</x:v>
      </x:c>
      <x:c r="C15" s="17" t="str">
        <x:v>채용형 인턴 채용공고(주택관리공단 대구경북지사)</x:v>
      </x:c>
      <x:c r="D15" s="17" t="str">
        <x:v>JOB-ALIO</x:v>
      </x:c>
      <x:c r="E15" s="17" t="str">
        <x:v>대구</x:v>
      </x:c>
      <x:c r="F15" s="17" t="str">
        <x:v>2026-09-10</x:v>
      </x:c>
      <x:c r="G15" s="17" t="str">
        <x:v>관심</x:v>
      </x:c>
      <x:c r="H15" s="17" t="str">
        <x:v>확인 필요</x:v>
      </x:c>
      <x:c r="I15" s="17" t="str">
        <x:v>확인 필요</x:v>
      </x:c>
      <x:c r="J15" s="17" t="str">
        <x:v>확인 필요</x:v>
      </x:c>
      <x:c r="K15" s="17" t="n">
        <x:v>3</x:v>
      </x:c>
      <x:c r="L15" s="17" t="str">
        <x:f>IF(OR(H15="아니오",I15="아니오",J15="아니오"),"지원 제외",IF(AND(H15="예",I15="예",J15="예",K15&gt;=4),"우선 지원","추가 확인"))</x:f>
        <x:v>추가 확인</x:v>
      </x:c>
      <x:c r="M15" s="17" t="str"/>
      <x:c r="N15" s="18" t="str">
        <x:v>https://job.alio.go.kr/recruitview.do?idx=304587</x:v>
      </x:c>
      <x:c r="O15" s="1"/>
      <x:c r="P15" s="1"/>
      <x:c r="Q15" s="1"/>
      <x:c r="R15" s="1"/>
      <x:c r="S15" s="1"/>
      <x:c r="T15" s="1"/>
      <x:c r="U15" s="1"/>
      <x:c r="V15" s="1"/>
      <x:c r="W15" s="1"/>
      <x:c r="X15" s="1"/>
      <x:c r="Y15" s="1"/>
      <x:c r="Z15" s="1"/>
    </x:row>
    <x:row r="16" ht="50" customHeight="1">
      <x:c r="A16" s="17" t="n">
        <x:v>12</x:v>
      </x:c>
      <x:c r="B16" s="17" t="str">
        <x:v>주택관리공단(주)</x:v>
      </x:c>
      <x:c r="C16" s="17" t="str">
        <x:v>채용형 인턴 채용공고(주택관리공단 경기북부지사)</x:v>
      </x:c>
      <x:c r="D16" s="17" t="str">
        <x:v>JOB-ALIO</x:v>
      </x:c>
      <x:c r="E16" s="17" t="str">
        <x:v>경기</x:v>
      </x:c>
      <x:c r="F16" s="17" t="str">
        <x:v>2026-09-15</x:v>
      </x:c>
      <x:c r="G16" s="17" t="str">
        <x:v>관심</x:v>
      </x:c>
      <x:c r="H16" s="17" t="str">
        <x:v>확인 필요</x:v>
      </x:c>
      <x:c r="I16" s="17" t="str">
        <x:v>확인 필요</x:v>
      </x:c>
      <x:c r="J16" s="17" t="str">
        <x:v>확인 필요</x:v>
      </x:c>
      <x:c r="K16" s="17" t="n">
        <x:v>3</x:v>
      </x:c>
      <x:c r="L16" s="17" t="str">
        <x:f>IF(OR(H16="아니오",I16="아니오",J16="아니오"),"지원 제외",IF(AND(H16="예",I16="예",J16="예",K16&gt;=4),"우선 지원","추가 확인"))</x:f>
        <x:v>추가 확인</x:v>
      </x:c>
      <x:c r="M16" s="17" t="str"/>
      <x:c r="N16" s="18" t="str">
        <x:v>https://job.alio.go.kr/recruitview.do?idx=304739</x:v>
      </x:c>
      <x:c r="O16" s="1"/>
      <x:c r="P16" s="1"/>
      <x:c r="Q16" s="1"/>
      <x:c r="R16" s="1"/>
      <x:c r="S16" s="1"/>
      <x:c r="T16" s="1"/>
      <x:c r="U16" s="1"/>
      <x:c r="V16" s="1"/>
      <x:c r="W16" s="1"/>
      <x:c r="X16" s="1"/>
      <x:c r="Y16" s="1"/>
      <x:c r="Z16" s="1"/>
    </x:row>
    <x:row r="17" ht="50" customHeight="1">
      <x:c r="A17" s="17" t="n">
        <x:v>13</x:v>
      </x:c>
      <x:c r="B17" s="17" t="str">
        <x:v>전남광주통합특별시서구시설관리공단</x:v>
      </x:c>
      <x:c r="C17" s="17" t="str">
        <x:v>2026년 제3회 직원(일반직, 공무직, 환경직) 공개채용 공고</x:v>
      </x:c>
      <x:c r="D17" s="17" t="str">
        <x:v>Cleaneye Job+</x:v>
      </x:c>
      <x:c r="E17" s="17" t="str"/>
      <x:c r="F17" s="17" t="str">
        <x:v>2026-09-09</x:v>
      </x:c>
      <x:c r="G17" s="17" t="str">
        <x:v>관심</x:v>
      </x:c>
      <x:c r="H17" s="17" t="str">
        <x:v>확인 필요</x:v>
      </x:c>
      <x:c r="I17" s="17" t="str">
        <x:v>확인 필요</x:v>
      </x:c>
      <x:c r="J17" s="17" t="str">
        <x:v>확인 필요</x:v>
      </x:c>
      <x:c r="K17" s="17" t="n">
        <x:v>3</x:v>
      </x:c>
      <x:c r="L17" s="17" t="str">
        <x:f>IF(OR(H17="아니오",I17="아니오",J17="아니오"),"지원 제외",IF(AND(H17="예",I17="예",J17="예",K17&gt;=4),"우선 지원","추가 확인"))</x:f>
        <x:v>추가 확인</x:v>
      </x:c>
      <x:c r="M17" s="17" t="str"/>
      <x:c r="N17" s="18" t="str">
        <x:v>https://job.cleaneye.go.kr/user/ypRecruitment.do</x:v>
      </x:c>
      <x:c r="O17" s="1"/>
      <x:c r="P17" s="1"/>
      <x:c r="Q17" s="1"/>
      <x:c r="R17" s="1"/>
      <x:c r="S17" s="1"/>
      <x:c r="T17" s="1"/>
      <x:c r="U17" s="1"/>
      <x:c r="V17" s="1"/>
      <x:c r="W17" s="1"/>
      <x:c r="X17" s="1"/>
      <x:c r="Y17" s="1"/>
      <x:c r="Z17" s="1"/>
    </x:row>
    <x:row r="18" ht="50" customHeight="1">
      <x:c r="A18" s="17" t="n">
        <x:v>14</x:v>
      </x:c>
      <x:c r="B18" s="17" t="str">
        <x:v>한국동서발전(주)</x:v>
      </x:c>
      <x:c r="C18" s="17" t="str">
        <x:v>한국동서발전(주) 2026년 사회형평 신입직원(대졸수준(보훈/장애)) 선발</x:v>
      </x:c>
      <x:c r="D18" s="17" t="str">
        <x:v>JOB-ALIO</x:v>
      </x:c>
      <x:c r="E18" s="17" t="str">
        <x:v>울산 외 6</x:v>
      </x:c>
      <x:c r="F18" s="17" t="str">
        <x:v>2026-09-09</x:v>
      </x:c>
      <x:c r="G18" s="17" t="str">
        <x:v>관심</x:v>
      </x:c>
      <x:c r="H18" s="17" t="str">
        <x:v>확인 필요</x:v>
      </x:c>
      <x:c r="I18" s="17" t="str">
        <x:v>확인 필요</x:v>
      </x:c>
      <x:c r="J18" s="17" t="str">
        <x:v>확인 필요</x:v>
      </x:c>
      <x:c r="K18" s="17" t="n">
        <x:v>3</x:v>
      </x:c>
      <x:c r="L18" s="17" t="str">
        <x:f>IF(OR(H18="아니오",I18="아니오",J18="아니오"),"지원 제외",IF(AND(H18="예",I18="예",J18="예",K18&gt;=4),"우선 지원","추가 확인"))</x:f>
        <x:v>추가 확인</x:v>
      </x:c>
      <x:c r="M18" s="17" t="str"/>
      <x:c r="N18" s="18" t="str">
        <x:v>https://job.alio.go.kr/recruitview.do?idx=304267</x:v>
      </x:c>
      <x:c r="O18" s="1"/>
      <x:c r="P18" s="1"/>
      <x:c r="Q18" s="1"/>
      <x:c r="R18" s="1"/>
      <x:c r="S18" s="1"/>
      <x:c r="T18" s="1"/>
      <x:c r="U18" s="1"/>
      <x:c r="V18" s="1"/>
      <x:c r="W18" s="1"/>
      <x:c r="X18" s="1"/>
      <x:c r="Y18" s="1"/>
      <x:c r="Z18" s="1"/>
    </x:row>
    <x:row r="19" ht="50" customHeight="1">
      <x:c r="A19" s="17" t="n">
        <x:v>15</x:v>
      </x:c>
      <x:c r="B19" s="17" t="str">
        <x:v>강원특별자치도원주의료원</x:v>
      </x:c>
      <x:c r="C19" s="17" t="str">
        <x:v>원주의료원 신규직원(기능직 8급_조리사, 기간제근로자 등) 채용공고</x:v>
      </x:c>
      <x:c r="D19" s="17" t="str">
        <x:v>Cleaneye Job+</x:v>
      </x:c>
      <x:c r="E19" s="17" t="str">
        <x:v>강원특별자치도</x:v>
      </x:c>
      <x:c r="F19" s="17" t="str">
        <x:v>2026-09-11</x:v>
      </x:c>
      <x:c r="G19" s="17" t="str">
        <x:v>관심</x:v>
      </x:c>
      <x:c r="H19" s="17" t="str">
        <x:v>확인 필요</x:v>
      </x:c>
      <x:c r="I19" s="17" t="str">
        <x:v>확인 필요</x:v>
      </x:c>
      <x:c r="J19" s="17" t="str">
        <x:v>확인 필요</x:v>
      </x:c>
      <x:c r="K19" s="17" t="n">
        <x:v>3</x:v>
      </x:c>
      <x:c r="L19" s="17" t="str">
        <x:f>IF(OR(H19="아니오",I19="아니오",J19="아니오"),"지원 제외",IF(AND(H19="예",I19="예",J19="예",K19&gt;=4),"우선 지원","추가 확인"))</x:f>
        <x:v>추가 확인</x:v>
      </x:c>
      <x:c r="M19" s="17" t="str"/>
      <x:c r="N19" s="18" t="str">
        <x:v>https://job.cleaneye.go.kr/user/ypRecruitment.do</x:v>
      </x:c>
      <x:c r="O19" s="1"/>
      <x:c r="P19" s="1"/>
      <x:c r="Q19" s="1"/>
      <x:c r="R19" s="1"/>
      <x:c r="S19" s="1"/>
      <x:c r="T19" s="1"/>
      <x:c r="U19" s="1"/>
      <x:c r="V19" s="1"/>
      <x:c r="W19" s="1"/>
      <x:c r="X19" s="1"/>
      <x:c r="Y19" s="1"/>
      <x:c r="Z19" s="1"/>
    </x:row>
    <x:row r="20" ht="50" customHeight="1">
      <x:c r="A20" s="17" t="n">
        <x:v>16</x:v>
      </x:c>
      <x:c r="B20" s="17" t="str">
        <x:v>관악구시설관리공단</x:v>
      </x:c>
      <x:c r="C20" s="17" t="str">
        <x:v>2026년 제4회 관악구시설관리공단 일반직 공개경쟁채용 공고</x:v>
      </x:c>
      <x:c r="D20" s="17" t="str">
        <x:v>Cleaneye Job+</x:v>
      </x:c>
      <x:c r="E20" s="17" t="str">
        <x:v>서울특별시</x:v>
      </x:c>
      <x:c r="F20" s="17" t="str">
        <x:v>2026-09-13</x:v>
      </x:c>
      <x:c r="G20" s="17" t="str">
        <x:v>관심</x:v>
      </x:c>
      <x:c r="H20" s="17" t="str">
        <x:v>확인 필요</x:v>
      </x:c>
      <x:c r="I20" s="17" t="str">
        <x:v>확인 필요</x:v>
      </x:c>
      <x:c r="J20" s="17" t="str">
        <x:v>확인 필요</x:v>
      </x:c>
      <x:c r="K20" s="17" t="n">
        <x:v>3</x:v>
      </x:c>
      <x:c r="L20" s="17" t="str">
        <x:f>IF(OR(H20="아니오",I20="아니오",J20="아니오"),"지원 제외",IF(AND(H20="예",I20="예",J20="예",K20&gt;=4),"우선 지원","추가 확인"))</x:f>
        <x:v>추가 확인</x:v>
      </x:c>
      <x:c r="M20" s="17" t="str"/>
      <x:c r="N20" s="18" t="str">
        <x:v>https://job.cleaneye.go.kr/user/ypRecruitment.do</x:v>
      </x:c>
      <x:c r="O20" s="1"/>
      <x:c r="P20" s="1"/>
      <x:c r="Q20" s="1"/>
      <x:c r="R20" s="1"/>
      <x:c r="S20" s="1"/>
      <x:c r="T20" s="1"/>
      <x:c r="U20" s="1"/>
      <x:c r="V20" s="1"/>
      <x:c r="W20" s="1"/>
      <x:c r="X20" s="1"/>
      <x:c r="Y20" s="1"/>
      <x:c r="Z20" s="1"/>
    </x:row>
    <x:row r="21" ht="50" customHeight="1">
      <x:c r="A21" s="17" t="n">
        <x:v>17</x:v>
      </x:c>
      <x:c r="B21" s="17" t="str">
        <x:v>강원특별자치도원주의료원</x:v>
      </x:c>
      <x:c r="C21" s="17" t="str">
        <x:v>원주의료원 신규직원(공무직_조리원) 채용공고</x:v>
      </x:c>
      <x:c r="D21" s="17" t="str">
        <x:v>Cleaneye Job+</x:v>
      </x:c>
      <x:c r="E21" s="17" t="str">
        <x:v>강원특별자치도</x:v>
      </x:c>
      <x:c r="F21" s="17" t="str">
        <x:v>2026-09-14</x:v>
      </x:c>
      <x:c r="G21" s="17" t="str">
        <x:v>관심</x:v>
      </x:c>
      <x:c r="H21" s="17" t="str">
        <x:v>확인 필요</x:v>
      </x:c>
      <x:c r="I21" s="17" t="str">
        <x:v>확인 필요</x:v>
      </x:c>
      <x:c r="J21" s="17" t="str">
        <x:v>확인 필요</x:v>
      </x:c>
      <x:c r="K21" s="17" t="n">
        <x:v>3</x:v>
      </x:c>
      <x:c r="L21" s="17" t="str">
        <x:f>IF(OR(H21="아니오",I21="아니오",J21="아니오"),"지원 제외",IF(AND(H21="예",I21="예",J21="예",K21&gt;=4),"우선 지원","추가 확인"))</x:f>
        <x:v>추가 확인</x:v>
      </x:c>
      <x:c r="M21" s="17" t="str"/>
      <x:c r="N21" s="18" t="str">
        <x:v>https://job.cleaneye.go.kr/user/ypRecruitment.do</x:v>
      </x:c>
      <x:c r="O21" s="1"/>
      <x:c r="P21" s="1"/>
      <x:c r="Q21" s="1"/>
      <x:c r="R21" s="1"/>
      <x:c r="S21" s="1"/>
      <x:c r="T21" s="1"/>
      <x:c r="U21" s="1"/>
      <x:c r="V21" s="1"/>
      <x:c r="W21" s="1"/>
      <x:c r="X21" s="1"/>
      <x:c r="Y21" s="1"/>
      <x:c r="Z21" s="1"/>
    </x:row>
    <x:row r="22" ht="50" customHeight="1">
      <x:c r="A22" s="17" t="n">
        <x:v>18</x:v>
      </x:c>
      <x:c r="B22" s="17" t="str">
        <x:v>강원특별자치도원주의료원</x:v>
      </x:c>
      <x:c r="C22" s="17" t="str">
        <x:v>원주의료원 신규직원[의무직_비뇨의학과, 신장내과, 심장내과] 채용공고</x:v>
      </x:c>
      <x:c r="D22" s="17" t="str">
        <x:v>Cleaneye Job+</x:v>
      </x:c>
      <x:c r="E22" s="17" t="str">
        <x:v>강원특별자치도</x:v>
      </x:c>
      <x:c r="F22" s="17" t="str">
        <x:v>2026-09-29</x:v>
      </x:c>
      <x:c r="G22" s="17" t="str">
        <x:v>관심</x:v>
      </x:c>
      <x:c r="H22" s="17" t="str">
        <x:v>확인 필요</x:v>
      </x:c>
      <x:c r="I22" s="17" t="str">
        <x:v>확인 필요</x:v>
      </x:c>
      <x:c r="J22" s="17" t="str">
        <x:v>확인 필요</x:v>
      </x:c>
      <x:c r="K22" s="17" t="n">
        <x:v>3</x:v>
      </x:c>
      <x:c r="L22" s="17" t="str">
        <x:f>IF(OR(H22="아니오",I22="아니오",J22="아니오"),"지원 제외",IF(AND(H22="예",I22="예",J22="예",K22&gt;=4),"우선 지원","추가 확인"))</x:f>
        <x:v>추가 확인</x:v>
      </x:c>
      <x:c r="M22" s="17" t="str"/>
      <x:c r="N22" s="18" t="str">
        <x:v>https://job.cleaneye.go.kr/user/ypRecruitment.do</x:v>
      </x:c>
      <x:c r="O22" s="1"/>
      <x:c r="P22" s="1"/>
      <x:c r="Q22" s="1"/>
      <x:c r="R22" s="1"/>
      <x:c r="S22" s="1"/>
      <x:c r="T22" s="1"/>
      <x:c r="U22" s="1"/>
      <x:c r="V22" s="1"/>
      <x:c r="W22" s="1"/>
      <x:c r="X22" s="1"/>
      <x:c r="Y22" s="1"/>
      <x:c r="Z22" s="1"/>
    </x:row>
    <x:row r="23" ht="50" customHeight="1">
      <x:c r="A23" s="17" t="n">
        <x:v>19</x:v>
      </x:c>
      <x:c r="B23" s="17" t="str">
        <x:v>구미도시공사</x:v>
      </x:c>
      <x:c r="C23" s="17" t="str">
        <x:v>2026년 구미도시공사 「청년 체험형 인턴」공개경쟁채용 공고</x:v>
      </x:c>
      <x:c r="D23" s="17" t="str">
        <x:v>Cleaneye Job+</x:v>
      </x:c>
      <x:c r="E23" s="17" t="str">
        <x:v>경상북도</x:v>
      </x:c>
      <x:c r="F23" s="17" t="str">
        <x:v>2026-09-09</x:v>
      </x:c>
      <x:c r="G23" s="17" t="str">
        <x:v>관심</x:v>
      </x:c>
      <x:c r="H23" s="17" t="str">
        <x:v>확인 필요</x:v>
      </x:c>
      <x:c r="I23" s="17" t="str">
        <x:v>확인 필요</x:v>
      </x:c>
      <x:c r="J23" s="17" t="str">
        <x:v>확인 필요</x:v>
      </x:c>
      <x:c r="K23" s="17" t="n">
        <x:v>3</x:v>
      </x:c>
      <x:c r="L23" s="17" t="str">
        <x:f>IF(OR(H23="아니오",I23="아니오",J23="아니오"),"지원 제외",IF(AND(H23="예",I23="예",J23="예",K23&gt;=4),"우선 지원","추가 확인"))</x:f>
        <x:v>추가 확인</x:v>
      </x:c>
      <x:c r="M23" s="17" t="str"/>
      <x:c r="N23" s="18" t="str">
        <x:v>https://job.cleaneye.go.kr/user/ypRecruitment.do</x:v>
      </x:c>
      <x:c r="O23" s="1"/>
      <x:c r="P23" s="1"/>
      <x:c r="Q23" s="1"/>
      <x:c r="R23" s="1"/>
      <x:c r="S23" s="1"/>
      <x:c r="T23" s="1"/>
      <x:c r="U23" s="1"/>
      <x:c r="V23" s="1"/>
      <x:c r="W23" s="1"/>
      <x:c r="X23" s="1"/>
      <x:c r="Y23" s="1"/>
      <x:c r="Z23" s="1"/>
    </x:row>
    <x:row r="24" ht="50" customHeight="1">
      <x:c r="A24" s="17" t="n">
        <x:v>20</x:v>
      </x:c>
      <x:c r="B24" s="17" t="str">
        <x:v>국립암센터</x:v>
      </x:c>
      <x:c r="C24" s="17" t="str">
        <x:v>청년인턴 채용공고[260825]</x:v>
      </x:c>
      <x:c r="D24" s="17" t="str">
        <x:v>JOB-ALIO</x:v>
      </x:c>
      <x:c r="E24" s="17" t="str">
        <x:v>경기</x:v>
      </x:c>
      <x:c r="F24" s="17" t="str">
        <x:v>2026-09-09</x:v>
      </x:c>
      <x:c r="G24" s="17" t="str">
        <x:v>관심</x:v>
      </x:c>
      <x:c r="H24" s="17" t="str">
        <x:v>확인 필요</x:v>
      </x:c>
      <x:c r="I24" s="17" t="str">
        <x:v>확인 필요</x:v>
      </x:c>
      <x:c r="J24" s="17" t="str">
        <x:v>확인 필요</x:v>
      </x:c>
      <x:c r="K24" s="17" t="n">
        <x:v>3</x:v>
      </x:c>
      <x:c r="L24" s="17" t="str">
        <x:f>IF(OR(H24="아니오",I24="아니오",J24="아니오"),"지원 제외",IF(AND(H24="예",I24="예",J24="예",K24&gt;=4),"우선 지원","추가 확인"))</x:f>
        <x:v>추가 확인</x:v>
      </x:c>
      <x:c r="M24" s="17" t="str"/>
      <x:c r="N24" s="18" t="str">
        <x:v>https://job.alio.go.kr/recruitview.do?idx=304234</x:v>
      </x:c>
      <x:c r="O24" s="1"/>
      <x:c r="P24" s="1"/>
      <x:c r="Q24" s="1"/>
      <x:c r="R24" s="1"/>
      <x:c r="S24" s="1"/>
      <x:c r="T24" s="1"/>
      <x:c r="U24" s="1"/>
      <x:c r="V24" s="1"/>
      <x:c r="W24" s="1"/>
      <x:c r="X24" s="1"/>
      <x:c r="Y24" s="1"/>
      <x:c r="Z24" s="1"/>
    </x:row>
    <x:row r="25" ht="50" customHeight="1">
      <x:c r="A25" s="17" t="n">
        <x:v>21</x:v>
      </x:c>
      <x:c r="B25" s="17" t="str">
        <x:v>경기주택도시공사</x:v>
      </x:c>
      <x:c r="C25" s="17" t="str">
        <x:v>2026년 하반기 경기주택도시공사 체험형 인턴사원 공개채용 공고</x:v>
      </x:c>
      <x:c r="D25" s="17" t="str">
        <x:v>Cleaneye Job+</x:v>
      </x:c>
      <x:c r="E25" s="17" t="str">
        <x:v>경기도</x:v>
      </x:c>
      <x:c r="F25" s="17" t="str">
        <x:v>2026-09-10</x:v>
      </x:c>
      <x:c r="G25" s="17" t="str">
        <x:v>관심</x:v>
      </x:c>
      <x:c r="H25" s="17" t="str">
        <x:v>확인 필요</x:v>
      </x:c>
      <x:c r="I25" s="17" t="str">
        <x:v>확인 필요</x:v>
      </x:c>
      <x:c r="J25" s="17" t="str">
        <x:v>확인 필요</x:v>
      </x:c>
      <x:c r="K25" s="17" t="n">
        <x:v>3</x:v>
      </x:c>
      <x:c r="L25" s="17" t="str">
        <x:f>IF(OR(H25="아니오",I25="아니오",J25="아니오"),"지원 제외",IF(AND(H25="예",I25="예",J25="예",K25&gt;=4),"우선 지원","추가 확인"))</x:f>
        <x:v>추가 확인</x:v>
      </x:c>
      <x:c r="M25" s="17" t="str"/>
      <x:c r="N25" s="18" t="str">
        <x:v>https://job.cleaneye.go.kr/user/ypRecruitment.do</x:v>
      </x:c>
      <x:c r="O25" s="1"/>
      <x:c r="P25" s="1"/>
      <x:c r="Q25" s="1"/>
      <x:c r="R25" s="1"/>
      <x:c r="S25" s="1"/>
      <x:c r="T25" s="1"/>
      <x:c r="U25" s="1"/>
      <x:c r="V25" s="1"/>
      <x:c r="W25" s="1"/>
      <x:c r="X25" s="1"/>
      <x:c r="Y25" s="1"/>
      <x:c r="Z25" s="1"/>
    </x:row>
    <x:row r="26" ht="50" customHeight="1">
      <x:c r="A26" s="17" t="n">
        <x:v>22</x:v>
      </x:c>
      <x:c r="B26" s="17" t="str">
        <x:v>국립공원공단</x:v>
      </x:c>
      <x:c r="C26" s="17" t="str">
        <x:v>국립공원공단 자원보전·AI 직무 체험형 청년인턴 채용</x:v>
      </x:c>
      <x:c r="D26" s="17" t="str">
        <x:v>JOB-ALIO</x:v>
      </x:c>
      <x:c r="E26" s="17" t="str">
        <x:v>대전 외 4</x:v>
      </x:c>
      <x:c r="F26" s="17" t="str">
        <x:v>2026-09-10</x:v>
      </x:c>
      <x:c r="G26" s="17" t="str">
        <x:v>관심</x:v>
      </x:c>
      <x:c r="H26" s="17" t="str">
        <x:v>확인 필요</x:v>
      </x:c>
      <x:c r="I26" s="17" t="str">
        <x:v>확인 필요</x:v>
      </x:c>
      <x:c r="J26" s="17" t="str">
        <x:v>확인 필요</x:v>
      </x:c>
      <x:c r="K26" s="17" t="n">
        <x:v>3</x:v>
      </x:c>
      <x:c r="L26" s="17" t="str">
        <x:f>IF(OR(H26="아니오",I26="아니오",J26="아니오"),"지원 제외",IF(AND(H26="예",I26="예",J26="예",K26&gt;=4),"우선 지원","추가 확인"))</x:f>
        <x:v>추가 확인</x:v>
      </x:c>
      <x:c r="M26" s="17" t="str"/>
      <x:c r="N26" s="18" t="str">
        <x:v>https://job.alio.go.kr/recruitview.do?idx=304488</x:v>
      </x:c>
      <x:c r="O26" s="1"/>
      <x:c r="P26" s="1"/>
      <x:c r="Q26" s="1"/>
      <x:c r="R26" s="1"/>
      <x:c r="S26" s="1"/>
      <x:c r="T26" s="1"/>
      <x:c r="U26" s="1"/>
      <x:c r="V26" s="1"/>
      <x:c r="W26" s="1"/>
      <x:c r="X26" s="1"/>
      <x:c r="Y26" s="1"/>
      <x:c r="Z26" s="1"/>
    </x:row>
    <x:row r="27" ht="50" customHeight="1">
      <x:c r="A27" s="17" t="n">
        <x:v>23</x:v>
      </x:c>
      <x:c r="B27" s="17" t="str">
        <x:v>한국방송통신전파진흥원</x:v>
      </x:c>
      <x:c r="C27" s="17" t="str">
        <x:v>한국방송통신전파진흥원 체험형 청년인턴 채용 공고</x:v>
      </x:c>
      <x:c r="D27" s="17" t="str">
        <x:v>JOB-ALIO</x:v>
      </x:c>
      <x:c r="E27" s="17" t="str">
        <x:v>전남광주</x:v>
      </x:c>
      <x:c r="F27" s="17" t="str">
        <x:v>2026-09-10</x:v>
      </x:c>
      <x:c r="G27" s="17" t="str">
        <x:v>관심</x:v>
      </x:c>
      <x:c r="H27" s="17" t="str">
        <x:v>확인 필요</x:v>
      </x:c>
      <x:c r="I27" s="17" t="str">
        <x:v>확인 필요</x:v>
      </x:c>
      <x:c r="J27" s="17" t="str">
        <x:v>확인 필요</x:v>
      </x:c>
      <x:c r="K27" s="17" t="n">
        <x:v>3</x:v>
      </x:c>
      <x:c r="L27" s="17" t="str">
        <x:f>IF(OR(H27="아니오",I27="아니오",J27="아니오"),"지원 제외",IF(AND(H27="예",I27="예",J27="예",K27&gt;=4),"우선 지원","추가 확인"))</x:f>
        <x:v>추가 확인</x:v>
      </x:c>
      <x:c r="M27" s="17" t="str"/>
      <x:c r="N27" s="18" t="str">
        <x:v>https://job.alio.go.kr/recruitview.do?idx=304282</x:v>
      </x:c>
      <x:c r="O27" s="1"/>
      <x:c r="P27" s="1"/>
      <x:c r="Q27" s="1"/>
      <x:c r="R27" s="1"/>
      <x:c r="S27" s="1"/>
      <x:c r="T27" s="1"/>
      <x:c r="U27" s="1"/>
      <x:c r="V27" s="1"/>
      <x:c r="W27" s="1"/>
      <x:c r="X27" s="1"/>
      <x:c r="Y27" s="1"/>
      <x:c r="Z27" s="1"/>
    </x:row>
    <x:row r="28" ht="50" customHeight="1">
      <x:c r="A28" s="17" t="n">
        <x:v>24</x:v>
      </x:c>
      <x:c r="B28" s="17" t="str">
        <x:v>한국조세재정연구원</x:v>
      </x:c>
      <x:c r="C28" s="17" t="str">
        <x:v>[한국조세재정연구원] 2026년도 제3차 체험형 청년인턴 신규채용</x:v>
      </x:c>
      <x:c r="D28" s="17" t="str">
        <x:v>JOB-ALIO</x:v>
      </x:c>
      <x:c r="E28" s="17" t="str">
        <x:v>서울 외 1</x:v>
      </x:c>
      <x:c r="F28" s="17" t="str">
        <x:v>2026-09-10</x:v>
      </x:c>
      <x:c r="G28" s="17" t="str">
        <x:v>관심</x:v>
      </x:c>
      <x:c r="H28" s="17" t="str">
        <x:v>확인 필요</x:v>
      </x:c>
      <x:c r="I28" s="17" t="str">
        <x:v>확인 필요</x:v>
      </x:c>
      <x:c r="J28" s="17" t="str">
        <x:v>확인 필요</x:v>
      </x:c>
      <x:c r="K28" s="17" t="n">
        <x:v>3</x:v>
      </x:c>
      <x:c r="L28" s="17" t="str">
        <x:f>IF(OR(H28="아니오",I28="아니오",J28="아니오"),"지원 제외",IF(AND(H28="예",I28="예",J28="예",K28&gt;=4),"우선 지원","추가 확인"))</x:f>
        <x:v>추가 확인</x:v>
      </x:c>
      <x:c r="M28" s="17" t="str"/>
      <x:c r="N28" s="18" t="str">
        <x:v>https://job.alio.go.kr/recruitview.do?idx=304319</x:v>
      </x:c>
      <x:c r="O28" s="1"/>
      <x:c r="P28" s="1"/>
      <x:c r="Q28" s="1"/>
      <x:c r="R28" s="1"/>
      <x:c r="S28" s="1"/>
      <x:c r="T28" s="1"/>
      <x:c r="U28" s="1"/>
      <x:c r="V28" s="1"/>
      <x:c r="W28" s="1"/>
      <x:c r="X28" s="1"/>
      <x:c r="Y28" s="1"/>
      <x:c r="Z28" s="1"/>
    </x:row>
    <x:row r="29" ht="50" customHeight="1">
      <x:c r="A29" s="17" t="n">
        <x:v>25</x:v>
      </x:c>
      <x:c r="B29" s="17" t="str">
        <x:v>경기평택항만공사</x:v>
      </x:c>
      <x:c r="C29" s="17" t="str">
        <x:v>[채용공고] 2026년 경기평택항만공사 청년 체험형 인턴 모집 공고</x:v>
      </x:c>
      <x:c r="D29" s="17" t="str">
        <x:v>Cleaneye Job+</x:v>
      </x:c>
      <x:c r="E29" s="17" t="str">
        <x:v>경기도</x:v>
      </x:c>
      <x:c r="F29" s="17" t="str">
        <x:v>2026-09-11</x:v>
      </x:c>
      <x:c r="G29" s="17" t="str">
        <x:v>관심</x:v>
      </x:c>
      <x:c r="H29" s="17" t="str">
        <x:v>확인 필요</x:v>
      </x:c>
      <x:c r="I29" s="17" t="str">
        <x:v>확인 필요</x:v>
      </x:c>
      <x:c r="J29" s="17" t="str">
        <x:v>확인 필요</x:v>
      </x:c>
      <x:c r="K29" s="17" t="n">
        <x:v>3</x:v>
      </x:c>
      <x:c r="L29" s="17" t="str">
        <x:f>IF(OR(H29="아니오",I29="아니오",J29="아니오"),"지원 제외",IF(AND(H29="예",I29="예",J29="예",K29&gt;=4),"우선 지원","추가 확인"))</x:f>
        <x:v>추가 확인</x:v>
      </x:c>
      <x:c r="M29" s="17" t="str"/>
      <x:c r="N29" s="18" t="str">
        <x:v>https://job.cleaneye.go.kr/user/ypRecruitment.do</x:v>
      </x:c>
      <x:c r="O29" s="1"/>
      <x:c r="P29" s="1"/>
      <x:c r="Q29" s="1"/>
      <x:c r="R29" s="1"/>
      <x:c r="S29" s="1"/>
      <x:c r="T29" s="1"/>
      <x:c r="U29" s="1"/>
      <x:c r="V29" s="1"/>
      <x:c r="W29" s="1"/>
      <x:c r="X29" s="1"/>
      <x:c r="Y29" s="1"/>
      <x:c r="Z29" s="1"/>
    </x:row>
    <x:row r="30" ht="50" customHeight="1">
      <x:c r="A30" s="17" t="n">
        <x:v>26</x:v>
      </x:c>
      <x:c r="B30" s="17" t="str">
        <x:v>대구농수산물유통관리공사</x:v>
      </x:c>
      <x:c r="C30" s="17" t="str">
        <x:v>2026년 하반기 대구농수산물유통관리공사 장애인 청년 체험형 인턴 채용공고(~`26.9.14.)</x:v>
      </x:c>
      <x:c r="D30" s="17" t="str">
        <x:v>Cleaneye Job+</x:v>
      </x:c>
      <x:c r="E30" s="17" t="str">
        <x:v>대구광역시</x:v>
      </x:c>
      <x:c r="F30" s="17" t="str">
        <x:v>2026-09-14</x:v>
      </x:c>
      <x:c r="G30" s="17" t="str">
        <x:v>관심</x:v>
      </x:c>
      <x:c r="H30" s="17" t="str">
        <x:v>확인 필요</x:v>
      </x:c>
      <x:c r="I30" s="17" t="str">
        <x:v>확인 필요</x:v>
      </x:c>
      <x:c r="J30" s="17" t="str">
        <x:v>확인 필요</x:v>
      </x:c>
      <x:c r="K30" s="17" t="n">
        <x:v>3</x:v>
      </x:c>
      <x:c r="L30" s="17" t="str">
        <x:f>IF(OR(H30="아니오",I30="아니오",J30="아니오"),"지원 제외",IF(AND(H30="예",I30="예",J30="예",K30&gt;=4),"우선 지원","추가 확인"))</x:f>
        <x:v>추가 확인</x:v>
      </x:c>
      <x:c r="M30" s="17" t="str"/>
      <x:c r="N30" s="18" t="str">
        <x:v>https://job.cleaneye.go.kr/user/ypRecruitment.do</x:v>
      </x:c>
      <x:c r="O30" s="1"/>
      <x:c r="P30" s="1"/>
      <x:c r="Q30" s="1"/>
      <x:c r="R30" s="1"/>
      <x:c r="S30" s="1"/>
      <x:c r="T30" s="1"/>
      <x:c r="U30" s="1"/>
      <x:c r="V30" s="1"/>
      <x:c r="W30" s="1"/>
      <x:c r="X30" s="1"/>
      <x:c r="Y30" s="1"/>
      <x:c r="Z30" s="1"/>
    </x:row>
    <x:row r="31" ht="50" customHeight="1">
      <x:c r="A31" s="17" t="n">
        <x:v>27</x:v>
      </x:c>
      <x:c r="B31" s="17" t="str">
        <x:v>대구농수산물유통관리공사</x:v>
      </x:c>
      <x:c r="C31" s="17" t="str">
        <x:v>2026년 대구농수산물유통관리공사 청년 체험형 인턴 채용공고(~`26.9.14.)</x:v>
      </x:c>
      <x:c r="D31" s="17" t="str">
        <x:v>Cleaneye Job+</x:v>
      </x:c>
      <x:c r="E31" s="17" t="str">
        <x:v>대구광역시</x:v>
      </x:c>
      <x:c r="F31" s="17" t="str">
        <x:v>2026-09-14</x:v>
      </x:c>
      <x:c r="G31" s="17" t="str">
        <x:v>관심</x:v>
      </x:c>
      <x:c r="H31" s="17" t="str">
        <x:v>확인 필요</x:v>
      </x:c>
      <x:c r="I31" s="17" t="str">
        <x:v>확인 필요</x:v>
      </x:c>
      <x:c r="J31" s="17" t="str">
        <x:v>확인 필요</x:v>
      </x:c>
      <x:c r="K31" s="17" t="n">
        <x:v>3</x:v>
      </x:c>
      <x:c r="L31" s="17" t="str">
        <x:f>IF(OR(H31="아니오",I31="아니오",J31="아니오"),"지원 제외",IF(AND(H31="예",I31="예",J31="예",K31&gt;=4),"우선 지원","추가 확인"))</x:f>
        <x:v>추가 확인</x:v>
      </x:c>
      <x:c r="M31" s="17" t="str"/>
      <x:c r="N31" s="18" t="str">
        <x:v>https://job.cleaneye.go.kr/user/ypRecruitment.do</x:v>
      </x:c>
      <x:c r="O31" s="1"/>
      <x:c r="P31" s="1"/>
      <x:c r="Q31" s="1"/>
      <x:c r="R31" s="1"/>
      <x:c r="S31" s="1"/>
      <x:c r="T31" s="1"/>
      <x:c r="U31" s="1"/>
      <x:c r="V31" s="1"/>
      <x:c r="W31" s="1"/>
      <x:c r="X31" s="1"/>
      <x:c r="Y31" s="1"/>
      <x:c r="Z31" s="1"/>
    </x:row>
    <x:row r="32" ht="50" customHeight="1">
      <x:c r="A32" s="17" t="n">
        <x:v>28</x:v>
      </x:c>
      <x:c r="B32" s="17" t="str">
        <x:v>서울특별시농수산식품공사</x:v>
      </x:c>
      <x:c r="C32" s="17" t="str">
        <x:v>2026년도 하반기 서울특별시농수산식품공사 체험형 청년인턴 채용 공고</x:v>
      </x:c>
      <x:c r="D32" s="17" t="str">
        <x:v>Cleaneye Job+</x:v>
      </x:c>
      <x:c r="E32" s="17" t="str">
        <x:v>서울특별시</x:v>
      </x:c>
      <x:c r="F32" s="17" t="str">
        <x:v>2026-09-14</x:v>
      </x:c>
      <x:c r="G32" s="17" t="str">
        <x:v>관심</x:v>
      </x:c>
      <x:c r="H32" s="17" t="str">
        <x:v>확인 필요</x:v>
      </x:c>
      <x:c r="I32" s="17" t="str">
        <x:v>확인 필요</x:v>
      </x:c>
      <x:c r="J32" s="17" t="str">
        <x:v>확인 필요</x:v>
      </x:c>
      <x:c r="K32" s="17" t="n">
        <x:v>3</x:v>
      </x:c>
      <x:c r="L32" s="17" t="str">
        <x:f>IF(OR(H32="아니오",I32="아니오",J32="아니오"),"지원 제외",IF(AND(H32="예",I32="예",J32="예",K32&gt;=4),"우선 지원","추가 확인"))</x:f>
        <x:v>추가 확인</x:v>
      </x:c>
      <x:c r="M32" s="17" t="str"/>
      <x:c r="N32" s="18" t="str">
        <x:v>https://job.cleaneye.go.kr/user/ypRecruitment.do</x:v>
      </x:c>
      <x:c r="O32" s="1"/>
      <x:c r="P32" s="1"/>
      <x:c r="Q32" s="1"/>
      <x:c r="R32" s="1"/>
      <x:c r="S32" s="1"/>
      <x:c r="T32" s="1"/>
      <x:c r="U32" s="1"/>
      <x:c r="V32" s="1"/>
      <x:c r="W32" s="1"/>
      <x:c r="X32" s="1"/>
      <x:c r="Y32" s="1"/>
      <x:c r="Z32" s="1"/>
    </x:row>
    <x:row r="33" ht="50" customHeight="1">
      <x:c r="A33" s="17" t="n">
        <x:v>29</x:v>
      </x:c>
      <x:c r="B33" s="17" t="str">
        <x:v>이천시시설관리공단</x:v>
      </x:c>
      <x:c r="C33" s="17" t="str">
        <x:v>이천시시설관리공단 2026년 제5회 블라인드 직원(기간제근로자) 공개채용 공고(청년인턴)</x:v>
      </x:c>
      <x:c r="D33" s="17" t="str">
        <x:v>Cleaneye Job+</x:v>
      </x:c>
      <x:c r="E33" s="17" t="str">
        <x:v>경기도</x:v>
      </x:c>
      <x:c r="F33" s="17" t="str">
        <x:v>2026-09-14</x:v>
      </x:c>
      <x:c r="G33" s="17" t="str">
        <x:v>관심</x:v>
      </x:c>
      <x:c r="H33" s="17" t="str">
        <x:v>확인 필요</x:v>
      </x:c>
      <x:c r="I33" s="17" t="str">
        <x:v>확인 필요</x:v>
      </x:c>
      <x:c r="J33" s="17" t="str">
        <x:v>확인 필요</x:v>
      </x:c>
      <x:c r="K33" s="17" t="n">
        <x:v>3</x:v>
      </x:c>
      <x:c r="L33" s="17" t="str">
        <x:f>IF(OR(H33="아니오",I33="아니오",J33="아니오"),"지원 제외",IF(AND(H33="예",I33="예",J33="예",K33&gt;=4),"우선 지원","추가 확인"))</x:f>
        <x:v>추가 확인</x:v>
      </x:c>
      <x:c r="M33" s="17" t="str"/>
      <x:c r="N33" s="18" t="str">
        <x:v>https://job.cleaneye.go.kr/user/ypRecruitment.do</x:v>
      </x:c>
      <x:c r="O33" s="1"/>
      <x:c r="P33" s="1"/>
      <x:c r="Q33" s="1"/>
      <x:c r="R33" s="1"/>
      <x:c r="S33" s="1"/>
      <x:c r="T33" s="1"/>
      <x:c r="U33" s="1"/>
      <x:c r="V33" s="1"/>
      <x:c r="W33" s="1"/>
      <x:c r="X33" s="1"/>
      <x:c r="Y33" s="1"/>
      <x:c r="Z33" s="1"/>
    </x:row>
    <x:row r="34" ht="50" customHeight="1">
      <x:c r="A34" s="17" t="n">
        <x:v>30</x:v>
      </x:c>
      <x:c r="B34" s="17" t="str">
        <x:v>인천광역시계양구시설관리공단</x:v>
      </x:c>
      <x:c r="C34" s="17" t="str">
        <x:v>2026년도 인천광역시계양구시설관리공단 체험형 청년 인턴 공개경쟁채용 계획 공고</x:v>
      </x:c>
      <x:c r="D34" s="17" t="str">
        <x:v>Cleaneye Job+</x:v>
      </x:c>
      <x:c r="E34" s="17" t="str">
        <x:v>인천광역시</x:v>
      </x:c>
      <x:c r="F34" s="17" t="str">
        <x:v>2026-09-14</x:v>
      </x:c>
      <x:c r="G34" s="17" t="str">
        <x:v>관심</x:v>
      </x:c>
      <x:c r="H34" s="17" t="str">
        <x:v>확인 필요</x:v>
      </x:c>
      <x:c r="I34" s="17" t="str">
        <x:v>확인 필요</x:v>
      </x:c>
      <x:c r="J34" s="17" t="str">
        <x:v>확인 필요</x:v>
      </x:c>
      <x:c r="K34" s="17" t="n">
        <x:v>3</x:v>
      </x:c>
      <x:c r="L34" s="17" t="str">
        <x:f>IF(OR(H34="아니오",I34="아니오",J34="아니오"),"지원 제외",IF(AND(H34="예",I34="예",J34="예",K34&gt;=4),"우선 지원","추가 확인"))</x:f>
        <x:v>추가 확인</x:v>
      </x:c>
      <x:c r="M34" s="17" t="str"/>
      <x:c r="N34" s="18" t="str">
        <x:v>https://job.cleaneye.go.kr/user/ypRecruitment.do</x:v>
      </x:c>
      <x:c r="O34" s="1"/>
      <x:c r="P34" s="1"/>
      <x:c r="Q34" s="1"/>
      <x:c r="R34" s="1"/>
      <x:c r="S34" s="1"/>
      <x:c r="T34" s="1"/>
      <x:c r="U34" s="1"/>
      <x:c r="V34" s="1"/>
      <x:c r="W34" s="1"/>
      <x:c r="X34" s="1"/>
      <x:c r="Y34" s="1"/>
      <x:c r="Z34" s="1"/>
    </x:row>
    <x:row r="35" ht="50" customHeight="1">
      <x:c r="A35" s="17" t="n">
        <x:v>31</x:v>
      </x:c>
      <x:c r="B35" s="17" t="str">
        <x:v>한국소방산업기술원</x:v>
      </x:c>
      <x:c r="C35" s="17" t="str">
        <x:v>2026년 제2차 한국소방산업기술원 체험형 청년인턴 채용</x:v>
      </x:c>
      <x:c r="D35" s="17" t="str">
        <x:v>JOB-ALIO</x:v>
      </x:c>
      <x:c r="E35" s="17" t="str">
        <x:v>경기 외 1</x:v>
      </x:c>
      <x:c r="F35" s="17" t="str">
        <x:v>2026-09-14</x:v>
      </x:c>
      <x:c r="G35" s="17" t="str">
        <x:v>관심</x:v>
      </x:c>
      <x:c r="H35" s="17" t="str">
        <x:v>확인 필요</x:v>
      </x:c>
      <x:c r="I35" s="17" t="str">
        <x:v>확인 필요</x:v>
      </x:c>
      <x:c r="J35" s="17" t="str">
        <x:v>확인 필요</x:v>
      </x:c>
      <x:c r="K35" s="17" t="n">
        <x:v>3</x:v>
      </x:c>
      <x:c r="L35" s="17" t="str">
        <x:f>IF(OR(H35="아니오",I35="아니오",J35="아니오"),"지원 제외",IF(AND(H35="예",I35="예",J35="예",K35&gt;=4),"우선 지원","추가 확인"))</x:f>
        <x:v>추가 확인</x:v>
      </x:c>
      <x:c r="M35" s="17" t="str"/>
      <x:c r="N35" s="18" t="str">
        <x:v>https://job.alio.go.kr/recruitview.do?idx=304433</x:v>
      </x:c>
      <x:c r="O35" s="1"/>
      <x:c r="P35" s="1"/>
      <x:c r="Q35" s="1"/>
      <x:c r="R35" s="1"/>
      <x:c r="S35" s="1"/>
      <x:c r="T35" s="1"/>
      <x:c r="U35" s="1"/>
      <x:c r="V35" s="1"/>
      <x:c r="W35" s="1"/>
      <x:c r="X35" s="1"/>
      <x:c r="Y35" s="1"/>
      <x:c r="Z35" s="1"/>
    </x:row>
    <x:row r="36" ht="50" customHeight="1">
      <x:c r="A36" s="17" t="n">
        <x:v>32</x:v>
      </x:c>
      <x:c r="B36" s="17" t="str">
        <x:v>소상공인시장진흥공단</x:v>
      </x:c>
      <x:c r="C36" s="17" t="str">
        <x:v>2026년 소상공인시장진흥공단 하반기 청년인턴(2차) 채용 공고</x:v>
      </x:c>
      <x:c r="D36" s="17" t="str">
        <x:v>JOB-ALIO</x:v>
      </x:c>
      <x:c r="E36" s="17" t="str">
        <x:v>대전</x:v>
      </x:c>
      <x:c r="F36" s="17" t="str">
        <x:v>2026-09-15</x:v>
      </x:c>
      <x:c r="G36" s="17" t="str">
        <x:v>관심</x:v>
      </x:c>
      <x:c r="H36" s="17" t="str">
        <x:v>확인 필요</x:v>
      </x:c>
      <x:c r="I36" s="17" t="str">
        <x:v>확인 필요</x:v>
      </x:c>
      <x:c r="J36" s="17" t="str">
        <x:v>확인 필요</x:v>
      </x:c>
      <x:c r="K36" s="17" t="n">
        <x:v>3</x:v>
      </x:c>
      <x:c r="L36" s="17" t="str">
        <x:f>IF(OR(H36="아니오",I36="아니오",J36="아니오"),"지원 제외",IF(AND(H36="예",I36="예",J36="예",K36&gt;=4),"우선 지원","추가 확인"))</x:f>
        <x:v>추가 확인</x:v>
      </x:c>
      <x:c r="M36" s="17" t="str"/>
      <x:c r="N36" s="18" t="str">
        <x:v>https://job.alio.go.kr/recruitview.do?idx=304464</x:v>
      </x:c>
      <x:c r="O36" s="1"/>
      <x:c r="P36" s="1"/>
      <x:c r="Q36" s="1"/>
      <x:c r="R36" s="1"/>
      <x:c r="S36" s="1"/>
      <x:c r="T36" s="1"/>
      <x:c r="U36" s="1"/>
      <x:c r="V36" s="1"/>
      <x:c r="W36" s="1"/>
      <x:c r="X36" s="1"/>
      <x:c r="Y36" s="1"/>
      <x:c r="Z36" s="1"/>
    </x:row>
    <x:row r="37" ht="50" customHeight="1">
      <x:c r="A37" s="17" t="n">
        <x:v>33</x:v>
      </x:c>
      <x:c r="B37" s="17" t="str">
        <x:v>한국중부발전(주)</x:v>
      </x:c>
      <x:c r="C37" s="17" t="str">
        <x:v>2026년도 3차 체험형 인턴 채용공고</x:v>
      </x:c>
      <x:c r="D37" s="17" t="str">
        <x:v>JOB-ALIO</x:v>
      </x:c>
      <x:c r="E37" s="17" t="str">
        <x:v>서울 외 5</x:v>
      </x:c>
      <x:c r="F37" s="17" t="str">
        <x:v>2026-09-16</x:v>
      </x:c>
      <x:c r="G37" s="17" t="str">
        <x:v>관심</x:v>
      </x:c>
      <x:c r="H37" s="17" t="str">
        <x:v>확인 필요</x:v>
      </x:c>
      <x:c r="I37" s="17" t="str">
        <x:v>확인 필요</x:v>
      </x:c>
      <x:c r="J37" s="17" t="str">
        <x:v>확인 필요</x:v>
      </x:c>
      <x:c r="K37" s="17" t="n">
        <x:v>3</x:v>
      </x:c>
      <x:c r="L37" s="17" t="str">
        <x:f>IF(OR(H37="아니오",I37="아니오",J37="아니오"),"지원 제외",IF(AND(H37="예",I37="예",J37="예",K37&gt;=4),"우선 지원","추가 확인"))</x:f>
        <x:v>추가 확인</x:v>
      </x:c>
      <x:c r="M37" s="17" t="str"/>
      <x:c r="N37" s="18" t="str">
        <x:v>https://job.alio.go.kr/recruitview.do?idx=304055</x:v>
      </x:c>
      <x:c r="O37" s="1"/>
      <x:c r="P37" s="1"/>
      <x:c r="Q37" s="1"/>
      <x:c r="R37" s="1"/>
      <x:c r="S37" s="1"/>
      <x:c r="T37" s="1"/>
      <x:c r="U37" s="1"/>
      <x:c r="V37" s="1"/>
      <x:c r="W37" s="1"/>
      <x:c r="X37" s="1"/>
      <x:c r="Y37" s="1"/>
      <x:c r="Z37" s="1"/>
    </x:row>
    <x:row r="38" ht="50" customHeight="1">
      <x:c r="A38" s="17" t="n">
        <x:v>34</x:v>
      </x:c>
      <x:c r="B38" s="17" t="str">
        <x:v>경기주택도시공사</x:v>
      </x:c>
      <x:c r="C38" s="17" t="str">
        <x:v>2026년 하반기 경기주택도시공사 장애인 청년인턴사원 공개채용 공고</x:v>
      </x:c>
      <x:c r="D38" s="17" t="str">
        <x:v>Cleaneye Job+</x:v>
      </x:c>
      <x:c r="E38" s="17" t="str">
        <x:v>경기도</x:v>
      </x:c>
      <x:c r="F38" s="17" t="str">
        <x:v>2026-09-17</x:v>
      </x:c>
      <x:c r="G38" s="17" t="str">
        <x:v>관심</x:v>
      </x:c>
      <x:c r="H38" s="17" t="str">
        <x:v>확인 필요</x:v>
      </x:c>
      <x:c r="I38" s="17" t="str">
        <x:v>확인 필요</x:v>
      </x:c>
      <x:c r="J38" s="17" t="str">
        <x:v>확인 필요</x:v>
      </x:c>
      <x:c r="K38" s="17" t="n">
        <x:v>3</x:v>
      </x:c>
      <x:c r="L38" s="17" t="str">
        <x:f>IF(OR(H38="아니오",I38="아니오",J38="아니오"),"지원 제외",IF(AND(H38="예",I38="예",J38="예",K38&gt;=4),"우선 지원","추가 확인"))</x:f>
        <x:v>추가 확인</x:v>
      </x:c>
      <x:c r="M38" s="17" t="str"/>
      <x:c r="N38" s="18" t="str">
        <x:v>https://job.cleaneye.go.kr/user/ypRecruitment.do</x:v>
      </x:c>
      <x:c r="O38" s="1"/>
      <x:c r="P38" s="1"/>
      <x:c r="Q38" s="1"/>
      <x:c r="R38" s="1"/>
      <x:c r="S38" s="1"/>
      <x:c r="T38" s="1"/>
      <x:c r="U38" s="1"/>
      <x:c r="V38" s="1"/>
      <x:c r="W38" s="1"/>
      <x:c r="X38" s="1"/>
      <x:c r="Y38" s="1"/>
      <x:c r="Z38" s="1"/>
    </x:row>
    <x:row r="39" ht="50" customHeight="1">
      <x:c r="A39" s="17" t="n">
        <x:v>35</x:v>
      </x:c>
      <x:c r="B39" s="17" t="str">
        <x:v>용인도시공사</x:v>
      </x:c>
      <x:c r="C39" s="17" t="str">
        <x:v>2026년 제3회 청년 체험형 인턴 공개채용 공고</x:v>
      </x:c>
      <x:c r="D39" s="17" t="str">
        <x:v>Cleaneye Job+</x:v>
      </x:c>
      <x:c r="E39" s="17" t="str">
        <x:v>경기도</x:v>
      </x:c>
      <x:c r="F39" s="17" t="str">
        <x:v>2026-09-17</x:v>
      </x:c>
      <x:c r="G39" s="17" t="str">
        <x:v>관심</x:v>
      </x:c>
      <x:c r="H39" s="17" t="str">
        <x:v>확인 필요</x:v>
      </x:c>
      <x:c r="I39" s="17" t="str">
        <x:v>확인 필요</x:v>
      </x:c>
      <x:c r="J39" s="17" t="str">
        <x:v>확인 필요</x:v>
      </x:c>
      <x:c r="K39" s="17" t="n">
        <x:v>3</x:v>
      </x:c>
      <x:c r="L39" s="17" t="str">
        <x:f>IF(OR(H39="아니오",I39="아니오",J39="아니오"),"지원 제외",IF(AND(H39="예",I39="예",J39="예",K39&gt;=4),"우선 지원","추가 확인"))</x:f>
        <x:v>추가 확인</x:v>
      </x:c>
      <x:c r="M39" s="17" t="str"/>
      <x:c r="N39" s="18" t="str">
        <x:v>https://job.cleaneye.go.kr/user/ypRecruitment.do</x:v>
      </x:c>
      <x:c r="O39" s="1"/>
      <x:c r="P39" s="1"/>
      <x:c r="Q39" s="1"/>
      <x:c r="R39" s="1"/>
      <x:c r="S39" s="1"/>
      <x:c r="T39" s="1"/>
      <x:c r="U39" s="1"/>
      <x:c r="V39" s="1"/>
      <x:c r="W39" s="1"/>
      <x:c r="X39" s="1"/>
      <x:c r="Y39" s="1"/>
      <x:c r="Z39" s="1"/>
    </x:row>
    <x:row r="40" ht="50" customHeight="1">
      <x:c r="A40" s="17" t="n">
        <x:v>36</x:v>
      </x:c>
      <x:c r="B40" s="17" t="str">
        <x:v>학교법인한국폴리텍</x:v>
      </x:c>
      <x:c r="C40" s="17" t="str">
        <x:v>한국폴리텍대학 청주캠퍼스 하반기 청년인턴(일반) 채용 공고</x:v>
      </x:c>
      <x:c r="D40" s="17" t="str">
        <x:v>JOB-ALIO</x:v>
      </x:c>
      <x:c r="E40" s="17" t="str">
        <x:v>충북</x:v>
      </x:c>
      <x:c r="F40" s="17" t="str">
        <x:v>2026-09-18</x:v>
      </x:c>
      <x:c r="G40" s="17" t="str">
        <x:v>관심</x:v>
      </x:c>
      <x:c r="H40" s="17" t="str">
        <x:v>확인 필요</x:v>
      </x:c>
      <x:c r="I40" s="17" t="str">
        <x:v>확인 필요</x:v>
      </x:c>
      <x:c r="J40" s="17" t="str">
        <x:v>확인 필요</x:v>
      </x:c>
      <x:c r="K40" s="17" t="n">
        <x:v>3</x:v>
      </x:c>
      <x:c r="L40" s="17" t="str">
        <x:f>IF(OR(H40="아니오",I40="아니오",J40="아니오"),"지원 제외",IF(AND(H40="예",I40="예",J40="예",K40&gt;=4),"우선 지원","추가 확인"))</x:f>
        <x:v>추가 확인</x:v>
      </x:c>
      <x:c r="M40" s="17" t="str"/>
      <x:c r="N40" s="18" t="str">
        <x:v>https://job.alio.go.kr/recruitview.do?idx=304741</x:v>
      </x:c>
      <x:c r="O40" s="1"/>
      <x:c r="P40" s="1"/>
      <x:c r="Q40" s="1"/>
      <x:c r="R40" s="1"/>
      <x:c r="S40" s="1"/>
      <x:c r="T40" s="1"/>
      <x:c r="U40" s="1"/>
      <x:c r="V40" s="1"/>
      <x:c r="W40" s="1"/>
      <x:c r="X40" s="1"/>
      <x:c r="Y40" s="1"/>
      <x:c r="Z40" s="1"/>
    </x:row>
    <x:row r="41" ht="50" customHeight="1">
      <x:c r="A41" s="17" t="n">
        <x:v>37</x:v>
      </x:c>
      <x:c r="B41" s="17" t="str">
        <x:v>한국학중앙연구원</x:v>
      </x:c>
      <x:c r="C41" s="17" t="str">
        <x:v>2026년도 한국학중앙연구원 문화콘텐츠편찬실 청년인턴 채용 공고</x:v>
      </x:c>
      <x:c r="D41" s="17" t="str">
        <x:v>JOB-ALIO</x:v>
      </x:c>
      <x:c r="E41" s="17" t="str">
        <x:v>경기</x:v>
      </x:c>
      <x:c r="F41" s="17" t="str">
        <x:v>2026-09-20</x:v>
      </x:c>
      <x:c r="G41" s="17" t="str">
        <x:v>관심</x:v>
      </x:c>
      <x:c r="H41" s="17" t="str">
        <x:v>확인 필요</x:v>
      </x:c>
      <x:c r="I41" s="17" t="str">
        <x:v>확인 필요</x:v>
      </x:c>
      <x:c r="J41" s="17" t="str">
        <x:v>확인 필요</x:v>
      </x:c>
      <x:c r="K41" s="17" t="n">
        <x:v>3</x:v>
      </x:c>
      <x:c r="L41" s="17" t="str">
        <x:f>IF(OR(H41="아니오",I41="아니오",J41="아니오"),"지원 제외",IF(AND(H41="예",I41="예",J41="예",K41&gt;=4),"우선 지원","추가 확인"))</x:f>
        <x:v>추가 확인</x:v>
      </x:c>
      <x:c r="M41" s="17" t="str"/>
      <x:c r="N41" s="18" t="str">
        <x:v>https://job.alio.go.kr/recruitview.do?idx=304655</x:v>
      </x:c>
      <x:c r="O41" s="1"/>
      <x:c r="P41" s="1"/>
      <x:c r="Q41" s="1"/>
      <x:c r="R41" s="1"/>
      <x:c r="S41" s="1"/>
      <x:c r="T41" s="1"/>
      <x:c r="U41" s="1"/>
      <x:c r="V41" s="1"/>
      <x:c r="W41" s="1"/>
      <x:c r="X41" s="1"/>
      <x:c r="Y41" s="1"/>
      <x:c r="Z41" s="1"/>
    </x:row>
    <x:row r="42" ht="50" customHeight="1">
      <x:c r="A42" s="17" t="n">
        <x:v>38</x:v>
      </x:c>
      <x:c r="B42" s="17" t="str">
        <x:v>자동차손해배상진흥원</x:v>
      </x:c>
      <x:c r="C42" s="17" t="str">
        <x:v>자동차손해배상진흥원 청년인턴(체험형) 채용공고</x:v>
      </x:c>
      <x:c r="D42" s="17" t="str">
        <x:v>JOB-ALIO</x:v>
      </x:c>
      <x:c r="E42" s="17" t="str">
        <x:v>부산</x:v>
      </x:c>
      <x:c r="F42" s="17" t="str">
        <x:v>2026-09-21</x:v>
      </x:c>
      <x:c r="G42" s="17" t="str">
        <x:v>관심</x:v>
      </x:c>
      <x:c r="H42" s="17" t="str">
        <x:v>확인 필요</x:v>
      </x:c>
      <x:c r="I42" s="17" t="str">
        <x:v>확인 필요</x:v>
      </x:c>
      <x:c r="J42" s="17" t="str">
        <x:v>확인 필요</x:v>
      </x:c>
      <x:c r="K42" s="17" t="n">
        <x:v>3</x:v>
      </x:c>
      <x:c r="L42" s="17" t="str">
        <x:f>IF(OR(H42="아니오",I42="아니오",J42="아니오"),"지원 제외",IF(AND(H42="예",I42="예",J42="예",K42&gt;=4),"우선 지원","추가 확인"))</x:f>
        <x:v>추가 확인</x:v>
      </x:c>
      <x:c r="M42" s="17" t="str"/>
      <x:c r="N42" s="18" t="str">
        <x:v>https://job.alio.go.kr/recruitview.do?idx=304696</x:v>
      </x:c>
      <x:c r="O42" s="1"/>
      <x:c r="P42" s="1"/>
      <x:c r="Q42" s="1"/>
      <x:c r="R42" s="1"/>
      <x:c r="S42" s="1"/>
      <x:c r="T42" s="1"/>
      <x:c r="U42" s="1"/>
      <x:c r="V42" s="1"/>
      <x:c r="W42" s="1"/>
      <x:c r="X42" s="1"/>
      <x:c r="Y42" s="1"/>
      <x:c r="Z42" s="1"/>
    </x:row>
    <x:row r="43" ht="50" customHeight="1">
      <x:c r="A43" s="17" t="n">
        <x:v>39</x:v>
      </x:c>
      <x:c r="B43" s="17" t="str">
        <x:v>한국인터넷진흥원</x:v>
      </x:c>
      <x:c r="C43" s="17" t="str">
        <x:v>2026년 한국인터넷진흥원 체험형 청년인턴 채용 공고</x:v>
      </x:c>
      <x:c r="D43" s="17" t="str">
        <x:v>JOB-ALIO</x:v>
      </x:c>
      <x:c r="E43" s="17" t="str">
        <x:v>서울 외 1</x:v>
      </x:c>
      <x:c r="F43" s="17" t="str">
        <x:v>2026-09-21</x:v>
      </x:c>
      <x:c r="G43" s="17" t="str">
        <x:v>관심</x:v>
      </x:c>
      <x:c r="H43" s="17" t="str">
        <x:v>확인 필요</x:v>
      </x:c>
      <x:c r="I43" s="17" t="str">
        <x:v>확인 필요</x:v>
      </x:c>
      <x:c r="J43" s="17" t="str">
        <x:v>확인 필요</x:v>
      </x:c>
      <x:c r="K43" s="17" t="n">
        <x:v>3</x:v>
      </x:c>
      <x:c r="L43" s="17" t="str">
        <x:f>IF(OR(H43="아니오",I43="아니오",J43="아니오"),"지원 제외",IF(AND(H43="예",I43="예",J43="예",K43&gt;=4),"우선 지원","추가 확인"))</x:f>
        <x:v>추가 확인</x:v>
      </x:c>
      <x:c r="M43" s="17" t="str"/>
      <x:c r="N43" s="18" t="str">
        <x:v>https://job.alio.go.kr/recruitview.do?idx=304632</x:v>
      </x:c>
      <x:c r="O43" s="1"/>
      <x:c r="P43" s="1"/>
      <x:c r="Q43" s="1"/>
      <x:c r="R43" s="1"/>
      <x:c r="S43" s="1"/>
      <x:c r="T43" s="1"/>
      <x:c r="U43" s="1"/>
      <x:c r="V43" s="1"/>
      <x:c r="W43" s="1"/>
      <x:c r="X43" s="1"/>
      <x:c r="Y43" s="1"/>
      <x:c r="Z43" s="1"/>
    </x:row>
    <x:row r="44" ht="50" customHeight="1">
      <x:c r="A44" s="17" t="n">
        <x:v>40</x:v>
      </x:c>
      <x:c r="B44" s="17" t="str">
        <x:v>한국교통안전공단</x:v>
      </x:c>
      <x:c r="C44" s="17" t="str">
        <x:v>2026년 제4차 한국교통안전공단 항공안전실 기간제근로자 채용공고</x:v>
      </x:c>
      <x:c r="D44" s="17" t="str">
        <x:v>JOB-ALIO</x:v>
      </x:c>
      <x:c r="E44" s="17" t="str">
        <x:v>경북</x:v>
      </x:c>
      <x:c r="F44" s="17" t="str">
        <x:v>2026-09-22</x:v>
      </x:c>
      <x:c r="G44" s="17" t="str">
        <x:v>관심</x:v>
      </x:c>
      <x:c r="H44" s="17" t="str">
        <x:v>확인 필요</x:v>
      </x:c>
      <x:c r="I44" s="17" t="str">
        <x:v>확인 필요</x:v>
      </x:c>
      <x:c r="J44" s="17" t="str">
        <x:v>확인 필요</x:v>
      </x:c>
      <x:c r="K44" s="17" t="n">
        <x:v>3</x:v>
      </x:c>
      <x:c r="L44" s="17" t="str">
        <x:f>IF(OR(H44="아니오",I44="아니오",J44="아니오"),"지원 제외",IF(AND(H44="예",I44="예",J44="예",K44&gt;=4),"우선 지원","추가 확인"))</x:f>
        <x:v>추가 확인</x:v>
      </x:c>
      <x:c r="M44" s="17" t="str"/>
      <x:c r="N44" s="18" t="str">
        <x:v>https://job.alio.go.kr/recruitview.do?idx=304629</x:v>
      </x:c>
      <x:c r="O44" s="1"/>
      <x:c r="P44" s="1"/>
      <x:c r="Q44" s="1"/>
      <x:c r="R44" s="1"/>
      <x:c r="S44" s="1"/>
      <x:c r="T44" s="1"/>
      <x:c r="U44" s="1"/>
      <x:c r="V44" s="1"/>
      <x:c r="W44" s="1"/>
      <x:c r="X44" s="1"/>
      <x:c r="Y44" s="1"/>
      <x:c r="Z44" s="1"/>
    </x:row>
    <x:row r="45" ht="50" customHeight="1">
      <x:c r="A45" s="17" t="n">
        <x:v>41</x:v>
      </x:c>
      <x:c r="B45" s="17" t="str">
        <x:v>한국교통안전공단</x:v>
      </x:c>
      <x:c r="C45" s="17" t="str">
        <x:v>2026년 제4차 한국교통안전공단 자동차안전하자심의위원회 사무국 기간제근로자 채용 공고</x:v>
      </x:c>
      <x:c r="D45" s="17" t="str">
        <x:v>JOB-ALIO</x:v>
      </x:c>
      <x:c r="E45" s="17" t="str">
        <x:v>경기</x:v>
      </x:c>
      <x:c r="F45" s="17" t="str">
        <x:v>2026-09-22</x:v>
      </x:c>
      <x:c r="G45" s="17" t="str">
        <x:v>관심</x:v>
      </x:c>
      <x:c r="H45" s="17" t="str">
        <x:v>확인 필요</x:v>
      </x:c>
      <x:c r="I45" s="17" t="str">
        <x:v>확인 필요</x:v>
      </x:c>
      <x:c r="J45" s="17" t="str">
        <x:v>확인 필요</x:v>
      </x:c>
      <x:c r="K45" s="17" t="n">
        <x:v>3</x:v>
      </x:c>
      <x:c r="L45" s="17" t="str">
        <x:f>IF(OR(H45="아니오",I45="아니오",J45="아니오"),"지원 제외",IF(AND(H45="예",I45="예",J45="예",K45&gt;=4),"우선 지원","추가 확인"))</x:f>
        <x:v>추가 확인</x:v>
      </x:c>
      <x:c r="M45" s="17" t="str"/>
      <x:c r="N45" s="18" t="str">
        <x:v>https://job.alio.go.kr/recruitview.do?idx=304603</x:v>
      </x:c>
      <x:c r="O45" s="1"/>
      <x:c r="P45" s="1"/>
      <x:c r="Q45" s="1"/>
      <x:c r="R45" s="1"/>
      <x:c r="S45" s="1"/>
      <x:c r="T45" s="1"/>
      <x:c r="U45" s="1"/>
      <x:c r="V45" s="1"/>
      <x:c r="W45" s="1"/>
      <x:c r="X45" s="1"/>
      <x:c r="Y45" s="1"/>
      <x:c r="Z45" s="1"/>
    </x:row>
    <x:row r="46" ht="50" customHeight="1">
      <x:c r="A46" s="17" t="n">
        <x:v>42</x:v>
      </x:c>
      <x:c r="B46" s="17" t="str">
        <x:v>한국교통안전공단</x:v>
      </x:c>
      <x:c r="C46" s="17" t="str">
        <x:v>2026년 제4차 한국교통안전공단 경기남부본부 기간제근로자 채용공고</x:v>
      </x:c>
      <x:c r="D46" s="17" t="str">
        <x:v>JOB-ALIO</x:v>
      </x:c>
      <x:c r="E46" s="17" t="str">
        <x:v>경기</x:v>
      </x:c>
      <x:c r="F46" s="17" t="str">
        <x:v>2026-09-22</x:v>
      </x:c>
      <x:c r="G46" s="17" t="str">
        <x:v>관심</x:v>
      </x:c>
      <x:c r="H46" s="17" t="str">
        <x:v>확인 필요</x:v>
      </x:c>
      <x:c r="I46" s="17" t="str">
        <x:v>확인 필요</x:v>
      </x:c>
      <x:c r="J46" s="17" t="str">
        <x:v>확인 필요</x:v>
      </x:c>
      <x:c r="K46" s="17" t="n">
        <x:v>3</x:v>
      </x:c>
      <x:c r="L46" s="17" t="str">
        <x:f>IF(OR(H46="아니오",I46="아니오",J46="아니오"),"지원 제외",IF(AND(H46="예",I46="예",J46="예",K46&gt;=4),"우선 지원","추가 확인"))</x:f>
        <x:v>추가 확인</x:v>
      </x:c>
      <x:c r="M46" s="17" t="str"/>
      <x:c r="N46" s="18" t="str">
        <x:v>https://job.alio.go.kr/recruitview.do?idx=304601</x:v>
      </x:c>
      <x:c r="O46" s="1"/>
      <x:c r="P46" s="1"/>
      <x:c r="Q46" s="1"/>
      <x:c r="R46" s="1"/>
      <x:c r="S46" s="1"/>
      <x:c r="T46" s="1"/>
      <x:c r="U46" s="1"/>
      <x:c r="V46" s="1"/>
      <x:c r="W46" s="1"/>
      <x:c r="X46" s="1"/>
      <x:c r="Y46" s="1"/>
      <x:c r="Z46" s="1"/>
    </x:row>
    <x:row r="47" ht="50" customHeight="1">
      <x:c r="A47" s="17" t="n">
        <x:v>43</x:v>
      </x:c>
      <x:c r="B47" s="17" t="str">
        <x:v>한국교통안전공단</x:v>
      </x:c>
      <x:c r="C47" s="17" t="str">
        <x:v>2026년 제4차 한국교통안전공단 경남본부 기간제근로자 채용공고</x:v>
      </x:c>
      <x:c r="D47" s="17" t="str">
        <x:v>JOB-ALIO</x:v>
      </x:c>
      <x:c r="E47" s="17" t="str">
        <x:v>경남</x:v>
      </x:c>
      <x:c r="F47" s="17" t="str">
        <x:v>2026-09-22</x:v>
      </x:c>
      <x:c r="G47" s="17" t="str">
        <x:v>관심</x:v>
      </x:c>
      <x:c r="H47" s="17" t="str">
        <x:v>확인 필요</x:v>
      </x:c>
      <x:c r="I47" s="17" t="str">
        <x:v>확인 필요</x:v>
      </x:c>
      <x:c r="J47" s="17" t="str">
        <x:v>확인 필요</x:v>
      </x:c>
      <x:c r="K47" s="17" t="n">
        <x:v>3</x:v>
      </x:c>
      <x:c r="L47" s="17" t="str">
        <x:f>IF(OR(H47="아니오",I47="아니오",J47="아니오"),"지원 제외",IF(AND(H47="예",I47="예",J47="예",K47&gt;=4),"우선 지원","추가 확인"))</x:f>
        <x:v>추가 확인</x:v>
      </x:c>
      <x:c r="M47" s="17" t="str"/>
      <x:c r="N47" s="18" t="str">
        <x:v>https://job.alio.go.kr/recruitview.do?idx=304600</x:v>
      </x:c>
      <x:c r="O47" s="1"/>
      <x:c r="P47" s="1"/>
      <x:c r="Q47" s="1"/>
      <x:c r="R47" s="1"/>
      <x:c r="S47" s="1"/>
      <x:c r="T47" s="1"/>
      <x:c r="U47" s="1"/>
      <x:c r="V47" s="1"/>
      <x:c r="W47" s="1"/>
      <x:c r="X47" s="1"/>
      <x:c r="Y47" s="1"/>
      <x:c r="Z47" s="1"/>
    </x:row>
    <x:row r="48" ht="50" customHeight="1">
      <x:c r="A48" s="17" t="n">
        <x:v>44</x:v>
      </x:c>
      <x:c r="B48" s="17" t="str">
        <x:v>한국교통안전공단</x:v>
      </x:c>
      <x:c r="C48" s="17" t="str">
        <x:v>2026년 제4차 한국교통안전공단 경기북부본부 기간제근로자 채용 공고</x:v>
      </x:c>
      <x:c r="D48" s="17" t="str">
        <x:v>JOB-ALIO</x:v>
      </x:c>
      <x:c r="E48" s="17" t="str">
        <x:v>경기</x:v>
      </x:c>
      <x:c r="F48" s="17" t="str">
        <x:v>2026-09-22</x:v>
      </x:c>
      <x:c r="G48" s="17" t="str">
        <x:v>관심</x:v>
      </x:c>
      <x:c r="H48" s="17" t="str">
        <x:v>확인 필요</x:v>
      </x:c>
      <x:c r="I48" s="17" t="str">
        <x:v>확인 필요</x:v>
      </x:c>
      <x:c r="J48" s="17" t="str">
        <x:v>확인 필요</x:v>
      </x:c>
      <x:c r="K48" s="17" t="n">
        <x:v>3</x:v>
      </x:c>
      <x:c r="L48" s="17" t="str">
        <x:f>IF(OR(H48="아니오",I48="아니오",J48="아니오"),"지원 제외",IF(AND(H48="예",I48="예",J48="예",K48&gt;=4),"우선 지원","추가 확인"))</x:f>
        <x:v>추가 확인</x:v>
      </x:c>
      <x:c r="M48" s="17" t="str"/>
      <x:c r="N48" s="18" t="str">
        <x:v>https://job.alio.go.kr/recruitview.do?idx=304597</x:v>
      </x:c>
      <x:c r="O48" s="1"/>
      <x:c r="P48" s="1"/>
      <x:c r="Q48" s="1"/>
      <x:c r="R48" s="1"/>
      <x:c r="S48" s="1"/>
      <x:c r="T48" s="1"/>
      <x:c r="U48" s="1"/>
      <x:c r="V48" s="1"/>
      <x:c r="W48" s="1"/>
      <x:c r="X48" s="1"/>
      <x:c r="Y48" s="1"/>
      <x:c r="Z48" s="1"/>
    </x:row>
    <x:row r="49" ht="50" customHeight="1">
      <x:c r="A49" s="17" t="n">
        <x:v>45</x:v>
      </x:c>
      <x:c r="B49" s="17" t="str">
        <x:v>한국교통안전공단</x:v>
      </x:c>
      <x:c r="C49" s="17" t="str">
        <x:v>2026년 제4차 한국교통안전공단 인천본부 기간제근로자 채용 공고</x:v>
      </x:c>
      <x:c r="D49" s="17" t="str">
        <x:v>JOB-ALIO</x:v>
      </x:c>
      <x:c r="E49" s="17" t="str">
        <x:v>인천 외 1</x:v>
      </x:c>
      <x:c r="F49" s="17" t="str">
        <x:v>2026-09-22</x:v>
      </x:c>
      <x:c r="G49" s="17" t="str">
        <x:v>관심</x:v>
      </x:c>
      <x:c r="H49" s="17" t="str">
        <x:v>확인 필요</x:v>
      </x:c>
      <x:c r="I49" s="17" t="str">
        <x:v>확인 필요</x:v>
      </x:c>
      <x:c r="J49" s="17" t="str">
        <x:v>확인 필요</x:v>
      </x:c>
      <x:c r="K49" s="17" t="n">
        <x:v>3</x:v>
      </x:c>
      <x:c r="L49" s="17" t="str">
        <x:f>IF(OR(H49="아니오",I49="아니오",J49="아니오"),"지원 제외",IF(AND(H49="예",I49="예",J49="예",K49&gt;=4),"우선 지원","추가 확인"))</x:f>
        <x:v>추가 확인</x:v>
      </x:c>
      <x:c r="M49" s="17" t="str"/>
      <x:c r="N49" s="18" t="str">
        <x:v>https://job.alio.go.kr/recruitview.do?idx=304584</x:v>
      </x:c>
      <x:c r="O49" s="1"/>
      <x:c r="P49" s="1"/>
      <x:c r="Q49" s="1"/>
      <x:c r="R49" s="1"/>
      <x:c r="S49" s="1"/>
      <x:c r="T49" s="1"/>
      <x:c r="U49" s="1"/>
      <x:c r="V49" s="1"/>
      <x:c r="W49" s="1"/>
      <x:c r="X49" s="1"/>
      <x:c r="Y49" s="1"/>
      <x:c r="Z49" s="1"/>
    </x:row>
    <x:row r="50" ht="50" customHeight="1">
      <x:c r="A50" s="17" t="n">
        <x:v>46</x:v>
      </x:c>
      <x:c r="B50" s="17" t="str">
        <x:v>한국교통안전공단</x:v>
      </x:c>
      <x:c r="C50" s="17" t="str">
        <x:v>2026년 제4차 한국교통안전공단 모빌리티지원센터 정책지원처 기간제근로자 채용 공고</x:v>
      </x:c>
      <x:c r="D50" s="17" t="str">
        <x:v>JOB-ALIO</x:v>
      </x:c>
      <x:c r="E50" s="17" t="str">
        <x:v>경북</x:v>
      </x:c>
      <x:c r="F50" s="17" t="str">
        <x:v>2026-09-22</x:v>
      </x:c>
      <x:c r="G50" s="17" t="str">
        <x:v>관심</x:v>
      </x:c>
      <x:c r="H50" s="17" t="str">
        <x:v>확인 필요</x:v>
      </x:c>
      <x:c r="I50" s="17" t="str">
        <x:v>확인 필요</x:v>
      </x:c>
      <x:c r="J50" s="17" t="str">
        <x:v>확인 필요</x:v>
      </x:c>
      <x:c r="K50" s="17" t="n">
        <x:v>3</x:v>
      </x:c>
      <x:c r="L50" s="17" t="str">
        <x:f>IF(OR(H50="아니오",I50="아니오",J50="아니오"),"지원 제외",IF(AND(H50="예",I50="예",J50="예",K50&gt;=4),"우선 지원","추가 확인"))</x:f>
        <x:v>추가 확인</x:v>
      </x:c>
      <x:c r="M50" s="17" t="str"/>
      <x:c r="N50" s="18" t="str">
        <x:v>https://job.alio.go.kr/recruitview.do?idx=304578</x:v>
      </x:c>
      <x:c r="O50" s="1"/>
      <x:c r="P50" s="1"/>
      <x:c r="Q50" s="1"/>
      <x:c r="R50" s="1"/>
      <x:c r="S50" s="1"/>
      <x:c r="T50" s="1"/>
      <x:c r="U50" s="1"/>
      <x:c r="V50" s="1"/>
      <x:c r="W50" s="1"/>
      <x:c r="X50" s="1"/>
      <x:c r="Y50" s="1"/>
      <x:c r="Z50" s="1"/>
    </x:row>
    <x:row r="51" ht="50" customHeight="1">
      <x:c r="A51" s="17" t="n">
        <x:v>47</x:v>
      </x:c>
      <x:c r="B51" s="17" t="str">
        <x:v>한국교통안전공단</x:v>
      </x:c>
      <x:c r="C51" s="17" t="str">
        <x:v>2026년 제4차 한국교통안전공단 대구경북본부 기간제근로자 채용공고</x:v>
      </x:c>
      <x:c r="D51" s="17" t="str">
        <x:v>JOB-ALIO</x:v>
      </x:c>
      <x:c r="E51" s="17" t="str">
        <x:v>대구 외 1</x:v>
      </x:c>
      <x:c r="F51" s="17" t="str">
        <x:v>2026-09-22</x:v>
      </x:c>
      <x:c r="G51" s="17" t="str">
        <x:v>관심</x:v>
      </x:c>
      <x:c r="H51" s="17" t="str">
        <x:v>확인 필요</x:v>
      </x:c>
      <x:c r="I51" s="17" t="str">
        <x:v>확인 필요</x:v>
      </x:c>
      <x:c r="J51" s="17" t="str">
        <x:v>확인 필요</x:v>
      </x:c>
      <x:c r="K51" s="17" t="n">
        <x:v>3</x:v>
      </x:c>
      <x:c r="L51" s="17" t="str">
        <x:f>IF(OR(H51="아니오",I51="아니오",J51="아니오"),"지원 제외",IF(AND(H51="예",I51="예",J51="예",K51&gt;=4),"우선 지원","추가 확인"))</x:f>
        <x:v>추가 확인</x:v>
      </x:c>
      <x:c r="M51" s="17" t="str"/>
      <x:c r="N51" s="18" t="str">
        <x:v>https://job.alio.go.kr/recruitview.do?idx=304572</x:v>
      </x:c>
      <x:c r="O51" s="1"/>
      <x:c r="P51" s="1"/>
      <x:c r="Q51" s="1"/>
      <x:c r="R51" s="1"/>
      <x:c r="S51" s="1"/>
      <x:c r="T51" s="1"/>
      <x:c r="U51" s="1"/>
      <x:c r="V51" s="1"/>
      <x:c r="W51" s="1"/>
      <x:c r="X51" s="1"/>
      <x:c r="Y51" s="1"/>
      <x:c r="Z51" s="1"/>
    </x:row>
    <x:row r="52" ht="50" customHeight="1">
      <x:c r="A52" s="17" t="n">
        <x:v>48</x:v>
      </x:c>
      <x:c r="B52" s="17" t="str">
        <x:v>한국교통안전공단</x:v>
      </x:c>
      <x:c r="C52" s="17" t="str">
        <x:v>2026년 제4차 한국교통안전공단 부산본부 기간제근로자 채용공고</x:v>
      </x:c>
      <x:c r="D52" s="17" t="str">
        <x:v>JOB-ALIO</x:v>
      </x:c>
      <x:c r="E52" s="17" t="str">
        <x:v>부산</x:v>
      </x:c>
      <x:c r="F52" s="17" t="str">
        <x:v>2026-09-22</x:v>
      </x:c>
      <x:c r="G52" s="17" t="str">
        <x:v>관심</x:v>
      </x:c>
      <x:c r="H52" s="17" t="str">
        <x:v>확인 필요</x:v>
      </x:c>
      <x:c r="I52" s="17" t="str">
        <x:v>확인 필요</x:v>
      </x:c>
      <x:c r="J52" s="17" t="str">
        <x:v>확인 필요</x:v>
      </x:c>
      <x:c r="K52" s="17" t="n">
        <x:v>3</x:v>
      </x:c>
      <x:c r="L52" s="17" t="str">
        <x:f>IF(OR(H52="아니오",I52="아니오",J52="아니오"),"지원 제외",IF(AND(H52="예",I52="예",J52="예",K52&gt;=4),"우선 지원","추가 확인"))</x:f>
        <x:v>추가 확인</x:v>
      </x:c>
      <x:c r="M52" s="17" t="str"/>
      <x:c r="N52" s="18" t="str">
        <x:v>https://job.alio.go.kr/recruitview.do?idx=304569</x:v>
      </x:c>
      <x:c r="O52" s="1"/>
      <x:c r="P52" s="1"/>
      <x:c r="Q52" s="1"/>
      <x:c r="R52" s="1"/>
      <x:c r="S52" s="1"/>
      <x:c r="T52" s="1"/>
      <x:c r="U52" s="1"/>
      <x:c r="V52" s="1"/>
      <x:c r="W52" s="1"/>
      <x:c r="X52" s="1"/>
      <x:c r="Y52" s="1"/>
      <x:c r="Z52" s="1"/>
    </x:row>
    <x:row r="53" ht="50" customHeight="1">
      <x:c r="A53" s="17" t="n">
        <x:v>49</x:v>
      </x:c>
      <x:c r="B53" s="17" t="str">
        <x:v>한국교통안전공단</x:v>
      </x:c>
      <x:c r="C53" s="17" t="str">
        <x:v>2026년 제4차 한국교통안전공단 제주본부 기간제근로자 채용공고</x:v>
      </x:c>
      <x:c r="D53" s="17" t="str">
        <x:v>JOB-ALIO</x:v>
      </x:c>
      <x:c r="E53" s="17" t="str">
        <x:v>제주</x:v>
      </x:c>
      <x:c r="F53" s="17" t="str">
        <x:v>2026-09-22</x:v>
      </x:c>
      <x:c r="G53" s="17" t="str">
        <x:v>관심</x:v>
      </x:c>
      <x:c r="H53" s="17" t="str">
        <x:v>확인 필요</x:v>
      </x:c>
      <x:c r="I53" s="17" t="str">
        <x:v>확인 필요</x:v>
      </x:c>
      <x:c r="J53" s="17" t="str">
        <x:v>확인 필요</x:v>
      </x:c>
      <x:c r="K53" s="17" t="n">
        <x:v>3</x:v>
      </x:c>
      <x:c r="L53" s="17" t="str">
        <x:f>IF(OR(H53="아니오",I53="아니오",J53="아니오"),"지원 제외",IF(AND(H53="예",I53="예",J53="예",K53&gt;=4),"우선 지원","추가 확인"))</x:f>
        <x:v>추가 확인</x:v>
      </x:c>
      <x:c r="M53" s="17" t="str"/>
      <x:c r="N53" s="18" t="str">
        <x:v>https://job.alio.go.kr/recruitview.do?idx=304559</x:v>
      </x:c>
      <x:c r="O53" s="1"/>
      <x:c r="P53" s="1"/>
      <x:c r="Q53" s="1"/>
      <x:c r="R53" s="1"/>
      <x:c r="S53" s="1"/>
      <x:c r="T53" s="1"/>
      <x:c r="U53" s="1"/>
      <x:c r="V53" s="1"/>
      <x:c r="W53" s="1"/>
      <x:c r="X53" s="1"/>
      <x:c r="Y53" s="1"/>
      <x:c r="Z53" s="1"/>
    </x:row>
    <x:row r="54" ht="50" customHeight="1">
      <x:c r="A54" s="17" t="n">
        <x:v>50</x:v>
      </x:c>
      <x:c r="B54" s="17" t="str">
        <x:v>한국산업은행</x:v>
      </x:c>
      <x:c r="C54" s="17" t="str">
        <x:v>한국산업은행 2026년 3차 청년인턴 채용공고</x:v>
      </x:c>
      <x:c r="D54" s="17" t="str">
        <x:v>JOB-ALIO</x:v>
      </x:c>
      <x:c r="E54" s="17" t="str">
        <x:v>서울 외 14</x:v>
      </x:c>
      <x:c r="F54" s="17" t="str">
        <x:v>2026-09-22</x:v>
      </x:c>
      <x:c r="G54" s="17" t="str">
        <x:v>관심</x:v>
      </x:c>
      <x:c r="H54" s="17" t="str">
        <x:v>확인 필요</x:v>
      </x:c>
      <x:c r="I54" s="17" t="str">
        <x:v>확인 필요</x:v>
      </x:c>
      <x:c r="J54" s="17" t="str">
        <x:v>확인 필요</x:v>
      </x:c>
      <x:c r="K54" s="17" t="n">
        <x:v>3</x:v>
      </x:c>
      <x:c r="L54" s="17" t="str">
        <x:f>IF(OR(H54="아니오",I54="아니오",J54="아니오"),"지원 제외",IF(AND(H54="예",I54="예",J54="예",K54&gt;=4),"우선 지원","추가 확인"))</x:f>
        <x:v>추가 확인</x:v>
      </x:c>
      <x:c r="M54" s="17" t="str"/>
      <x:c r="N54" s="18" t="str">
        <x:v>https://job.alio.go.kr/recruitview.do?idx=304680</x:v>
      </x:c>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1:N1"/>
    <x:mergeCell ref="A2:N2"/>
  </x:mergeCells>
  <x:conditionalFormatting sqref="L5:L54">
    <x:cfRule type="containsText" dxfId="16" priority="1" operator="containsText" text="우선 지원"/>
    <x:cfRule type="containsText" dxfId="17" priority="2" operator="containsText" text="지원 제외"/>
    <x:cfRule type="containsText" dxfId="18" priority="3" operator="containsText" text="추가 확인"/>
  </x:conditionalFormatting>
  <x:pageMargins left="0.7" right="0.7" top="0.75" bottom="0.75" header="0.3" footer="0.3"/>
  <x:tableParts count="1">
    <x:tablePart xmlns:r="http://schemas.openxmlformats.org/officeDocument/2006/relationships" r:id="R5d81452f581c44c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58" hidden="0" customWidth="1"/>
    <x:col min="3" max="3" width="66" hidden="0" customWidth="1"/>
  </x:cols>
  <x:sheetData>
    <x:row r="1" ht="32" customHeight="1">
      <x:c r="A1" s="4" t="str">
        <x:v>사용법·검증기준·공식 출처</x:v>
      </x:c>
      <x:c r="B1" s="4"/>
      <x:c r="C1" s="4"/>
      <x:c r="D1" s="1"/>
      <x:c r="E1" s="1"/>
      <x:c r="F1" s="1"/>
      <x:c r="G1" s="1"/>
      <x:c r="H1" s="1"/>
      <x:c r="I1" s="1"/>
      <x:c r="J1" s="1"/>
      <x:c r="K1" s="1"/>
      <x:c r="L1" s="1"/>
      <x:c r="M1" s="1"/>
      <x:c r="N1" s="1"/>
      <x:c r="O1" s="1"/>
      <x:c r="P1" s="1"/>
      <x:c r="Q1" s="1"/>
      <x:c r="R1" s="1"/>
      <x:c r="S1" s="1"/>
      <x:c r="T1" s="1"/>
      <x:c r="U1" s="1"/>
      <x:c r="V1" s="1"/>
      <x:c r="W1" s="1"/>
      <x:c r="X1" s="1"/>
      <x:c r="Y1" s="1"/>
      <x:c r="Z1" s="1"/>
    </x:row>
    <x:row r="2" ht="38" customHeight="1">
      <x:c r="A2" s="8" t="str">
        <x:v>‘모든 기관’은 영구 고정목록이 아니라 기준일 현재 두 공식 포털이 반환한 모집중 공고 전수 스냅샷으로 정의했습니다.</x:v>
      </x:c>
      <x:c r="B2" s="8"/>
      <x:c r="C2" s="8"/>
      <x:c r="D2" s="1"/>
      <x:c r="E2" s="1"/>
      <x:c r="F2" s="1"/>
      <x:c r="G2" s="1"/>
      <x:c r="H2" s="1"/>
      <x:c r="I2" s="1"/>
      <x:c r="J2" s="1"/>
      <x:c r="K2" s="1"/>
      <x:c r="L2" s="1"/>
      <x:c r="M2" s="1"/>
      <x:c r="N2" s="1"/>
      <x:c r="O2" s="1"/>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ht="36" customHeight="1">
      <x:c r="A4" s="14" t="str">
        <x:v>정보등급</x:v>
      </x:c>
      <x:c r="B4" s="14" t="str">
        <x:v>정의</x:v>
      </x:c>
      <x:c r="C4" s="14" t="str">
        <x:v>사용 원칙</x:v>
      </x:c>
      <x:c r="D4" s="1"/>
      <x:c r="E4" s="1"/>
      <x:c r="F4" s="1"/>
      <x:c r="G4" s="1"/>
      <x:c r="H4" s="1"/>
      <x:c r="I4" s="1"/>
      <x:c r="J4" s="1"/>
      <x:c r="K4" s="1"/>
      <x:c r="L4" s="1"/>
      <x:c r="M4" s="1"/>
      <x:c r="N4" s="1"/>
      <x:c r="O4" s="1"/>
      <x:c r="P4" s="1"/>
      <x:c r="Q4" s="1"/>
      <x:c r="R4" s="1"/>
      <x:c r="S4" s="1"/>
      <x:c r="T4" s="1"/>
      <x:c r="U4" s="1"/>
      <x:c r="V4" s="1"/>
      <x:c r="W4" s="1"/>
      <x:c r="X4" s="1"/>
      <x:c r="Y4" s="1"/>
      <x:c r="Z4" s="1"/>
    </x:row>
    <x:row r="5" ht="48" customHeight="1">
      <x:c r="A5" s="17" t="str">
        <x:v>A</x:v>
      </x:c>
      <x:c r="B5" s="17" t="str">
        <x:v>공고 원문·첨부·기관 채용홈페이지에서 직접 확인한 사실</x:v>
      </x:c>
      <x:c r="C5" s="18" t="str">
        <x:v>응시자격·전형·가점·지역제한 확정에 사용</x:v>
      </x:c>
      <x:c r="D5" s="1"/>
      <x:c r="E5" s="1"/>
      <x:c r="F5" s="1"/>
      <x:c r="G5" s="1"/>
      <x:c r="H5" s="1"/>
      <x:c r="I5" s="1"/>
      <x:c r="J5" s="1"/>
      <x:c r="K5" s="1"/>
      <x:c r="L5" s="1"/>
      <x:c r="M5" s="1"/>
      <x:c r="N5" s="1"/>
      <x:c r="O5" s="1"/>
      <x:c r="P5" s="1"/>
      <x:c r="Q5" s="1"/>
      <x:c r="R5" s="1"/>
      <x:c r="S5" s="1"/>
      <x:c r="T5" s="1"/>
      <x:c r="U5" s="1"/>
      <x:c r="V5" s="1"/>
      <x:c r="W5" s="1"/>
      <x:c r="X5" s="1"/>
      <x:c r="Y5" s="1"/>
      <x:c r="Z5" s="1"/>
    </x:row>
    <x:row r="6" ht="48" customHeight="1">
      <x:c r="A6" s="17" t="str">
        <x:v>B</x:v>
      </x:c>
      <x:c r="B6" s="17" t="str">
        <x:v>JOB-ALIO·Cleaneye 공식 포털 목록에서 확인한 사실</x:v>
      </x:c>
      <x:c r="C6" s="18" t="str">
        <x:v>기관·제목·지역·고용형태·기간·상태 확인</x:v>
      </x:c>
      <x:c r="D6" s="1"/>
      <x:c r="E6" s="1"/>
      <x:c r="F6" s="1"/>
      <x:c r="G6" s="1"/>
      <x:c r="H6" s="1"/>
      <x:c r="I6" s="1"/>
      <x:c r="J6" s="1"/>
      <x:c r="K6" s="1"/>
      <x:c r="L6" s="1"/>
      <x:c r="M6" s="1"/>
      <x:c r="N6" s="1"/>
      <x:c r="O6" s="1"/>
      <x:c r="P6" s="1"/>
      <x:c r="Q6" s="1"/>
      <x:c r="R6" s="1"/>
      <x:c r="S6" s="1"/>
      <x:c r="T6" s="1"/>
      <x:c r="U6" s="1"/>
      <x:c r="V6" s="1"/>
      <x:c r="W6" s="1"/>
      <x:c r="X6" s="1"/>
      <x:c r="Y6" s="1"/>
      <x:c r="Z6" s="1"/>
    </x:row>
    <x:row r="7" ht="48" customHeight="1">
      <x:c r="A7" s="17" t="str">
        <x:v>C</x:v>
      </x:c>
      <x:c r="B7" s="17" t="str">
        <x:v>편집부가 제목·형태를 기반으로 만든 분류</x:v>
      </x:c>
      <x:c r="C7" s="18" t="str">
        <x:v>탐색과 우선순위에만 사용; 지원자격 확정 금지</x:v>
      </x:c>
      <x:c r="D7" s="1"/>
      <x:c r="E7" s="1"/>
      <x:c r="F7" s="1"/>
      <x:c r="G7" s="1"/>
      <x:c r="H7" s="1"/>
      <x:c r="I7" s="1"/>
      <x:c r="J7" s="1"/>
      <x:c r="K7" s="1"/>
      <x:c r="L7" s="1"/>
      <x:c r="M7" s="1"/>
      <x:c r="N7" s="1"/>
      <x:c r="O7" s="1"/>
      <x:c r="P7" s="1"/>
      <x:c r="Q7" s="1"/>
      <x:c r="R7" s="1"/>
      <x:c r="S7" s="1"/>
      <x:c r="T7" s="1"/>
      <x:c r="U7" s="1"/>
      <x:c r="V7" s="1"/>
      <x:c r="W7" s="1"/>
      <x:c r="X7" s="1"/>
      <x:c r="Y7" s="1"/>
      <x:c r="Z7" s="1"/>
    </x:row>
    <x:row r="8" ht="48" customHeight="1">
      <x:c r="A8" s="17" t="str">
        <x:v>D</x:v>
      </x:c>
      <x:c r="B8" s="17" t="str">
        <x:v>과거 사례·후기·보조자료</x:v>
      </x:c>
      <x:c r="C8" s="18" t="str">
        <x:v>면접 연습 참고만; 이번 파일은 원칙적으로 미수록</x:v>
      </x:c>
      <x:c r="D8" s="1"/>
      <x:c r="E8" s="1"/>
      <x:c r="F8" s="1"/>
      <x:c r="G8" s="1"/>
      <x:c r="H8" s="1"/>
      <x:c r="I8" s="1"/>
      <x:c r="J8" s="1"/>
      <x:c r="K8" s="1"/>
      <x:c r="L8" s="1"/>
      <x:c r="M8" s="1"/>
      <x:c r="N8" s="1"/>
      <x:c r="O8" s="1"/>
      <x:c r="P8" s="1"/>
      <x:c r="Q8" s="1"/>
      <x:c r="R8" s="1"/>
      <x:c r="S8" s="1"/>
      <x:c r="T8" s="1"/>
      <x:c r="U8" s="1"/>
      <x:c r="V8" s="1"/>
      <x:c r="W8" s="1"/>
      <x:c r="X8" s="1"/>
      <x:c r="Y8" s="1"/>
      <x:c r="Z8" s="1"/>
    </x:row>
    <x:row r="9">
      <x:c r="A9" s="1"/>
      <x:c r="B9" s="1"/>
      <x:c r="C9" s="1"/>
      <x:c r="D9" s="1"/>
      <x:c r="E9" s="1"/>
      <x:c r="F9" s="1"/>
      <x:c r="G9" s="1"/>
      <x:c r="H9" s="1"/>
      <x:c r="I9" s="1"/>
      <x:c r="J9" s="1"/>
      <x:c r="K9" s="1"/>
      <x:c r="L9" s="1"/>
      <x:c r="M9" s="1"/>
      <x:c r="N9" s="1"/>
      <x:c r="O9" s="1"/>
      <x:c r="P9" s="1"/>
      <x:c r="Q9" s="1"/>
      <x:c r="R9" s="1"/>
      <x:c r="S9" s="1"/>
      <x:c r="T9" s="1"/>
      <x:c r="U9" s="1"/>
      <x:c r="V9" s="1"/>
      <x:c r="W9" s="1"/>
      <x:c r="X9" s="1"/>
      <x:c r="Y9" s="1"/>
      <x:c r="Z9" s="1"/>
    </x:row>
    <x:row r="10">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66" t="str">
        <x:v>핵심 정의</x:v>
      </x:c>
      <x:c r="B11" s="66"/>
      <x:c r="C11" s="66"/>
      <x:c r="D11" s="1"/>
      <x:c r="E11" s="1"/>
      <x:c r="F11" s="1"/>
      <x:c r="G11" s="1"/>
      <x:c r="H11" s="1"/>
      <x:c r="I11" s="1"/>
      <x:c r="J11" s="1"/>
      <x:c r="K11" s="1"/>
      <x:c r="L11" s="1"/>
      <x:c r="M11" s="1"/>
      <x:c r="N11" s="1"/>
      <x:c r="O11" s="1"/>
      <x:c r="P11" s="1"/>
      <x:c r="Q11" s="1"/>
      <x:c r="R11" s="1"/>
      <x:c r="S11" s="1"/>
      <x:c r="T11" s="1"/>
      <x:c r="U11" s="1"/>
      <x:c r="V11" s="1"/>
      <x:c r="W11" s="1"/>
      <x:c r="X11" s="1"/>
      <x:c r="Y11" s="1"/>
      <x:c r="Z11" s="1"/>
    </x:row>
    <x:row r="12">
      <x:c r="A12" s="68" t="str">
        <x:v>일반지원</x:v>
      </x:c>
      <x:c r="B12" s="17" t="str">
        <x:v>특정 집단만을 대상으로 한 제한전형이 아니라는 뜻. 직렬별 필수자격·연령·병역·임용일 조건은 남을 수 있음.</x:v>
      </x:c>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68" t="str">
        <x:v>제한경쟁</x:v>
      </x:c>
      <x:c r="B13" s="17" t="str">
        <x:v>장애·보훈·고졸·경력·지역 등 공고가 정한 특정 요건 충족자만 지원하는 방식.</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68" t="str">
        <x:v>지역인재</x:v>
      </x:c>
      <x:c r="B14" s="17" t="str">
        <x:v>학교 소재지·혁신도시 이전지역 등 기준에 따른 우대 또는 별도전형. 주민등록 지역제한과 다름.</x:v>
      </x:c>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68" t="str">
        <x:v>지역 지원제한</x:v>
      </x:c>
      <x:c r="B15" s="17" t="str">
        <x:v>주민등록 주소·거주기간 등 공고상 지역요건을 지원자격으로 두는 방식.</x:v>
      </x:c>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68" t="str">
        <x:v>우대·가점</x:v>
      </x:c>
      <x:c r="B16" s="17" t="str">
        <x:v>필수와 다름. 적용 전형·점수·중복·최소 채용인원 제한을 확인.</x:v>
      </x:c>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68" t="str">
        <x:v>미탐지</x:v>
      </x:c>
      <x:c r="B17" s="17" t="str">
        <x:v>수집한 텍스트에서 문구를 찾지 못했다는 뜻이며, 제도가 없다는 뜻이 아님.</x:v>
      </x:c>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66" t="str">
        <x:v>공식 출처</x:v>
      </x:c>
      <x:c r="B19" s="66"/>
      <x:c r="C19" s="66"/>
      <x:c r="D19" s="1"/>
      <x:c r="E19" s="1"/>
      <x:c r="F19" s="1"/>
      <x:c r="G19" s="1"/>
      <x:c r="H19" s="1"/>
      <x:c r="I19" s="1"/>
      <x:c r="J19" s="1"/>
      <x:c r="K19" s="1"/>
      <x:c r="L19" s="1"/>
      <x:c r="M19" s="1"/>
      <x:c r="N19" s="1"/>
      <x:c r="O19" s="1"/>
      <x:c r="P19" s="1"/>
      <x:c r="Q19" s="1"/>
      <x:c r="R19" s="1"/>
      <x:c r="S19" s="1"/>
      <x:c r="T19" s="1"/>
      <x:c r="U19" s="1"/>
      <x:c r="V19" s="1"/>
      <x:c r="W19" s="1"/>
      <x:c r="X19" s="1"/>
      <x:c r="Y19" s="1"/>
      <x:c r="Z19" s="1"/>
    </x:row>
    <x:row r="20">
      <x:c r="A20" s="17" t="str">
        <x:v>JOB-ALIO</x:v>
      </x:c>
      <x:c r="B20" s="69" t="str">
        <x:v>https://job.alio.go.kr/recruit.do</x:v>
      </x:c>
      <x:c r="C20" s="17" t="str">
        <x:v>중앙 공공기관 채용정보</x:v>
      </x:c>
      <x:c r="D20" s="1"/>
      <x:c r="E20" s="1"/>
      <x:c r="F20" s="1"/>
      <x:c r="G20" s="1"/>
      <x:c r="H20" s="1"/>
      <x:c r="I20" s="1"/>
      <x:c r="J20" s="1"/>
      <x:c r="K20" s="1"/>
      <x:c r="L20" s="1"/>
      <x:c r="M20" s="1"/>
      <x:c r="N20" s="1"/>
      <x:c r="O20" s="1"/>
      <x:c r="P20" s="1"/>
      <x:c r="Q20" s="1"/>
      <x:c r="R20" s="1"/>
      <x:c r="S20" s="1"/>
      <x:c r="T20" s="1"/>
      <x:c r="U20" s="1"/>
      <x:c r="V20" s="1"/>
      <x:c r="W20" s="1"/>
      <x:c r="X20" s="1"/>
      <x:c r="Y20" s="1"/>
      <x:c r="Z20" s="1"/>
    </x:row>
    <x:row r="21">
      <x:c r="A21" s="17" t="str">
        <x:v>Cleaneye Job+</x:v>
      </x:c>
      <x:c r="B21" s="69" t="str">
        <x:v>https://job.cleaneye.go.kr/user/ypRecruitment.do</x:v>
      </x:c>
      <x:c r="C21" s="17" t="str">
        <x:v>지방공기업·지방출자출연기관 채용정보</x:v>
      </x:c>
      <x:c r="D21" s="1"/>
      <x:c r="E21" s="1"/>
      <x:c r="F21" s="1"/>
      <x:c r="G21" s="1"/>
      <x:c r="H21" s="1"/>
      <x:c r="I21" s="1"/>
      <x:c r="J21" s="1"/>
      <x:c r="K21" s="1"/>
      <x:c r="L21" s="1"/>
      <x:c r="M21" s="1"/>
      <x:c r="N21" s="1"/>
      <x:c r="O21" s="1"/>
      <x:c r="P21" s="1"/>
      <x:c r="Q21" s="1"/>
      <x:c r="R21" s="1"/>
      <x:c r="S21" s="1"/>
      <x:c r="T21" s="1"/>
      <x:c r="U21" s="1"/>
      <x:c r="V21" s="1"/>
      <x:c r="W21" s="1"/>
      <x:c r="X21" s="1"/>
      <x:c r="Y21" s="1"/>
      <x:c r="Z21" s="1"/>
    </x:row>
    <x:row r="22">
      <x:c r="A22" s="17" t="str">
        <x:v>NCS</x:v>
      </x:c>
      <x:c r="B22" s="69" t="str">
        <x:v>https://www.ncs.go.kr/</x:v>
      </x:c>
      <x:c r="C22" s="17" t="str">
        <x:v>직무기술·직업기초능력 참고</x:v>
      </x:c>
      <x:c r="D22" s="1"/>
      <x:c r="E22" s="1"/>
      <x:c r="F22" s="1"/>
      <x:c r="G22" s="1"/>
      <x:c r="H22" s="1"/>
      <x:c r="I22" s="1"/>
      <x:c r="J22" s="1"/>
      <x:c r="K22" s="1"/>
      <x:c r="L22" s="1"/>
      <x:c r="M22" s="1"/>
      <x:c r="N22" s="1"/>
      <x:c r="O22" s="1"/>
      <x:c r="P22" s="1"/>
      <x:c r="Q22" s="1"/>
      <x:c r="R22" s="1"/>
      <x:c r="S22" s="1"/>
      <x:c r="T22" s="1"/>
      <x:c r="U22" s="1"/>
      <x:c r="V22" s="1"/>
      <x:c r="W22" s="1"/>
      <x:c r="X22" s="1"/>
      <x:c r="Y22" s="1"/>
      <x:c r="Z22" s="1"/>
    </x:row>
    <x:row r="23">
      <x:c r="A23" s="17" t="str">
        <x:v>고용24</x:v>
      </x:c>
      <x:c r="B23" s="69" t="str">
        <x:v>https://www.work24.go.kr/</x:v>
      </x:c>
      <x:c r="C23" s="17" t="str">
        <x:v>구직·고용서비스 보조</x:v>
      </x:c>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66" t="str">
        <x:v>공고 원문 최종확인 고지</x:v>
      </x:c>
      <x:c r="B25" s="66"/>
      <x:c r="C25" s="66"/>
      <x:c r="D25" s="1"/>
      <x:c r="E25" s="1"/>
      <x:c r="F25" s="1"/>
      <x:c r="G25" s="1"/>
      <x:c r="H25" s="1"/>
      <x:c r="I25" s="1"/>
      <x:c r="J25" s="1"/>
      <x:c r="K25" s="1"/>
      <x:c r="L25" s="1"/>
      <x:c r="M25" s="1"/>
      <x:c r="N25" s="1"/>
      <x:c r="O25" s="1"/>
      <x:c r="P25" s="1"/>
      <x:c r="Q25" s="1"/>
      <x:c r="R25" s="1"/>
      <x:c r="S25" s="1"/>
      <x:c r="T25" s="1"/>
      <x:c r="U25" s="1"/>
      <x:c r="V25" s="1"/>
      <x:c r="W25" s="1"/>
      <x:c r="X25" s="1"/>
      <x:c r="Y25" s="1"/>
      <x:c r="Z25" s="1"/>
    </x:row>
    <x:row r="26">
      <x:c r="A26" s="74" t="str">
        <x:v>본 자료는 2026-09-09 KST 기준 탐색·분류용 스냅샷입니다. 채용 조건·일정·가점·지역요건은 수정될 수 있으며, 지원 전 반드시 기관의 최신 공식 채용공고, 첨부 공고문, 직무기술서, FAQ, 정정공고를 확인해야 합니다. 제목 기반 분류와 ‘미탐지’는 법적·실제 지원자격을 확정하지 않습니다.</x:v>
      </x:c>
      <x:c r="B26" s="74"/>
      <x:c r="C26" s="74"/>
      <x:c r="D26" s="1"/>
      <x:c r="E26" s="1"/>
      <x:c r="F26" s="1"/>
      <x:c r="G26" s="1"/>
      <x:c r="H26" s="1"/>
      <x:c r="I26" s="1"/>
      <x:c r="J26" s="1"/>
      <x:c r="K26" s="1"/>
      <x:c r="L26" s="1"/>
      <x:c r="M26" s="1"/>
      <x:c r="N26" s="1"/>
      <x:c r="O26" s="1"/>
      <x:c r="P26" s="1"/>
      <x:c r="Q26" s="1"/>
      <x:c r="R26" s="1"/>
      <x:c r="S26" s="1"/>
      <x:c r="T26" s="1"/>
      <x:c r="U26" s="1"/>
      <x:c r="V26" s="1"/>
      <x:c r="W26" s="1"/>
      <x:c r="X26" s="1"/>
      <x:c r="Y26" s="1"/>
      <x:c r="Z26" s="1"/>
    </x:row>
    <x:row r="27">
      <x:c r="A27" s="74"/>
      <x:c r="B27" s="74"/>
      <x:c r="C27" s="74"/>
      <x:c r="D27" s="1"/>
      <x:c r="E27" s="1"/>
      <x:c r="F27" s="1"/>
      <x:c r="G27" s="1"/>
      <x:c r="H27" s="1"/>
      <x:c r="I27" s="1"/>
      <x:c r="J27" s="1"/>
      <x:c r="K27" s="1"/>
      <x:c r="L27" s="1"/>
      <x:c r="M27" s="1"/>
      <x:c r="N27" s="1"/>
      <x:c r="O27" s="1"/>
      <x:c r="P27" s="1"/>
      <x:c r="Q27" s="1"/>
      <x:c r="R27" s="1"/>
      <x:c r="S27" s="1"/>
      <x:c r="T27" s="1"/>
      <x:c r="U27" s="1"/>
      <x:c r="V27" s="1"/>
      <x:c r="W27" s="1"/>
      <x:c r="X27" s="1"/>
      <x:c r="Y27" s="1"/>
      <x:c r="Z27" s="1"/>
    </x:row>
    <x:row r="28">
      <x:c r="A28" s="74"/>
      <x:c r="B28" s="74"/>
      <x:c r="C28" s="74"/>
      <x:c r="D28" s="1"/>
      <x:c r="E28" s="1"/>
      <x:c r="F28" s="1"/>
      <x:c r="G28" s="1"/>
      <x:c r="H28" s="1"/>
      <x:c r="I28" s="1"/>
      <x:c r="J28" s="1"/>
      <x:c r="K28" s="1"/>
      <x:c r="L28" s="1"/>
      <x:c r="M28" s="1"/>
      <x:c r="N28" s="1"/>
      <x:c r="O28" s="1"/>
      <x:c r="P28" s="1"/>
      <x:c r="Q28" s="1"/>
      <x:c r="R28" s="1"/>
      <x:c r="S28" s="1"/>
      <x:c r="T28" s="1"/>
      <x:c r="U28" s="1"/>
      <x:c r="V28" s="1"/>
      <x:c r="W28" s="1"/>
      <x:c r="X28" s="1"/>
      <x:c r="Y28" s="1"/>
      <x:c r="Z28" s="1"/>
    </x:row>
    <x:row r="29">
      <x:c r="A29" s="74"/>
      <x:c r="B29" s="74"/>
      <x:c r="C29" s="74"/>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sheetData>
  <x:mergeCells>
    <x:mergeCell ref="A1:C1"/>
    <x:mergeCell ref="A2:C2"/>
    <x:mergeCell ref="A11:C11"/>
    <x:mergeCell ref="A19:C19"/>
    <x:mergeCell ref="A25:C25"/>
    <x:mergeCell ref="A26:C29"/>
  </x:mergeCells>
  <x:pageMargins left="0.7" right="0.7" top="0.75" bottom="0.75" header="0.3" footer="0.3"/>
  <x:tableParts count="1">
    <x:tablePart xmlns:r="http://schemas.openxmlformats.org/officeDocument/2006/relationships" r:id="Rb75d9ad151ad4ee5"/>
  </x:tableParts>
</x:worksheet>
</file>